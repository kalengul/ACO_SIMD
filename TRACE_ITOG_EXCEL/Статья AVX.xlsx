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 activeTab="1"/>
  </bookViews>
  <sheets>
    <sheet name="Ускорение 100" sheetId="15" r:id="rId1"/>
    <sheet name="Ускорение" sheetId="12" r:id="rId2"/>
    <sheet name="Itog_100" sheetId="13" r:id="rId3"/>
    <sheet name="Itog" sheetId="11" r:id="rId4"/>
    <sheet name="Лист1" sheetId="16" r:id="rId5"/>
    <sheet name="1050LAPTOP" sheetId="9" r:id="rId6"/>
    <sheet name="1050COMP" sheetId="8" r:id="rId7"/>
    <sheet name="3060COMP Kaf" sheetId="7" r:id="rId8"/>
    <sheet name="3060LAPTOP" sheetId="1" r:id="rId9"/>
    <sheet name="4060COMP" sheetId="10" r:id="rId10"/>
    <sheet name="3060LAPTOP 10" sheetId="14" r:id="rId11"/>
    <sheet name="3060LAPTOP 100" sheetId="2" r:id="rId12"/>
    <sheet name="3060LAPTOP 1000" sheetId="4" r:id="rId13"/>
    <sheet name="3060LAPTOP 10000" sheetId="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7" l="1"/>
  <c r="D61" i="4"/>
  <c r="D62" i="4"/>
  <c r="D65" i="4"/>
  <c r="D66" i="4"/>
  <c r="D67" i="4"/>
  <c r="B4" i="13"/>
  <c r="R4" i="13"/>
  <c r="S4" i="13"/>
  <c r="T4" i="13"/>
  <c r="U4" i="13"/>
  <c r="V4" i="13"/>
  <c r="W4" i="13"/>
  <c r="R5" i="13"/>
  <c r="S5" i="13"/>
  <c r="T5" i="13"/>
  <c r="U5" i="13"/>
  <c r="V5" i="13"/>
  <c r="W5" i="13"/>
  <c r="R6" i="13"/>
  <c r="S6" i="13"/>
  <c r="T6" i="13"/>
  <c r="U6" i="13"/>
  <c r="V6" i="13"/>
  <c r="W6" i="13"/>
  <c r="R7" i="13"/>
  <c r="S7" i="13"/>
  <c r="T7" i="13"/>
  <c r="U7" i="13"/>
  <c r="V7" i="13"/>
  <c r="W7" i="13"/>
  <c r="R8" i="13"/>
  <c r="S8" i="13"/>
  <c r="T8" i="13"/>
  <c r="R9" i="13"/>
  <c r="S9" i="13"/>
  <c r="T9" i="13"/>
  <c r="R10" i="13"/>
  <c r="S10" i="13"/>
  <c r="R11" i="13"/>
  <c r="S11" i="13"/>
  <c r="Q11" i="13"/>
  <c r="Q10" i="13"/>
  <c r="Q9" i="13"/>
  <c r="Q8" i="13"/>
  <c r="Q7" i="13"/>
  <c r="Q6" i="13"/>
  <c r="Q5" i="13"/>
  <c r="Q4" i="13"/>
  <c r="O1" i="13"/>
  <c r="B22" i="13"/>
  <c r="K67" i="13"/>
  <c r="J67" i="13"/>
  <c r="I67" i="13"/>
  <c r="H67" i="13"/>
  <c r="G67" i="13"/>
  <c r="F67" i="13"/>
  <c r="E67" i="13"/>
  <c r="K66" i="13"/>
  <c r="J66" i="13"/>
  <c r="I66" i="13"/>
  <c r="H66" i="13"/>
  <c r="G66" i="13"/>
  <c r="F66" i="13"/>
  <c r="E66" i="13"/>
  <c r="K65" i="13"/>
  <c r="J65" i="13"/>
  <c r="I65" i="13"/>
  <c r="H65" i="13"/>
  <c r="G65" i="13"/>
  <c r="F65" i="13"/>
  <c r="E65" i="13"/>
  <c r="K64" i="13"/>
  <c r="J64" i="13"/>
  <c r="I64" i="13"/>
  <c r="H64" i="13"/>
  <c r="G64" i="13"/>
  <c r="F64" i="13"/>
  <c r="E64" i="13"/>
  <c r="K63" i="13"/>
  <c r="J63" i="13"/>
  <c r="I63" i="13"/>
  <c r="H63" i="13"/>
  <c r="G63" i="13"/>
  <c r="F63" i="13"/>
  <c r="E63" i="13"/>
  <c r="K62" i="13"/>
  <c r="J62" i="13"/>
  <c r="I62" i="13"/>
  <c r="H62" i="13"/>
  <c r="G62" i="13"/>
  <c r="F62" i="13"/>
  <c r="E62" i="13"/>
  <c r="K61" i="13"/>
  <c r="J61" i="13"/>
  <c r="I61" i="13"/>
  <c r="H61" i="13"/>
  <c r="G61" i="13"/>
  <c r="F61" i="13"/>
  <c r="E61" i="13"/>
  <c r="K60" i="13"/>
  <c r="J60" i="13"/>
  <c r="I60" i="13"/>
  <c r="H60" i="13"/>
  <c r="G60" i="13"/>
  <c r="F60" i="13"/>
  <c r="E60" i="13"/>
  <c r="K59" i="13"/>
  <c r="J59" i="13"/>
  <c r="I59" i="13"/>
  <c r="H59" i="13"/>
  <c r="G59" i="13"/>
  <c r="F59" i="13"/>
  <c r="E59" i="13"/>
  <c r="K58" i="13"/>
  <c r="J58" i="13"/>
  <c r="I58" i="13"/>
  <c r="H58" i="13"/>
  <c r="G58" i="13"/>
  <c r="F58" i="13"/>
  <c r="E58" i="13"/>
  <c r="K57" i="13"/>
  <c r="J57" i="13"/>
  <c r="I57" i="13"/>
  <c r="H57" i="13"/>
  <c r="G57" i="13"/>
  <c r="F57" i="13"/>
  <c r="E57" i="13"/>
  <c r="K56" i="13"/>
  <c r="J56" i="13"/>
  <c r="I56" i="13"/>
  <c r="H56" i="13"/>
  <c r="G56" i="13"/>
  <c r="F56" i="13"/>
  <c r="E56" i="13"/>
  <c r="K55" i="13"/>
  <c r="J55" i="13"/>
  <c r="I55" i="13"/>
  <c r="H55" i="13"/>
  <c r="G55" i="13"/>
  <c r="F55" i="13"/>
  <c r="E55" i="13"/>
  <c r="K54" i="13"/>
  <c r="J54" i="13"/>
  <c r="I54" i="13"/>
  <c r="H54" i="13"/>
  <c r="G54" i="13"/>
  <c r="F54" i="13"/>
  <c r="E54" i="13"/>
  <c r="F52" i="13"/>
  <c r="G52" i="13"/>
  <c r="H52" i="13"/>
  <c r="I52" i="13"/>
  <c r="J52" i="13"/>
  <c r="K52" i="13"/>
  <c r="F53" i="13"/>
  <c r="G53" i="13"/>
  <c r="H53" i="13"/>
  <c r="I53" i="13"/>
  <c r="J53" i="13"/>
  <c r="K53" i="13"/>
  <c r="E53" i="13"/>
  <c r="E52" i="13"/>
  <c r="B66" i="13"/>
  <c r="B64" i="13"/>
  <c r="B62" i="13"/>
  <c r="B60" i="13"/>
  <c r="B58" i="13"/>
  <c r="B56" i="13"/>
  <c r="B54" i="13"/>
  <c r="B52" i="13"/>
  <c r="B50" i="13"/>
  <c r="B48" i="13"/>
  <c r="B46" i="13"/>
  <c r="B44" i="13"/>
  <c r="B42" i="13"/>
  <c r="B40" i="13"/>
  <c r="B38" i="13"/>
  <c r="B36" i="13"/>
  <c r="K51" i="13"/>
  <c r="J51" i="13"/>
  <c r="I51" i="13"/>
  <c r="H51" i="13"/>
  <c r="G51" i="13"/>
  <c r="F51" i="13"/>
  <c r="E51" i="13"/>
  <c r="K50" i="13"/>
  <c r="J50" i="13"/>
  <c r="I50" i="13"/>
  <c r="H50" i="13"/>
  <c r="G50" i="13"/>
  <c r="F50" i="13"/>
  <c r="E50" i="13"/>
  <c r="K49" i="13"/>
  <c r="J49" i="13"/>
  <c r="I49" i="13"/>
  <c r="H49" i="13"/>
  <c r="G49" i="13"/>
  <c r="F49" i="13"/>
  <c r="E49" i="13"/>
  <c r="K48" i="13"/>
  <c r="J48" i="13"/>
  <c r="I48" i="13"/>
  <c r="H48" i="13"/>
  <c r="G48" i="13"/>
  <c r="F48" i="13"/>
  <c r="E48" i="13"/>
  <c r="K47" i="13"/>
  <c r="J47" i="13"/>
  <c r="I47" i="13"/>
  <c r="H47" i="13"/>
  <c r="G47" i="13"/>
  <c r="F47" i="13"/>
  <c r="E47" i="13"/>
  <c r="K46" i="13"/>
  <c r="J46" i="13"/>
  <c r="I46" i="13"/>
  <c r="H46" i="13"/>
  <c r="G46" i="13"/>
  <c r="F46" i="13"/>
  <c r="E46" i="13"/>
  <c r="K45" i="13"/>
  <c r="J45" i="13"/>
  <c r="I45" i="13"/>
  <c r="H45" i="13"/>
  <c r="G45" i="13"/>
  <c r="F45" i="13"/>
  <c r="E45" i="13"/>
  <c r="K44" i="13"/>
  <c r="J44" i="13"/>
  <c r="I44" i="13"/>
  <c r="H44" i="13"/>
  <c r="G44" i="13"/>
  <c r="F44" i="13"/>
  <c r="E44" i="13"/>
  <c r="K43" i="13"/>
  <c r="J43" i="13"/>
  <c r="I43" i="13"/>
  <c r="H43" i="13"/>
  <c r="G43" i="13"/>
  <c r="F43" i="13"/>
  <c r="E43" i="13"/>
  <c r="K42" i="13"/>
  <c r="J42" i="13"/>
  <c r="I42" i="13"/>
  <c r="H42" i="13"/>
  <c r="G42" i="13"/>
  <c r="F42" i="13"/>
  <c r="E42" i="13"/>
  <c r="K41" i="13"/>
  <c r="J41" i="13"/>
  <c r="I41" i="13"/>
  <c r="H41" i="13"/>
  <c r="G41" i="13"/>
  <c r="F41" i="13"/>
  <c r="E41" i="13"/>
  <c r="K40" i="13"/>
  <c r="J40" i="13"/>
  <c r="I40" i="13"/>
  <c r="H40" i="13"/>
  <c r="G40" i="13"/>
  <c r="F40" i="13"/>
  <c r="E40" i="13"/>
  <c r="K39" i="13"/>
  <c r="J39" i="13"/>
  <c r="I39" i="13"/>
  <c r="H39" i="13"/>
  <c r="G39" i="13"/>
  <c r="F39" i="13"/>
  <c r="E39" i="13"/>
  <c r="K38" i="13"/>
  <c r="J38" i="13"/>
  <c r="I38" i="13"/>
  <c r="H38" i="13"/>
  <c r="G38" i="13"/>
  <c r="F38" i="13"/>
  <c r="E38" i="13"/>
  <c r="F36" i="13"/>
  <c r="G36" i="13"/>
  <c r="H36" i="13"/>
  <c r="I36" i="13"/>
  <c r="J36" i="13"/>
  <c r="K36" i="13"/>
  <c r="F37" i="13"/>
  <c r="G37" i="13"/>
  <c r="H37" i="13"/>
  <c r="I37" i="13"/>
  <c r="J37" i="13"/>
  <c r="K37" i="13"/>
  <c r="E37" i="13"/>
  <c r="E36" i="13"/>
  <c r="K35" i="13"/>
  <c r="K95" i="13" s="1"/>
  <c r="J35" i="13"/>
  <c r="J95" i="13" s="1"/>
  <c r="I35" i="13"/>
  <c r="I95" i="13" s="1"/>
  <c r="H35" i="13"/>
  <c r="H95" i="13" s="1"/>
  <c r="G35" i="13"/>
  <c r="G95" i="13" s="1"/>
  <c r="F35" i="13"/>
  <c r="F95" i="13" s="1"/>
  <c r="E35" i="13"/>
  <c r="E95" i="13" s="1"/>
  <c r="K34" i="13"/>
  <c r="K94" i="13" s="1"/>
  <c r="J34" i="13"/>
  <c r="J94" i="13" s="1"/>
  <c r="I34" i="13"/>
  <c r="I94" i="13" s="1"/>
  <c r="H34" i="13"/>
  <c r="H94" i="13" s="1"/>
  <c r="G34" i="13"/>
  <c r="G94" i="13" s="1"/>
  <c r="F34" i="13"/>
  <c r="F94" i="13" s="1"/>
  <c r="E34" i="13"/>
  <c r="E94" i="13" s="1"/>
  <c r="K33" i="13"/>
  <c r="K93" i="13" s="1"/>
  <c r="J33" i="13"/>
  <c r="J93" i="13" s="1"/>
  <c r="I33" i="13"/>
  <c r="I93" i="13" s="1"/>
  <c r="H33" i="13"/>
  <c r="H93" i="13" s="1"/>
  <c r="G33" i="13"/>
  <c r="G93" i="13" s="1"/>
  <c r="F33" i="13"/>
  <c r="F93" i="13" s="1"/>
  <c r="E33" i="13"/>
  <c r="E93" i="13" s="1"/>
  <c r="K32" i="13"/>
  <c r="K92" i="13" s="1"/>
  <c r="J32" i="13"/>
  <c r="J92" i="13" s="1"/>
  <c r="I32" i="13"/>
  <c r="I92" i="13" s="1"/>
  <c r="H32" i="13"/>
  <c r="H92" i="13" s="1"/>
  <c r="G32" i="13"/>
  <c r="G92" i="13" s="1"/>
  <c r="F32" i="13"/>
  <c r="F92" i="13" s="1"/>
  <c r="E32" i="13"/>
  <c r="E92" i="13" s="1"/>
  <c r="K31" i="13"/>
  <c r="K91" i="13" s="1"/>
  <c r="J31" i="13"/>
  <c r="J91" i="13" s="1"/>
  <c r="I31" i="13"/>
  <c r="I91" i="13" s="1"/>
  <c r="H31" i="13"/>
  <c r="H91" i="13" s="1"/>
  <c r="G31" i="13"/>
  <c r="G91" i="13" s="1"/>
  <c r="F31" i="13"/>
  <c r="F91" i="13" s="1"/>
  <c r="E31" i="13"/>
  <c r="E91" i="13" s="1"/>
  <c r="K30" i="13"/>
  <c r="K90" i="13" s="1"/>
  <c r="J30" i="13"/>
  <c r="J90" i="13" s="1"/>
  <c r="I30" i="13"/>
  <c r="I90" i="13" s="1"/>
  <c r="H30" i="13"/>
  <c r="H90" i="13" s="1"/>
  <c r="G30" i="13"/>
  <c r="G90" i="13" s="1"/>
  <c r="F30" i="13"/>
  <c r="F90" i="13" s="1"/>
  <c r="E30" i="13"/>
  <c r="E90" i="13" s="1"/>
  <c r="K29" i="13"/>
  <c r="K89" i="13" s="1"/>
  <c r="J29" i="13"/>
  <c r="J89" i="13" s="1"/>
  <c r="I29" i="13"/>
  <c r="I89" i="13" s="1"/>
  <c r="H29" i="13"/>
  <c r="H89" i="13" s="1"/>
  <c r="G29" i="13"/>
  <c r="G89" i="13" s="1"/>
  <c r="F29" i="13"/>
  <c r="F89" i="13" s="1"/>
  <c r="E29" i="13"/>
  <c r="E89" i="13" s="1"/>
  <c r="K28" i="13"/>
  <c r="K88" i="13" s="1"/>
  <c r="J28" i="13"/>
  <c r="J88" i="13" s="1"/>
  <c r="I28" i="13"/>
  <c r="I88" i="13" s="1"/>
  <c r="H28" i="13"/>
  <c r="H88" i="13" s="1"/>
  <c r="G28" i="13"/>
  <c r="G88" i="13" s="1"/>
  <c r="F28" i="13"/>
  <c r="F88" i="13" s="1"/>
  <c r="E28" i="13"/>
  <c r="E88" i="13" s="1"/>
  <c r="K27" i="13"/>
  <c r="K87" i="13" s="1"/>
  <c r="J27" i="13"/>
  <c r="J87" i="13" s="1"/>
  <c r="I27" i="13"/>
  <c r="I87" i="13" s="1"/>
  <c r="H27" i="13"/>
  <c r="H87" i="13" s="1"/>
  <c r="G27" i="13"/>
  <c r="G87" i="13" s="1"/>
  <c r="F27" i="13"/>
  <c r="F87" i="13" s="1"/>
  <c r="E27" i="13"/>
  <c r="E87" i="13" s="1"/>
  <c r="K26" i="13"/>
  <c r="K86" i="13" s="1"/>
  <c r="J26" i="13"/>
  <c r="J86" i="13" s="1"/>
  <c r="I26" i="13"/>
  <c r="I86" i="13" s="1"/>
  <c r="H26" i="13"/>
  <c r="H86" i="13" s="1"/>
  <c r="G26" i="13"/>
  <c r="G86" i="13" s="1"/>
  <c r="F26" i="13"/>
  <c r="F86" i="13" s="1"/>
  <c r="E26" i="13"/>
  <c r="E86" i="13" s="1"/>
  <c r="K25" i="13"/>
  <c r="K85" i="13" s="1"/>
  <c r="J25" i="13"/>
  <c r="J85" i="13" s="1"/>
  <c r="I25" i="13"/>
  <c r="I85" i="13" s="1"/>
  <c r="H25" i="13"/>
  <c r="H85" i="13" s="1"/>
  <c r="G25" i="13"/>
  <c r="G85" i="13" s="1"/>
  <c r="F25" i="13"/>
  <c r="F85" i="13" s="1"/>
  <c r="E25" i="13"/>
  <c r="E85" i="13" s="1"/>
  <c r="K24" i="13"/>
  <c r="K84" i="13" s="1"/>
  <c r="J24" i="13"/>
  <c r="J84" i="13" s="1"/>
  <c r="I24" i="13"/>
  <c r="I84" i="13" s="1"/>
  <c r="H24" i="13"/>
  <c r="H84" i="13" s="1"/>
  <c r="G24" i="13"/>
  <c r="G84" i="13" s="1"/>
  <c r="F24" i="13"/>
  <c r="F84" i="13" s="1"/>
  <c r="E24" i="13"/>
  <c r="E84" i="13" s="1"/>
  <c r="K23" i="13"/>
  <c r="K83" i="13" s="1"/>
  <c r="J23" i="13"/>
  <c r="J83" i="13" s="1"/>
  <c r="I23" i="13"/>
  <c r="I83" i="13" s="1"/>
  <c r="H23" i="13"/>
  <c r="H83" i="13" s="1"/>
  <c r="G23" i="13"/>
  <c r="G83" i="13" s="1"/>
  <c r="F23" i="13"/>
  <c r="F83" i="13" s="1"/>
  <c r="E23" i="13"/>
  <c r="E83" i="13" s="1"/>
  <c r="K22" i="13"/>
  <c r="K82" i="13" s="1"/>
  <c r="J22" i="13"/>
  <c r="J82" i="13" s="1"/>
  <c r="I22" i="13"/>
  <c r="I82" i="13" s="1"/>
  <c r="H22" i="13"/>
  <c r="H82" i="13" s="1"/>
  <c r="G22" i="13"/>
  <c r="G82" i="13" s="1"/>
  <c r="F22" i="13"/>
  <c r="F82" i="13" s="1"/>
  <c r="E22" i="13"/>
  <c r="E82" i="13" s="1"/>
  <c r="F20" i="13"/>
  <c r="F80" i="13" s="1"/>
  <c r="G20" i="13"/>
  <c r="G80" i="13" s="1"/>
  <c r="H20" i="13"/>
  <c r="H80" i="13" s="1"/>
  <c r="I20" i="13"/>
  <c r="I80" i="13" s="1"/>
  <c r="J20" i="13"/>
  <c r="J80" i="13" s="1"/>
  <c r="K20" i="13"/>
  <c r="K80" i="13" s="1"/>
  <c r="F21" i="13"/>
  <c r="F81" i="13" s="1"/>
  <c r="G21" i="13"/>
  <c r="G81" i="13" s="1"/>
  <c r="H21" i="13"/>
  <c r="H81" i="13" s="1"/>
  <c r="I21" i="13"/>
  <c r="I81" i="13" s="1"/>
  <c r="J21" i="13"/>
  <c r="J81" i="13" s="1"/>
  <c r="K21" i="13"/>
  <c r="K81" i="13" s="1"/>
  <c r="E21" i="13"/>
  <c r="E81" i="13" s="1"/>
  <c r="E20" i="13"/>
  <c r="E80" i="13" s="1"/>
  <c r="B34" i="13"/>
  <c r="B32" i="13"/>
  <c r="B30" i="13"/>
  <c r="B28" i="13"/>
  <c r="B26" i="13"/>
  <c r="B24" i="13"/>
  <c r="B20" i="13"/>
  <c r="F4" i="13"/>
  <c r="F76" i="13" s="1"/>
  <c r="G4" i="13"/>
  <c r="G76" i="13" s="1"/>
  <c r="H4" i="13"/>
  <c r="H76" i="13" s="1"/>
  <c r="I4" i="13"/>
  <c r="I76" i="13" s="1"/>
  <c r="J4" i="13"/>
  <c r="J76" i="13" s="1"/>
  <c r="K4" i="13"/>
  <c r="K76" i="13" s="1"/>
  <c r="F5" i="13"/>
  <c r="F77" i="13" s="1"/>
  <c r="G5" i="13"/>
  <c r="G77" i="13" s="1"/>
  <c r="H5" i="13"/>
  <c r="H77" i="13" s="1"/>
  <c r="I5" i="13"/>
  <c r="I77" i="13" s="1"/>
  <c r="J5" i="13"/>
  <c r="J77" i="13" s="1"/>
  <c r="K5" i="13"/>
  <c r="K77" i="13" s="1"/>
  <c r="E5" i="13"/>
  <c r="E77" i="13" s="1"/>
  <c r="E4" i="13"/>
  <c r="E76" i="13" s="1"/>
  <c r="K19" i="13"/>
  <c r="J19" i="13"/>
  <c r="I19" i="13"/>
  <c r="H19" i="13"/>
  <c r="G19" i="13"/>
  <c r="F19" i="13"/>
  <c r="E19" i="13"/>
  <c r="K18" i="13"/>
  <c r="J18" i="13"/>
  <c r="I18" i="13"/>
  <c r="H18" i="13"/>
  <c r="G18" i="13"/>
  <c r="F18" i="13"/>
  <c r="E18" i="13"/>
  <c r="K17" i="13"/>
  <c r="J17" i="13"/>
  <c r="I17" i="13"/>
  <c r="H17" i="13"/>
  <c r="G17" i="13"/>
  <c r="F17" i="13"/>
  <c r="E17" i="13"/>
  <c r="K16" i="13"/>
  <c r="J16" i="13"/>
  <c r="I16" i="13"/>
  <c r="H16" i="13"/>
  <c r="G16" i="13"/>
  <c r="F16" i="13"/>
  <c r="E16" i="13"/>
  <c r="K15" i="13"/>
  <c r="J15" i="13"/>
  <c r="I15" i="13"/>
  <c r="H15" i="13"/>
  <c r="G15" i="13"/>
  <c r="F15" i="13"/>
  <c r="E15" i="13"/>
  <c r="K14" i="13"/>
  <c r="J14" i="13"/>
  <c r="I14" i="13"/>
  <c r="H14" i="13"/>
  <c r="G14" i="13"/>
  <c r="F14" i="13"/>
  <c r="E14" i="13"/>
  <c r="K13" i="13"/>
  <c r="J13" i="13"/>
  <c r="I13" i="13"/>
  <c r="H13" i="13"/>
  <c r="G13" i="13"/>
  <c r="F13" i="13"/>
  <c r="E13" i="13"/>
  <c r="K12" i="13"/>
  <c r="J12" i="13"/>
  <c r="I12" i="13"/>
  <c r="H12" i="13"/>
  <c r="G12" i="13"/>
  <c r="F12" i="13"/>
  <c r="E12" i="13"/>
  <c r="K11" i="13"/>
  <c r="J11" i="13"/>
  <c r="I11" i="13"/>
  <c r="H11" i="13"/>
  <c r="G11" i="13"/>
  <c r="F11" i="13"/>
  <c r="E11" i="13"/>
  <c r="K10" i="13"/>
  <c r="J10" i="13"/>
  <c r="I10" i="13"/>
  <c r="H10" i="13"/>
  <c r="G10" i="13"/>
  <c r="F10" i="13"/>
  <c r="E10" i="13"/>
  <c r="K9" i="13"/>
  <c r="K79" i="13" s="1"/>
  <c r="J9" i="13"/>
  <c r="J79" i="13" s="1"/>
  <c r="I9" i="13"/>
  <c r="I79" i="13" s="1"/>
  <c r="H9" i="13"/>
  <c r="H79" i="13" s="1"/>
  <c r="G9" i="13"/>
  <c r="G79" i="13" s="1"/>
  <c r="F9" i="13"/>
  <c r="F79" i="13" s="1"/>
  <c r="E9" i="13"/>
  <c r="E79" i="13" s="1"/>
  <c r="K8" i="13"/>
  <c r="K78" i="13" s="1"/>
  <c r="J8" i="13"/>
  <c r="J78" i="13" s="1"/>
  <c r="I8" i="13"/>
  <c r="I78" i="13" s="1"/>
  <c r="H8" i="13"/>
  <c r="H78" i="13" s="1"/>
  <c r="G8" i="13"/>
  <c r="G78" i="13" s="1"/>
  <c r="F8" i="13"/>
  <c r="F78" i="13" s="1"/>
  <c r="E8" i="13"/>
  <c r="E78" i="13" s="1"/>
  <c r="F6" i="13"/>
  <c r="G6" i="13"/>
  <c r="H6" i="13"/>
  <c r="I6" i="13"/>
  <c r="J6" i="13"/>
  <c r="K6" i="13"/>
  <c r="F7" i="13"/>
  <c r="G7" i="13"/>
  <c r="H7" i="13"/>
  <c r="I7" i="13"/>
  <c r="J7" i="13"/>
  <c r="K7" i="13"/>
  <c r="E7" i="13"/>
  <c r="E6" i="13"/>
  <c r="B18" i="13"/>
  <c r="B16" i="13"/>
  <c r="B14" i="13"/>
  <c r="B12" i="13"/>
  <c r="B10" i="13"/>
  <c r="B8" i="13"/>
  <c r="B6" i="13"/>
  <c r="B5" i="13"/>
  <c r="E68" i="14"/>
  <c r="F68" i="14"/>
  <c r="G68" i="14"/>
  <c r="H68" i="14"/>
  <c r="I68" i="14"/>
  <c r="J68" i="14"/>
  <c r="D65" i="14"/>
  <c r="D62" i="14"/>
  <c r="D37" i="14"/>
  <c r="D40" i="14"/>
  <c r="E43" i="14"/>
  <c r="F43" i="14"/>
  <c r="G43" i="14"/>
  <c r="H43" i="14"/>
  <c r="I43" i="14"/>
  <c r="J43" i="14"/>
  <c r="J66" i="14"/>
  <c r="I66" i="14"/>
  <c r="H66" i="14"/>
  <c r="G66" i="14"/>
  <c r="F66" i="14"/>
  <c r="E66" i="14"/>
  <c r="D66" i="14"/>
  <c r="J65" i="14"/>
  <c r="I65" i="14"/>
  <c r="H65" i="14"/>
  <c r="G65" i="14"/>
  <c r="F65" i="14"/>
  <c r="E65" i="14"/>
  <c r="J64" i="14"/>
  <c r="I64" i="14"/>
  <c r="H64" i="14"/>
  <c r="G64" i="14"/>
  <c r="F64" i="14"/>
  <c r="E64" i="14"/>
  <c r="J63" i="14"/>
  <c r="I63" i="14"/>
  <c r="H63" i="14"/>
  <c r="G63" i="14"/>
  <c r="F63" i="14"/>
  <c r="E63" i="14"/>
  <c r="J62" i="14"/>
  <c r="I62" i="14"/>
  <c r="H62" i="14"/>
  <c r="G62" i="14"/>
  <c r="F62" i="14"/>
  <c r="E62" i="14"/>
  <c r="J59" i="14"/>
  <c r="I59" i="14"/>
  <c r="H59" i="14"/>
  <c r="G59" i="14"/>
  <c r="F59" i="14"/>
  <c r="E59" i="14"/>
  <c r="D59" i="14"/>
  <c r="J58" i="14"/>
  <c r="I58" i="14"/>
  <c r="H58" i="14"/>
  <c r="G58" i="14"/>
  <c r="F58" i="14"/>
  <c r="E58" i="14"/>
  <c r="D58" i="14"/>
  <c r="J57" i="14"/>
  <c r="I57" i="14"/>
  <c r="H57" i="14"/>
  <c r="G57" i="14"/>
  <c r="F57" i="14"/>
  <c r="E57" i="14"/>
  <c r="D57" i="14"/>
  <c r="J41" i="14"/>
  <c r="I41" i="14"/>
  <c r="H41" i="14"/>
  <c r="G41" i="14"/>
  <c r="F41" i="14"/>
  <c r="E41" i="14"/>
  <c r="D41" i="14"/>
  <c r="J40" i="14"/>
  <c r="I40" i="14"/>
  <c r="H40" i="14"/>
  <c r="G40" i="14"/>
  <c r="F40" i="14"/>
  <c r="E40" i="14"/>
  <c r="J39" i="14"/>
  <c r="I39" i="14"/>
  <c r="H39" i="14"/>
  <c r="G39" i="14"/>
  <c r="F39" i="14"/>
  <c r="E39" i="14"/>
  <c r="J38" i="14"/>
  <c r="I38" i="14"/>
  <c r="H38" i="14"/>
  <c r="G38" i="14"/>
  <c r="F38" i="14"/>
  <c r="E38" i="14"/>
  <c r="J37" i="14"/>
  <c r="I37" i="14"/>
  <c r="H37" i="14"/>
  <c r="G37" i="14"/>
  <c r="F37" i="14"/>
  <c r="E37" i="14"/>
  <c r="J34" i="14"/>
  <c r="I34" i="14"/>
  <c r="H34" i="14"/>
  <c r="G34" i="14"/>
  <c r="F34" i="14"/>
  <c r="E34" i="14"/>
  <c r="D34" i="14"/>
  <c r="J33" i="14"/>
  <c r="I33" i="14"/>
  <c r="H33" i="14"/>
  <c r="G33" i="14"/>
  <c r="F33" i="14"/>
  <c r="E33" i="14"/>
  <c r="D33" i="14"/>
  <c r="J32" i="14"/>
  <c r="I32" i="14"/>
  <c r="H32" i="14"/>
  <c r="G32" i="14"/>
  <c r="F32" i="14"/>
  <c r="E32" i="14"/>
  <c r="D32" i="14"/>
  <c r="O1" i="11" l="1"/>
  <c r="B4" i="11"/>
  <c r="F4" i="11"/>
  <c r="G4" i="11"/>
  <c r="H4" i="11"/>
  <c r="I4" i="11"/>
  <c r="J4" i="11"/>
  <c r="K4" i="11"/>
  <c r="F5" i="11"/>
  <c r="G5" i="11"/>
  <c r="H5" i="11"/>
  <c r="I5" i="11"/>
  <c r="J5" i="11"/>
  <c r="K5" i="11"/>
  <c r="E5" i="11"/>
  <c r="E4" i="11"/>
  <c r="B5" i="11"/>
  <c r="R8" i="11"/>
  <c r="S8" i="11"/>
  <c r="T8" i="11"/>
  <c r="U8" i="11"/>
  <c r="V8" i="11"/>
  <c r="W8" i="11"/>
  <c r="R9" i="11"/>
  <c r="AB9" i="11" s="1"/>
  <c r="S9" i="11"/>
  <c r="AC9" i="11" s="1"/>
  <c r="T9" i="11"/>
  <c r="AD9" i="11" s="1"/>
  <c r="U9" i="11"/>
  <c r="AE9" i="11" s="1"/>
  <c r="V9" i="11"/>
  <c r="AF9" i="11" s="1"/>
  <c r="W9" i="11"/>
  <c r="AG9" i="11" s="1"/>
  <c r="Q9" i="11"/>
  <c r="AA9" i="11" s="1"/>
  <c r="Q8" i="11"/>
  <c r="R10" i="11"/>
  <c r="T10" i="11"/>
  <c r="U10" i="11"/>
  <c r="V10" i="11"/>
  <c r="W10" i="11"/>
  <c r="R11" i="11"/>
  <c r="AB11" i="11" s="1"/>
  <c r="S11" i="11"/>
  <c r="AC11" i="11" s="1"/>
  <c r="T11" i="11"/>
  <c r="AD11" i="11" s="1"/>
  <c r="U11" i="11"/>
  <c r="AE11" i="11" s="1"/>
  <c r="V11" i="11"/>
  <c r="AF11" i="11" s="1"/>
  <c r="W11" i="11"/>
  <c r="AG11" i="11" s="1"/>
  <c r="Q11" i="11"/>
  <c r="AA11" i="11" s="1"/>
  <c r="Q10" i="11"/>
  <c r="R12" i="11"/>
  <c r="S12" i="11"/>
  <c r="T12" i="11"/>
  <c r="U12" i="11"/>
  <c r="V12" i="11"/>
  <c r="W12" i="11"/>
  <c r="R13" i="11"/>
  <c r="AB13" i="11" s="1"/>
  <c r="S13" i="11"/>
  <c r="AC13" i="11" s="1"/>
  <c r="T13" i="11"/>
  <c r="AD13" i="11" s="1"/>
  <c r="U13" i="11"/>
  <c r="AE13" i="11" s="1"/>
  <c r="V13" i="11"/>
  <c r="AF13" i="11" s="1"/>
  <c r="W13" i="11"/>
  <c r="AG13" i="11" s="1"/>
  <c r="Q13" i="11"/>
  <c r="AA13" i="11" s="1"/>
  <c r="Q12" i="11"/>
  <c r="R6" i="11"/>
  <c r="S6" i="11"/>
  <c r="T6" i="11"/>
  <c r="U6" i="11"/>
  <c r="V6" i="11"/>
  <c r="W6" i="11"/>
  <c r="R7" i="11"/>
  <c r="AB7" i="11" s="1"/>
  <c r="S7" i="11"/>
  <c r="AC7" i="11" s="1"/>
  <c r="T7" i="11"/>
  <c r="AD7" i="11" s="1"/>
  <c r="U7" i="11"/>
  <c r="AE7" i="11" s="1"/>
  <c r="V7" i="11"/>
  <c r="AF7" i="11" s="1"/>
  <c r="W7" i="11"/>
  <c r="AG7" i="11" s="1"/>
  <c r="Q7" i="11"/>
  <c r="AA7" i="11" s="1"/>
  <c r="Q6" i="11"/>
  <c r="R4" i="11"/>
  <c r="S4" i="11"/>
  <c r="T4" i="11"/>
  <c r="U4" i="11"/>
  <c r="V4" i="11"/>
  <c r="W4" i="11"/>
  <c r="R5" i="11"/>
  <c r="AB5" i="11" s="1"/>
  <c r="S5" i="11"/>
  <c r="AC5" i="11" s="1"/>
  <c r="T5" i="11"/>
  <c r="AD5" i="11" s="1"/>
  <c r="U5" i="11"/>
  <c r="AE5" i="11" s="1"/>
  <c r="V5" i="11"/>
  <c r="AF5" i="11" s="1"/>
  <c r="W5" i="11"/>
  <c r="AG5" i="11" s="1"/>
  <c r="Q5" i="11"/>
  <c r="AA5" i="11" s="1"/>
  <c r="Q4" i="11"/>
  <c r="K83" i="11"/>
  <c r="J83" i="11"/>
  <c r="I83" i="11"/>
  <c r="H83" i="11"/>
  <c r="G83" i="11"/>
  <c r="F83" i="11"/>
  <c r="E83" i="11"/>
  <c r="K82" i="11"/>
  <c r="J82" i="11"/>
  <c r="I82" i="11"/>
  <c r="H82" i="11"/>
  <c r="G82" i="11"/>
  <c r="F82" i="11"/>
  <c r="E82" i="11"/>
  <c r="K81" i="11"/>
  <c r="J81" i="11"/>
  <c r="I81" i="11"/>
  <c r="H81" i="11"/>
  <c r="G81" i="11"/>
  <c r="F81" i="11"/>
  <c r="E81" i="11"/>
  <c r="K80" i="11"/>
  <c r="J80" i="11"/>
  <c r="I80" i="11"/>
  <c r="H80" i="11"/>
  <c r="G80" i="11"/>
  <c r="F80" i="11"/>
  <c r="E80" i="11"/>
  <c r="K79" i="11"/>
  <c r="J79" i="11"/>
  <c r="I79" i="11"/>
  <c r="H79" i="11"/>
  <c r="G79" i="11"/>
  <c r="F79" i="11"/>
  <c r="E79" i="11"/>
  <c r="K78" i="11"/>
  <c r="J78" i="11"/>
  <c r="I78" i="11"/>
  <c r="H78" i="11"/>
  <c r="G78" i="11"/>
  <c r="F78" i="11"/>
  <c r="E78" i="11"/>
  <c r="K77" i="11"/>
  <c r="J77" i="11"/>
  <c r="I77" i="11"/>
  <c r="H77" i="11"/>
  <c r="G77" i="11"/>
  <c r="F77" i="11"/>
  <c r="E77" i="11"/>
  <c r="K76" i="11"/>
  <c r="J76" i="11"/>
  <c r="I76" i="11"/>
  <c r="H76" i="11"/>
  <c r="G76" i="11"/>
  <c r="F76" i="11"/>
  <c r="E76" i="11"/>
  <c r="K75" i="11"/>
  <c r="J75" i="11"/>
  <c r="I75" i="11"/>
  <c r="H75" i="11"/>
  <c r="G75" i="11"/>
  <c r="F75" i="11"/>
  <c r="E75" i="11"/>
  <c r="K74" i="11"/>
  <c r="J74" i="11"/>
  <c r="I74" i="11"/>
  <c r="H74" i="11"/>
  <c r="G74" i="11"/>
  <c r="F74" i="11"/>
  <c r="E74" i="11"/>
  <c r="K73" i="11"/>
  <c r="J73" i="11"/>
  <c r="I73" i="11"/>
  <c r="H73" i="11"/>
  <c r="G73" i="11"/>
  <c r="F73" i="11"/>
  <c r="E73" i="11"/>
  <c r="K72" i="11"/>
  <c r="J72" i="11"/>
  <c r="I72" i="11"/>
  <c r="H72" i="11"/>
  <c r="G72" i="11"/>
  <c r="F72" i="11"/>
  <c r="E72" i="11"/>
  <c r="K71" i="11"/>
  <c r="J71" i="11"/>
  <c r="I71" i="11"/>
  <c r="H71" i="11"/>
  <c r="G71" i="11"/>
  <c r="F71" i="11"/>
  <c r="E71" i="11"/>
  <c r="K70" i="11"/>
  <c r="J70" i="11"/>
  <c r="I70" i="11"/>
  <c r="H70" i="11"/>
  <c r="G70" i="11"/>
  <c r="F70" i="11"/>
  <c r="E70" i="11"/>
  <c r="F68" i="11"/>
  <c r="G68" i="11"/>
  <c r="H68" i="11"/>
  <c r="I68" i="11"/>
  <c r="J68" i="11"/>
  <c r="K68" i="11"/>
  <c r="F69" i="11"/>
  <c r="G69" i="11"/>
  <c r="H69" i="11"/>
  <c r="I69" i="11"/>
  <c r="J69" i="11"/>
  <c r="K69" i="11"/>
  <c r="E69" i="11"/>
  <c r="E68" i="11"/>
  <c r="B82" i="11"/>
  <c r="B80" i="11"/>
  <c r="B78" i="11"/>
  <c r="B76" i="11"/>
  <c r="B74" i="11"/>
  <c r="B72" i="11"/>
  <c r="B70" i="11"/>
  <c r="B68" i="11"/>
  <c r="K67" i="11"/>
  <c r="J67" i="11"/>
  <c r="I67" i="11"/>
  <c r="H67" i="11"/>
  <c r="G67" i="11"/>
  <c r="F67" i="11"/>
  <c r="E67" i="11"/>
  <c r="K66" i="11"/>
  <c r="J66" i="11"/>
  <c r="I66" i="11"/>
  <c r="H66" i="11"/>
  <c r="G66" i="11"/>
  <c r="F66" i="11"/>
  <c r="E66" i="11"/>
  <c r="K65" i="11"/>
  <c r="J65" i="11"/>
  <c r="I65" i="11"/>
  <c r="H65" i="11"/>
  <c r="G65" i="11"/>
  <c r="F65" i="11"/>
  <c r="E65" i="11"/>
  <c r="K64" i="11"/>
  <c r="J64" i="11"/>
  <c r="I64" i="11"/>
  <c r="H64" i="11"/>
  <c r="G64" i="11"/>
  <c r="F64" i="11"/>
  <c r="E64" i="11"/>
  <c r="K63" i="11"/>
  <c r="J63" i="11"/>
  <c r="I63" i="11"/>
  <c r="H63" i="11"/>
  <c r="G63" i="11"/>
  <c r="F63" i="11"/>
  <c r="E63" i="11"/>
  <c r="K62" i="11"/>
  <c r="J62" i="11"/>
  <c r="I62" i="11"/>
  <c r="H62" i="11"/>
  <c r="G62" i="11"/>
  <c r="F62" i="11"/>
  <c r="E62" i="11"/>
  <c r="K61" i="11"/>
  <c r="J61" i="11"/>
  <c r="I61" i="11"/>
  <c r="H61" i="11"/>
  <c r="G61" i="11"/>
  <c r="F61" i="11"/>
  <c r="E61" i="11"/>
  <c r="K60" i="11"/>
  <c r="J60" i="11"/>
  <c r="I60" i="11"/>
  <c r="H60" i="11"/>
  <c r="G60" i="11"/>
  <c r="F60" i="11"/>
  <c r="E60" i="11"/>
  <c r="K59" i="11"/>
  <c r="J59" i="11"/>
  <c r="I59" i="11"/>
  <c r="H59" i="11"/>
  <c r="G59" i="11"/>
  <c r="F59" i="11"/>
  <c r="E59" i="11"/>
  <c r="K58" i="11"/>
  <c r="J58" i="11"/>
  <c r="I58" i="11"/>
  <c r="H58" i="11"/>
  <c r="G58" i="11"/>
  <c r="F58" i="11"/>
  <c r="E58" i="11"/>
  <c r="K57" i="11"/>
  <c r="J57" i="11"/>
  <c r="I57" i="11"/>
  <c r="H57" i="11"/>
  <c r="G57" i="11"/>
  <c r="F57" i="11"/>
  <c r="E57" i="11"/>
  <c r="K56" i="11"/>
  <c r="J56" i="11"/>
  <c r="I56" i="11"/>
  <c r="H56" i="11"/>
  <c r="G56" i="11"/>
  <c r="F56" i="11"/>
  <c r="E56" i="11"/>
  <c r="K55" i="11"/>
  <c r="J55" i="11"/>
  <c r="I55" i="11"/>
  <c r="H55" i="11"/>
  <c r="G55" i="11"/>
  <c r="F55" i="11"/>
  <c r="E55" i="11"/>
  <c r="K54" i="11"/>
  <c r="J54" i="11"/>
  <c r="I54" i="11"/>
  <c r="H54" i="11"/>
  <c r="G54" i="11"/>
  <c r="F54" i="11"/>
  <c r="E54" i="11"/>
  <c r="F52" i="11"/>
  <c r="G52" i="11"/>
  <c r="H52" i="11"/>
  <c r="I52" i="11"/>
  <c r="J52" i="11"/>
  <c r="K52" i="11"/>
  <c r="F53" i="11"/>
  <c r="G53" i="11"/>
  <c r="H53" i="11"/>
  <c r="I53" i="11"/>
  <c r="J53" i="11"/>
  <c r="K53" i="11"/>
  <c r="E53" i="11"/>
  <c r="E52" i="11"/>
  <c r="B66" i="11"/>
  <c r="B64" i="11"/>
  <c r="B62" i="11"/>
  <c r="B60" i="11"/>
  <c r="B58" i="11"/>
  <c r="B56" i="11"/>
  <c r="B54" i="11"/>
  <c r="B52" i="11"/>
  <c r="K51" i="11"/>
  <c r="J51" i="11"/>
  <c r="I51" i="11"/>
  <c r="H51" i="11"/>
  <c r="G51" i="11"/>
  <c r="F51" i="11"/>
  <c r="E51" i="11"/>
  <c r="K50" i="11"/>
  <c r="J50" i="11"/>
  <c r="I50" i="11"/>
  <c r="H50" i="11"/>
  <c r="G50" i="11"/>
  <c r="F50" i="11"/>
  <c r="E50" i="11"/>
  <c r="K49" i="11"/>
  <c r="J49" i="11"/>
  <c r="I49" i="11"/>
  <c r="H49" i="11"/>
  <c r="G49" i="11"/>
  <c r="F49" i="11"/>
  <c r="E49" i="11"/>
  <c r="K48" i="11"/>
  <c r="J48" i="11"/>
  <c r="I48" i="11"/>
  <c r="H48" i="11"/>
  <c r="G48" i="11"/>
  <c r="F48" i="11"/>
  <c r="E48" i="11"/>
  <c r="K47" i="11"/>
  <c r="J47" i="11"/>
  <c r="I47" i="11"/>
  <c r="H47" i="11"/>
  <c r="G47" i="11"/>
  <c r="F47" i="11"/>
  <c r="E47" i="11"/>
  <c r="K46" i="11"/>
  <c r="J46" i="11"/>
  <c r="I46" i="11"/>
  <c r="H46" i="11"/>
  <c r="G46" i="11"/>
  <c r="F46" i="11"/>
  <c r="E46" i="11"/>
  <c r="K45" i="11"/>
  <c r="J45" i="11"/>
  <c r="I45" i="11"/>
  <c r="H45" i="11"/>
  <c r="G45" i="11"/>
  <c r="F45" i="11"/>
  <c r="E45" i="11"/>
  <c r="K44" i="11"/>
  <c r="J44" i="11"/>
  <c r="I44" i="11"/>
  <c r="H44" i="11"/>
  <c r="G44" i="11"/>
  <c r="F44" i="11"/>
  <c r="E44" i="11"/>
  <c r="K43" i="11"/>
  <c r="J43" i="11"/>
  <c r="I43" i="11"/>
  <c r="H43" i="11"/>
  <c r="G43" i="11"/>
  <c r="F43" i="11"/>
  <c r="E43" i="11"/>
  <c r="K42" i="11"/>
  <c r="J42" i="11"/>
  <c r="I42" i="11"/>
  <c r="H42" i="11"/>
  <c r="G42" i="11"/>
  <c r="F42" i="11"/>
  <c r="E42" i="11"/>
  <c r="K41" i="11"/>
  <c r="J41" i="11"/>
  <c r="I41" i="11"/>
  <c r="H41" i="11"/>
  <c r="G41" i="11"/>
  <c r="F41" i="11"/>
  <c r="E41" i="11"/>
  <c r="K40" i="11"/>
  <c r="J40" i="11"/>
  <c r="I40" i="11"/>
  <c r="H40" i="11"/>
  <c r="G40" i="11"/>
  <c r="F40" i="11"/>
  <c r="E40" i="11"/>
  <c r="K39" i="11"/>
  <c r="J39" i="11"/>
  <c r="I39" i="11"/>
  <c r="H39" i="11"/>
  <c r="G39" i="11"/>
  <c r="F39" i="11"/>
  <c r="E39" i="11"/>
  <c r="K38" i="11"/>
  <c r="J38" i="11"/>
  <c r="I38" i="11"/>
  <c r="H38" i="11"/>
  <c r="G38" i="11"/>
  <c r="F38" i="11"/>
  <c r="E38" i="11"/>
  <c r="F36" i="11"/>
  <c r="G36" i="11"/>
  <c r="H36" i="11"/>
  <c r="I36" i="11"/>
  <c r="J36" i="11"/>
  <c r="K36" i="11"/>
  <c r="F37" i="11"/>
  <c r="G37" i="11"/>
  <c r="H37" i="11"/>
  <c r="I37" i="11"/>
  <c r="J37" i="11"/>
  <c r="K37" i="11"/>
  <c r="E37" i="11"/>
  <c r="E36" i="11"/>
  <c r="B50" i="11"/>
  <c r="B48" i="11"/>
  <c r="B46" i="11"/>
  <c r="B44" i="11"/>
  <c r="B42" i="11"/>
  <c r="B40" i="11"/>
  <c r="B38" i="11"/>
  <c r="B36" i="11"/>
  <c r="K35" i="11"/>
  <c r="J35" i="11"/>
  <c r="I35" i="11"/>
  <c r="H35" i="11"/>
  <c r="G35" i="11"/>
  <c r="F35" i="11"/>
  <c r="E35" i="11"/>
  <c r="K34" i="11"/>
  <c r="J34" i="11"/>
  <c r="I34" i="11"/>
  <c r="H34" i="11"/>
  <c r="G34" i="11"/>
  <c r="F34" i="11"/>
  <c r="E34" i="11"/>
  <c r="K33" i="11"/>
  <c r="J33" i="11"/>
  <c r="I33" i="11"/>
  <c r="H33" i="11"/>
  <c r="G33" i="11"/>
  <c r="F33" i="11"/>
  <c r="E33" i="11"/>
  <c r="K32" i="11"/>
  <c r="J32" i="11"/>
  <c r="I32" i="11"/>
  <c r="H32" i="11"/>
  <c r="G32" i="11"/>
  <c r="F32" i="11"/>
  <c r="E32" i="11"/>
  <c r="K31" i="11"/>
  <c r="J31" i="11"/>
  <c r="I31" i="11"/>
  <c r="H31" i="11"/>
  <c r="G31" i="11"/>
  <c r="F31" i="11"/>
  <c r="E31" i="11"/>
  <c r="K30" i="11"/>
  <c r="J30" i="11"/>
  <c r="I30" i="11"/>
  <c r="H30" i="11"/>
  <c r="G30" i="11"/>
  <c r="F30" i="11"/>
  <c r="E30" i="11"/>
  <c r="K29" i="11"/>
  <c r="J29" i="11"/>
  <c r="I29" i="11"/>
  <c r="H29" i="11"/>
  <c r="G29" i="11"/>
  <c r="F29" i="11"/>
  <c r="E29" i="11"/>
  <c r="K28" i="11"/>
  <c r="J28" i="11"/>
  <c r="I28" i="11"/>
  <c r="H28" i="11"/>
  <c r="G28" i="11"/>
  <c r="F28" i="11"/>
  <c r="E28" i="11"/>
  <c r="K27" i="11"/>
  <c r="J27" i="11"/>
  <c r="I27" i="11"/>
  <c r="H27" i="11"/>
  <c r="G27" i="11"/>
  <c r="F27" i="11"/>
  <c r="E27" i="11"/>
  <c r="K26" i="11"/>
  <c r="J26" i="11"/>
  <c r="I26" i="11"/>
  <c r="H26" i="11"/>
  <c r="G26" i="11"/>
  <c r="F26" i="11"/>
  <c r="E26" i="11"/>
  <c r="K25" i="11"/>
  <c r="J25" i="11"/>
  <c r="I25" i="11"/>
  <c r="H25" i="11"/>
  <c r="G25" i="11"/>
  <c r="F25" i="11"/>
  <c r="E25" i="11"/>
  <c r="K24" i="11"/>
  <c r="J24" i="11"/>
  <c r="I24" i="11"/>
  <c r="H24" i="11"/>
  <c r="G24" i="11"/>
  <c r="F24" i="11"/>
  <c r="E24" i="11"/>
  <c r="K23" i="11"/>
  <c r="J23" i="11"/>
  <c r="I23" i="11"/>
  <c r="H23" i="11"/>
  <c r="G23" i="11"/>
  <c r="F23" i="11"/>
  <c r="E23" i="11"/>
  <c r="K22" i="11"/>
  <c r="J22" i="11"/>
  <c r="I22" i="11"/>
  <c r="H22" i="11"/>
  <c r="G22" i="11"/>
  <c r="F22" i="11"/>
  <c r="E22" i="11"/>
  <c r="F20" i="11"/>
  <c r="G20" i="11"/>
  <c r="H20" i="11"/>
  <c r="I20" i="11"/>
  <c r="J20" i="11"/>
  <c r="K20" i="11"/>
  <c r="F21" i="11"/>
  <c r="G21" i="11"/>
  <c r="H21" i="11"/>
  <c r="I21" i="11"/>
  <c r="J21" i="11"/>
  <c r="K21" i="11"/>
  <c r="E21" i="11"/>
  <c r="E20" i="11"/>
  <c r="B34" i="11"/>
  <c r="B32" i="11"/>
  <c r="B30" i="11"/>
  <c r="B28" i="11"/>
  <c r="B26" i="11"/>
  <c r="B24" i="11"/>
  <c r="B22" i="11"/>
  <c r="B20" i="11"/>
  <c r="K19" i="11"/>
  <c r="J19" i="11"/>
  <c r="I19" i="11"/>
  <c r="H19" i="11"/>
  <c r="G19" i="11"/>
  <c r="F19" i="11"/>
  <c r="E19" i="11"/>
  <c r="K18" i="11"/>
  <c r="J18" i="11"/>
  <c r="I18" i="11"/>
  <c r="H18" i="11"/>
  <c r="G18" i="11"/>
  <c r="F18" i="11"/>
  <c r="E18" i="11"/>
  <c r="B18" i="11"/>
  <c r="K17" i="11"/>
  <c r="J17" i="11"/>
  <c r="I17" i="11"/>
  <c r="H17" i="11"/>
  <c r="G17" i="11"/>
  <c r="F17" i="11"/>
  <c r="E17" i="11"/>
  <c r="K16" i="11"/>
  <c r="J16" i="11"/>
  <c r="I16" i="11"/>
  <c r="H16" i="11"/>
  <c r="G16" i="11"/>
  <c r="F16" i="11"/>
  <c r="E16" i="11"/>
  <c r="B16" i="11"/>
  <c r="K15" i="11"/>
  <c r="J15" i="11"/>
  <c r="I15" i="11"/>
  <c r="H15" i="11"/>
  <c r="G15" i="11"/>
  <c r="F15" i="11"/>
  <c r="E15" i="11"/>
  <c r="K14" i="11"/>
  <c r="J14" i="11"/>
  <c r="I14" i="11"/>
  <c r="H14" i="11"/>
  <c r="G14" i="11"/>
  <c r="F14" i="11"/>
  <c r="E14" i="11"/>
  <c r="B14" i="11"/>
  <c r="K13" i="11"/>
  <c r="J13" i="11"/>
  <c r="I13" i="11"/>
  <c r="H13" i="11"/>
  <c r="G13" i="11"/>
  <c r="F13" i="11"/>
  <c r="E13" i="11"/>
  <c r="K12" i="11"/>
  <c r="J12" i="11"/>
  <c r="I12" i="11"/>
  <c r="H12" i="11"/>
  <c r="G12" i="11"/>
  <c r="F12" i="11"/>
  <c r="E12" i="11"/>
  <c r="B12" i="11"/>
  <c r="K11" i="11"/>
  <c r="J11" i="11"/>
  <c r="I11" i="11"/>
  <c r="H11" i="11"/>
  <c r="G11" i="11"/>
  <c r="F11" i="11"/>
  <c r="E11" i="11"/>
  <c r="K10" i="11"/>
  <c r="J10" i="11"/>
  <c r="I10" i="11"/>
  <c r="H10" i="11"/>
  <c r="G10" i="11"/>
  <c r="F10" i="11"/>
  <c r="E10" i="11"/>
  <c r="B10" i="11"/>
  <c r="K9" i="11"/>
  <c r="J9" i="11"/>
  <c r="I9" i="11"/>
  <c r="H9" i="11"/>
  <c r="G9" i="11"/>
  <c r="F9" i="11"/>
  <c r="E9" i="11"/>
  <c r="K8" i="11"/>
  <c r="J8" i="11"/>
  <c r="I8" i="11"/>
  <c r="H8" i="11"/>
  <c r="G8" i="11"/>
  <c r="F8" i="11"/>
  <c r="E8" i="11"/>
  <c r="B8" i="11"/>
  <c r="K7" i="11"/>
  <c r="J7" i="11"/>
  <c r="I7" i="11"/>
  <c r="H7" i="11"/>
  <c r="G7" i="11"/>
  <c r="F7" i="11"/>
  <c r="E7" i="11"/>
  <c r="K6" i="11"/>
  <c r="J6" i="11"/>
  <c r="I6" i="11"/>
  <c r="H6" i="11"/>
  <c r="G6" i="11"/>
  <c r="F6" i="11"/>
  <c r="E6" i="11"/>
  <c r="B6" i="11"/>
  <c r="J67" i="10" l="1"/>
  <c r="I67" i="10"/>
  <c r="H67" i="10"/>
  <c r="G67" i="10"/>
  <c r="F67" i="10"/>
  <c r="E67" i="10"/>
  <c r="D67" i="10"/>
  <c r="J66" i="10"/>
  <c r="I66" i="10"/>
  <c r="H66" i="10"/>
  <c r="G66" i="10"/>
  <c r="F66" i="10"/>
  <c r="E66" i="10"/>
  <c r="D66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D64" i="10"/>
  <c r="L63" i="10"/>
  <c r="K63" i="10"/>
  <c r="J63" i="10"/>
  <c r="I63" i="10"/>
  <c r="H63" i="10"/>
  <c r="G63" i="10"/>
  <c r="F63" i="10"/>
  <c r="E63" i="10"/>
  <c r="D63" i="10"/>
  <c r="J62" i="10"/>
  <c r="I62" i="10"/>
  <c r="H62" i="10"/>
  <c r="G62" i="10"/>
  <c r="F62" i="10"/>
  <c r="E62" i="10"/>
  <c r="J61" i="10"/>
  <c r="I61" i="10"/>
  <c r="H61" i="10"/>
  <c r="G61" i="10"/>
  <c r="F61" i="10"/>
  <c r="E61" i="10"/>
  <c r="L60" i="10"/>
  <c r="K60" i="10"/>
  <c r="J60" i="10"/>
  <c r="I60" i="10"/>
  <c r="H60" i="10"/>
  <c r="G60" i="10"/>
  <c r="F60" i="10"/>
  <c r="E60" i="10"/>
  <c r="D60" i="10"/>
  <c r="J59" i="10"/>
  <c r="I59" i="10"/>
  <c r="H59" i="10"/>
  <c r="G59" i="10"/>
  <c r="F59" i="10"/>
  <c r="E59" i="10"/>
  <c r="D59" i="10"/>
  <c r="L58" i="10"/>
  <c r="K58" i="10"/>
  <c r="J58" i="10"/>
  <c r="I58" i="10"/>
  <c r="H58" i="10"/>
  <c r="G58" i="10"/>
  <c r="F58" i="10"/>
  <c r="E58" i="10"/>
  <c r="D58" i="10"/>
  <c r="L57" i="10"/>
  <c r="K57" i="10"/>
  <c r="J57" i="10"/>
  <c r="I57" i="10"/>
  <c r="H57" i="10"/>
  <c r="G57" i="10"/>
  <c r="F57" i="10"/>
  <c r="E57" i="10"/>
  <c r="D57" i="10"/>
  <c r="J42" i="10"/>
  <c r="I42" i="10"/>
  <c r="H42" i="10"/>
  <c r="G42" i="10"/>
  <c r="F42" i="10"/>
  <c r="E42" i="10"/>
  <c r="D42" i="10"/>
  <c r="J41" i="10"/>
  <c r="I41" i="10"/>
  <c r="H41" i="10"/>
  <c r="G41" i="10"/>
  <c r="F41" i="10"/>
  <c r="E41" i="10"/>
  <c r="D41" i="10"/>
  <c r="L40" i="10"/>
  <c r="K40" i="10"/>
  <c r="J40" i="10"/>
  <c r="I40" i="10"/>
  <c r="H40" i="10"/>
  <c r="G40" i="10"/>
  <c r="F40" i="10"/>
  <c r="E40" i="10"/>
  <c r="L39" i="10"/>
  <c r="K39" i="10"/>
  <c r="J39" i="10"/>
  <c r="I39" i="10"/>
  <c r="H39" i="10"/>
  <c r="G39" i="10"/>
  <c r="F39" i="10"/>
  <c r="E39" i="10"/>
  <c r="D39" i="10"/>
  <c r="L38" i="10"/>
  <c r="K38" i="10"/>
  <c r="J38" i="10"/>
  <c r="I38" i="10"/>
  <c r="H38" i="10"/>
  <c r="G38" i="10"/>
  <c r="F38" i="10"/>
  <c r="E38" i="10"/>
  <c r="D38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D35" i="10"/>
  <c r="L34" i="10"/>
  <c r="K34" i="10"/>
  <c r="J34" i="10"/>
  <c r="I34" i="10"/>
  <c r="H34" i="10"/>
  <c r="G34" i="10"/>
  <c r="F34" i="10"/>
  <c r="E34" i="10"/>
  <c r="D34" i="10"/>
  <c r="L33" i="10"/>
  <c r="K33" i="10"/>
  <c r="J33" i="10"/>
  <c r="I33" i="10"/>
  <c r="H33" i="10"/>
  <c r="G33" i="10"/>
  <c r="F33" i="10"/>
  <c r="E33" i="10"/>
  <c r="D33" i="10"/>
  <c r="L32" i="10"/>
  <c r="K32" i="10"/>
  <c r="J32" i="10"/>
  <c r="I32" i="10"/>
  <c r="H32" i="10"/>
  <c r="G32" i="10"/>
  <c r="F32" i="10"/>
  <c r="E32" i="10"/>
  <c r="D32" i="10"/>
  <c r="J67" i="9"/>
  <c r="I67" i="9"/>
  <c r="H67" i="9"/>
  <c r="G67" i="9"/>
  <c r="F67" i="9"/>
  <c r="E67" i="9"/>
  <c r="D67" i="9"/>
  <c r="J66" i="9"/>
  <c r="I66" i="9"/>
  <c r="H66" i="9"/>
  <c r="G66" i="9"/>
  <c r="F66" i="9"/>
  <c r="E66" i="9"/>
  <c r="D66" i="9"/>
  <c r="J65" i="9"/>
  <c r="I65" i="9"/>
  <c r="H65" i="9"/>
  <c r="G65" i="9"/>
  <c r="F65" i="9"/>
  <c r="E65" i="9"/>
  <c r="L64" i="9"/>
  <c r="K64" i="9"/>
  <c r="J64" i="9"/>
  <c r="I64" i="9"/>
  <c r="H64" i="9"/>
  <c r="G64" i="9"/>
  <c r="F64" i="9"/>
  <c r="E64" i="9"/>
  <c r="D64" i="9"/>
  <c r="L63" i="9"/>
  <c r="K63" i="9"/>
  <c r="J63" i="9"/>
  <c r="I63" i="9"/>
  <c r="H63" i="9"/>
  <c r="G63" i="9"/>
  <c r="F63" i="9"/>
  <c r="E63" i="9"/>
  <c r="D63" i="9"/>
  <c r="J62" i="9"/>
  <c r="I62" i="9"/>
  <c r="H62" i="9"/>
  <c r="G62" i="9"/>
  <c r="F62" i="9"/>
  <c r="E62" i="9"/>
  <c r="J61" i="9"/>
  <c r="I61" i="9"/>
  <c r="H61" i="9"/>
  <c r="G61" i="9"/>
  <c r="F61" i="9"/>
  <c r="E61" i="9"/>
  <c r="L60" i="9"/>
  <c r="K60" i="9"/>
  <c r="J60" i="9"/>
  <c r="I60" i="9"/>
  <c r="H60" i="9"/>
  <c r="G60" i="9"/>
  <c r="F60" i="9"/>
  <c r="E60" i="9"/>
  <c r="D60" i="9"/>
  <c r="J59" i="9"/>
  <c r="I59" i="9"/>
  <c r="H59" i="9"/>
  <c r="G59" i="9"/>
  <c r="F59" i="9"/>
  <c r="E59" i="9"/>
  <c r="D59" i="9"/>
  <c r="L58" i="9"/>
  <c r="K58" i="9"/>
  <c r="J58" i="9"/>
  <c r="I58" i="9"/>
  <c r="H58" i="9"/>
  <c r="G58" i="9"/>
  <c r="F58" i="9"/>
  <c r="E58" i="9"/>
  <c r="D58" i="9"/>
  <c r="L57" i="9"/>
  <c r="K57" i="9"/>
  <c r="J57" i="9"/>
  <c r="I57" i="9"/>
  <c r="H57" i="9"/>
  <c r="G57" i="9"/>
  <c r="F57" i="9"/>
  <c r="E57" i="9"/>
  <c r="D57" i="9"/>
  <c r="J42" i="9"/>
  <c r="I42" i="9"/>
  <c r="H42" i="9"/>
  <c r="G42" i="9"/>
  <c r="F42" i="9"/>
  <c r="E42" i="9"/>
  <c r="D42" i="9"/>
  <c r="J41" i="9"/>
  <c r="I41" i="9"/>
  <c r="H41" i="9"/>
  <c r="G41" i="9"/>
  <c r="F41" i="9"/>
  <c r="E41" i="9"/>
  <c r="D41" i="9"/>
  <c r="L40" i="9"/>
  <c r="K40" i="9"/>
  <c r="J40" i="9"/>
  <c r="I40" i="9"/>
  <c r="H40" i="9"/>
  <c r="G40" i="9"/>
  <c r="F40" i="9"/>
  <c r="E40" i="9"/>
  <c r="L39" i="9"/>
  <c r="K39" i="9"/>
  <c r="J39" i="9"/>
  <c r="I39" i="9"/>
  <c r="H39" i="9"/>
  <c r="G39" i="9"/>
  <c r="F39" i="9"/>
  <c r="E39" i="9"/>
  <c r="D39" i="9"/>
  <c r="L38" i="9"/>
  <c r="K38" i="9"/>
  <c r="J38" i="9"/>
  <c r="I38" i="9"/>
  <c r="H38" i="9"/>
  <c r="G38" i="9"/>
  <c r="F38" i="9"/>
  <c r="E38" i="9"/>
  <c r="D38" i="9"/>
  <c r="L37" i="9"/>
  <c r="K37" i="9"/>
  <c r="J37" i="9"/>
  <c r="I37" i="9"/>
  <c r="H37" i="9"/>
  <c r="G37" i="9"/>
  <c r="F37" i="9"/>
  <c r="E37" i="9"/>
  <c r="L36" i="9"/>
  <c r="K36" i="9"/>
  <c r="J36" i="9"/>
  <c r="I36" i="9"/>
  <c r="H36" i="9"/>
  <c r="G36" i="9"/>
  <c r="F36" i="9"/>
  <c r="E36" i="9"/>
  <c r="L35" i="9"/>
  <c r="K35" i="9"/>
  <c r="J35" i="9"/>
  <c r="I35" i="9"/>
  <c r="H35" i="9"/>
  <c r="G35" i="9"/>
  <c r="F35" i="9"/>
  <c r="E35" i="9"/>
  <c r="D35" i="9"/>
  <c r="L34" i="9"/>
  <c r="K34" i="9"/>
  <c r="J34" i="9"/>
  <c r="I34" i="9"/>
  <c r="H34" i="9"/>
  <c r="G34" i="9"/>
  <c r="F34" i="9"/>
  <c r="E34" i="9"/>
  <c r="D34" i="9"/>
  <c r="L33" i="9"/>
  <c r="K33" i="9"/>
  <c r="J33" i="9"/>
  <c r="I33" i="9"/>
  <c r="H33" i="9"/>
  <c r="G33" i="9"/>
  <c r="F33" i="9"/>
  <c r="E33" i="9"/>
  <c r="D33" i="9"/>
  <c r="L32" i="9"/>
  <c r="K32" i="9"/>
  <c r="J32" i="9"/>
  <c r="I32" i="9"/>
  <c r="H32" i="9"/>
  <c r="G32" i="9"/>
  <c r="F32" i="9"/>
  <c r="E32" i="9"/>
  <c r="D32" i="9"/>
  <c r="J67" i="8"/>
  <c r="I67" i="8"/>
  <c r="H67" i="8"/>
  <c r="G67" i="8"/>
  <c r="F67" i="8"/>
  <c r="E67" i="8"/>
  <c r="D67" i="8"/>
  <c r="J66" i="8"/>
  <c r="I66" i="8"/>
  <c r="H66" i="8"/>
  <c r="G66" i="8"/>
  <c r="F66" i="8"/>
  <c r="E66" i="8"/>
  <c r="D66" i="8"/>
  <c r="J65" i="8"/>
  <c r="I65" i="8"/>
  <c r="H65" i="8"/>
  <c r="G65" i="8"/>
  <c r="F65" i="8"/>
  <c r="E65" i="8"/>
  <c r="L64" i="8"/>
  <c r="K64" i="8"/>
  <c r="J64" i="8"/>
  <c r="I64" i="8"/>
  <c r="H64" i="8"/>
  <c r="G64" i="8"/>
  <c r="F64" i="8"/>
  <c r="E64" i="8"/>
  <c r="D64" i="8"/>
  <c r="L63" i="8"/>
  <c r="K63" i="8"/>
  <c r="J63" i="8"/>
  <c r="I63" i="8"/>
  <c r="H63" i="8"/>
  <c r="G63" i="8"/>
  <c r="F63" i="8"/>
  <c r="E63" i="8"/>
  <c r="D63" i="8"/>
  <c r="J62" i="8"/>
  <c r="I62" i="8"/>
  <c r="H62" i="8"/>
  <c r="G62" i="8"/>
  <c r="F62" i="8"/>
  <c r="E62" i="8"/>
  <c r="J61" i="8"/>
  <c r="I61" i="8"/>
  <c r="H61" i="8"/>
  <c r="G61" i="8"/>
  <c r="F61" i="8"/>
  <c r="E61" i="8"/>
  <c r="L60" i="8"/>
  <c r="K60" i="8"/>
  <c r="J60" i="8"/>
  <c r="I60" i="8"/>
  <c r="H60" i="8"/>
  <c r="G60" i="8"/>
  <c r="F60" i="8"/>
  <c r="E60" i="8"/>
  <c r="D60" i="8"/>
  <c r="J59" i="8"/>
  <c r="I59" i="8"/>
  <c r="H59" i="8"/>
  <c r="G59" i="8"/>
  <c r="F59" i="8"/>
  <c r="E59" i="8"/>
  <c r="D59" i="8"/>
  <c r="L58" i="8"/>
  <c r="K58" i="8"/>
  <c r="J58" i="8"/>
  <c r="I58" i="8"/>
  <c r="H58" i="8"/>
  <c r="G58" i="8"/>
  <c r="F58" i="8"/>
  <c r="E58" i="8"/>
  <c r="D58" i="8"/>
  <c r="L57" i="8"/>
  <c r="K57" i="8"/>
  <c r="J57" i="8"/>
  <c r="I57" i="8"/>
  <c r="H57" i="8"/>
  <c r="G57" i="8"/>
  <c r="F57" i="8"/>
  <c r="E57" i="8"/>
  <c r="D57" i="8"/>
  <c r="J42" i="8"/>
  <c r="I42" i="8"/>
  <c r="H42" i="8"/>
  <c r="G42" i="8"/>
  <c r="F42" i="8"/>
  <c r="E42" i="8"/>
  <c r="D42" i="8"/>
  <c r="J41" i="8"/>
  <c r="I41" i="8"/>
  <c r="H41" i="8"/>
  <c r="G41" i="8"/>
  <c r="F41" i="8"/>
  <c r="E41" i="8"/>
  <c r="D41" i="8"/>
  <c r="L40" i="8"/>
  <c r="K40" i="8"/>
  <c r="J40" i="8"/>
  <c r="I40" i="8"/>
  <c r="H40" i="8"/>
  <c r="G40" i="8"/>
  <c r="F40" i="8"/>
  <c r="E40" i="8"/>
  <c r="L39" i="8"/>
  <c r="K39" i="8"/>
  <c r="J39" i="8"/>
  <c r="I39" i="8"/>
  <c r="H39" i="8"/>
  <c r="G39" i="8"/>
  <c r="F39" i="8"/>
  <c r="E39" i="8"/>
  <c r="D39" i="8"/>
  <c r="L38" i="8"/>
  <c r="K38" i="8"/>
  <c r="J38" i="8"/>
  <c r="I38" i="8"/>
  <c r="H38" i="8"/>
  <c r="G38" i="8"/>
  <c r="F38" i="8"/>
  <c r="E38" i="8"/>
  <c r="D38" i="8"/>
  <c r="L37" i="8"/>
  <c r="K37" i="8"/>
  <c r="J37" i="8"/>
  <c r="I37" i="8"/>
  <c r="H37" i="8"/>
  <c r="G37" i="8"/>
  <c r="F37" i="8"/>
  <c r="E37" i="8"/>
  <c r="L36" i="8"/>
  <c r="K36" i="8"/>
  <c r="J36" i="8"/>
  <c r="I36" i="8"/>
  <c r="H36" i="8"/>
  <c r="G36" i="8"/>
  <c r="F36" i="8"/>
  <c r="E36" i="8"/>
  <c r="L35" i="8"/>
  <c r="K35" i="8"/>
  <c r="J35" i="8"/>
  <c r="I35" i="8"/>
  <c r="H35" i="8"/>
  <c r="G35" i="8"/>
  <c r="F35" i="8"/>
  <c r="E35" i="8"/>
  <c r="D35" i="8"/>
  <c r="L34" i="8"/>
  <c r="K34" i="8"/>
  <c r="J34" i="8"/>
  <c r="I34" i="8"/>
  <c r="H34" i="8"/>
  <c r="G34" i="8"/>
  <c r="F34" i="8"/>
  <c r="E34" i="8"/>
  <c r="D34" i="8"/>
  <c r="L33" i="8"/>
  <c r="K33" i="8"/>
  <c r="J33" i="8"/>
  <c r="I33" i="8"/>
  <c r="H33" i="8"/>
  <c r="G33" i="8"/>
  <c r="F33" i="8"/>
  <c r="E33" i="8"/>
  <c r="D33" i="8"/>
  <c r="L32" i="8"/>
  <c r="K32" i="8"/>
  <c r="J32" i="8"/>
  <c r="I32" i="8"/>
  <c r="H32" i="8"/>
  <c r="G32" i="8"/>
  <c r="F32" i="8"/>
  <c r="E32" i="8"/>
  <c r="D32" i="8"/>
  <c r="J67" i="7"/>
  <c r="I67" i="7"/>
  <c r="H67" i="7"/>
  <c r="G67" i="7"/>
  <c r="F67" i="7"/>
  <c r="E67" i="7"/>
  <c r="D67" i="7"/>
  <c r="J66" i="7"/>
  <c r="I66" i="7"/>
  <c r="H66" i="7"/>
  <c r="G66" i="7"/>
  <c r="F66" i="7"/>
  <c r="E66" i="7"/>
  <c r="D66" i="7"/>
  <c r="J65" i="7"/>
  <c r="I65" i="7"/>
  <c r="H65" i="7"/>
  <c r="G65" i="7"/>
  <c r="F65" i="7"/>
  <c r="E65" i="7"/>
  <c r="L64" i="7"/>
  <c r="K64" i="7"/>
  <c r="J64" i="7"/>
  <c r="I64" i="7"/>
  <c r="H64" i="7"/>
  <c r="G64" i="7"/>
  <c r="F64" i="7"/>
  <c r="E64" i="7"/>
  <c r="D64" i="7"/>
  <c r="L63" i="7"/>
  <c r="K63" i="7"/>
  <c r="J63" i="7"/>
  <c r="I63" i="7"/>
  <c r="H63" i="7"/>
  <c r="G63" i="7"/>
  <c r="F63" i="7"/>
  <c r="E63" i="7"/>
  <c r="D63" i="7"/>
  <c r="J62" i="7"/>
  <c r="I62" i="7"/>
  <c r="H62" i="7"/>
  <c r="G62" i="7"/>
  <c r="F62" i="7"/>
  <c r="E62" i="7"/>
  <c r="J61" i="7"/>
  <c r="I61" i="7"/>
  <c r="H61" i="7"/>
  <c r="G61" i="7"/>
  <c r="F61" i="7"/>
  <c r="E61" i="7"/>
  <c r="L60" i="7"/>
  <c r="K60" i="7"/>
  <c r="J60" i="7"/>
  <c r="I60" i="7"/>
  <c r="H60" i="7"/>
  <c r="G60" i="7"/>
  <c r="F60" i="7"/>
  <c r="S10" i="11" s="1"/>
  <c r="E60" i="7"/>
  <c r="D60" i="7"/>
  <c r="J59" i="7"/>
  <c r="I59" i="7"/>
  <c r="H59" i="7"/>
  <c r="G59" i="7"/>
  <c r="E59" i="7"/>
  <c r="D59" i="7"/>
  <c r="L58" i="7"/>
  <c r="K58" i="7"/>
  <c r="J58" i="7"/>
  <c r="I58" i="7"/>
  <c r="H58" i="7"/>
  <c r="G58" i="7"/>
  <c r="F58" i="7"/>
  <c r="E58" i="7"/>
  <c r="D58" i="7"/>
  <c r="L57" i="7"/>
  <c r="K57" i="7"/>
  <c r="J57" i="7"/>
  <c r="I57" i="7"/>
  <c r="H57" i="7"/>
  <c r="G57" i="7"/>
  <c r="F57" i="7"/>
  <c r="E57" i="7"/>
  <c r="D57" i="7"/>
  <c r="J42" i="7"/>
  <c r="I42" i="7"/>
  <c r="H42" i="7"/>
  <c r="G42" i="7"/>
  <c r="F42" i="7"/>
  <c r="E42" i="7"/>
  <c r="D42" i="7"/>
  <c r="J41" i="7"/>
  <c r="I41" i="7"/>
  <c r="H41" i="7"/>
  <c r="G41" i="7"/>
  <c r="F41" i="7"/>
  <c r="E41" i="7"/>
  <c r="D41" i="7"/>
  <c r="L40" i="7"/>
  <c r="K40" i="7"/>
  <c r="J40" i="7"/>
  <c r="I40" i="7"/>
  <c r="H40" i="7"/>
  <c r="G40" i="7"/>
  <c r="F40" i="7"/>
  <c r="E40" i="7"/>
  <c r="L39" i="7"/>
  <c r="K39" i="7"/>
  <c r="J39" i="7"/>
  <c r="I39" i="7"/>
  <c r="H39" i="7"/>
  <c r="G39" i="7"/>
  <c r="F39" i="7"/>
  <c r="E39" i="7"/>
  <c r="D39" i="7"/>
  <c r="L38" i="7"/>
  <c r="K38" i="7"/>
  <c r="J38" i="7"/>
  <c r="I38" i="7"/>
  <c r="H38" i="7"/>
  <c r="G38" i="7"/>
  <c r="F38" i="7"/>
  <c r="E38" i="7"/>
  <c r="D38" i="7"/>
  <c r="L37" i="7"/>
  <c r="K37" i="7"/>
  <c r="J37" i="7"/>
  <c r="I37" i="7"/>
  <c r="H37" i="7"/>
  <c r="G37" i="7"/>
  <c r="F37" i="7"/>
  <c r="E37" i="7"/>
  <c r="L36" i="7"/>
  <c r="K36" i="7"/>
  <c r="J36" i="7"/>
  <c r="I36" i="7"/>
  <c r="H36" i="7"/>
  <c r="G36" i="7"/>
  <c r="F36" i="7"/>
  <c r="E36" i="7"/>
  <c r="L35" i="7"/>
  <c r="K35" i="7"/>
  <c r="J35" i="7"/>
  <c r="I35" i="7"/>
  <c r="H35" i="7"/>
  <c r="G35" i="7"/>
  <c r="F35" i="7"/>
  <c r="E35" i="7"/>
  <c r="D35" i="7"/>
  <c r="L34" i="7"/>
  <c r="K34" i="7"/>
  <c r="J34" i="7"/>
  <c r="I34" i="7"/>
  <c r="H34" i="7"/>
  <c r="G34" i="7"/>
  <c r="F34" i="7"/>
  <c r="E34" i="7"/>
  <c r="D34" i="7"/>
  <c r="L33" i="7"/>
  <c r="K33" i="7"/>
  <c r="J33" i="7"/>
  <c r="I33" i="7"/>
  <c r="H33" i="7"/>
  <c r="G33" i="7"/>
  <c r="F33" i="7"/>
  <c r="E33" i="7"/>
  <c r="D33" i="7"/>
  <c r="L32" i="7"/>
  <c r="K32" i="7"/>
  <c r="J32" i="7"/>
  <c r="I32" i="7"/>
  <c r="H32" i="7"/>
  <c r="G32" i="7"/>
  <c r="F32" i="7"/>
  <c r="E32" i="7"/>
  <c r="D32" i="7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32" i="2"/>
  <c r="E32" i="2"/>
  <c r="F32" i="2"/>
  <c r="G32" i="2"/>
  <c r="H32" i="2"/>
  <c r="I32" i="2"/>
  <c r="J32" i="2"/>
  <c r="D33" i="2"/>
  <c r="E33" i="2"/>
  <c r="F33" i="2"/>
  <c r="G33" i="2"/>
  <c r="H33" i="2"/>
  <c r="I33" i="2"/>
  <c r="J33" i="2"/>
  <c r="D34" i="2"/>
  <c r="E34" i="2"/>
  <c r="F34" i="2"/>
  <c r="G34" i="2"/>
  <c r="H34" i="2"/>
  <c r="I34" i="2"/>
  <c r="J34" i="2"/>
  <c r="D35" i="2"/>
  <c r="E35" i="2"/>
  <c r="F35" i="2"/>
  <c r="G35" i="2"/>
  <c r="H35" i="2"/>
  <c r="I35" i="2"/>
  <c r="J35" i="2"/>
  <c r="D36" i="2"/>
  <c r="E36" i="2"/>
  <c r="F36" i="2"/>
  <c r="G36" i="2"/>
  <c r="H36" i="2"/>
  <c r="I36" i="2"/>
  <c r="J36" i="2"/>
  <c r="D37" i="2"/>
  <c r="E37" i="2"/>
  <c r="F37" i="2"/>
  <c r="G37" i="2"/>
  <c r="H37" i="2"/>
  <c r="I37" i="2"/>
  <c r="J37" i="2"/>
  <c r="D38" i="2"/>
  <c r="E38" i="2"/>
  <c r="F38" i="2"/>
  <c r="G38" i="2"/>
  <c r="H38" i="2"/>
  <c r="I38" i="2"/>
  <c r="J38" i="2"/>
  <c r="D39" i="2"/>
  <c r="E39" i="2"/>
  <c r="F39" i="2"/>
  <c r="G39" i="2"/>
  <c r="H39" i="2"/>
  <c r="I39" i="2"/>
  <c r="J39" i="2"/>
  <c r="D40" i="2"/>
  <c r="E40" i="2"/>
  <c r="F40" i="2"/>
  <c r="G40" i="2"/>
  <c r="H40" i="2"/>
  <c r="I40" i="2"/>
  <c r="J40" i="2"/>
  <c r="D41" i="2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67" i="1" l="1"/>
  <c r="E67" i="1"/>
  <c r="F67" i="1"/>
  <c r="G67" i="1"/>
  <c r="H67" i="1"/>
  <c r="I67" i="1"/>
  <c r="J67" i="1"/>
  <c r="D66" i="1"/>
  <c r="E66" i="1"/>
  <c r="F66" i="1"/>
  <c r="G66" i="1"/>
  <c r="H66" i="1"/>
  <c r="I66" i="1"/>
  <c r="J66" i="1"/>
  <c r="L68" i="5" l="1"/>
  <c r="K68" i="5"/>
  <c r="J68" i="5"/>
  <c r="I68" i="5"/>
  <c r="H68" i="5"/>
  <c r="G68" i="5"/>
  <c r="F68" i="5"/>
  <c r="E68" i="5"/>
  <c r="D68" i="5"/>
  <c r="L67" i="5"/>
  <c r="K67" i="5"/>
  <c r="J67" i="5"/>
  <c r="I67" i="5"/>
  <c r="H67" i="5"/>
  <c r="G67" i="5"/>
  <c r="F67" i="5"/>
  <c r="E67" i="5"/>
  <c r="D67" i="5"/>
  <c r="L66" i="5"/>
  <c r="K66" i="5"/>
  <c r="J66" i="5"/>
  <c r="I66" i="5"/>
  <c r="G66" i="5"/>
  <c r="F66" i="5"/>
  <c r="E66" i="5"/>
  <c r="D66" i="5"/>
  <c r="L65" i="5"/>
  <c r="K65" i="5"/>
  <c r="J65" i="5"/>
  <c r="I65" i="5"/>
  <c r="H65" i="5"/>
  <c r="G65" i="5"/>
  <c r="F65" i="5"/>
  <c r="E65" i="5"/>
  <c r="L64" i="5"/>
  <c r="K64" i="5"/>
  <c r="J64" i="5"/>
  <c r="I64" i="5"/>
  <c r="H64" i="5"/>
  <c r="G64" i="5"/>
  <c r="F64" i="5"/>
  <c r="E64" i="5"/>
  <c r="D64" i="5"/>
  <c r="L63" i="5"/>
  <c r="K63" i="5"/>
  <c r="J63" i="5"/>
  <c r="I63" i="5"/>
  <c r="H63" i="5"/>
  <c r="G63" i="5"/>
  <c r="F63" i="5"/>
  <c r="E63" i="5"/>
  <c r="D63" i="5"/>
  <c r="L62" i="5"/>
  <c r="K62" i="5"/>
  <c r="J62" i="5"/>
  <c r="I62" i="5"/>
  <c r="H62" i="5"/>
  <c r="G62" i="5"/>
  <c r="F62" i="5"/>
  <c r="E62" i="5"/>
  <c r="L61" i="5"/>
  <c r="K61" i="5"/>
  <c r="J61" i="5"/>
  <c r="I61" i="5"/>
  <c r="H61" i="5"/>
  <c r="G61" i="5"/>
  <c r="F61" i="5"/>
  <c r="E61" i="5"/>
  <c r="L60" i="5"/>
  <c r="K60" i="5"/>
  <c r="J60" i="5"/>
  <c r="I60" i="5"/>
  <c r="H60" i="5"/>
  <c r="G60" i="5"/>
  <c r="F60" i="5"/>
  <c r="E60" i="5"/>
  <c r="D60" i="5"/>
  <c r="J59" i="5"/>
  <c r="I59" i="5"/>
  <c r="H59" i="5"/>
  <c r="G59" i="5"/>
  <c r="F59" i="5"/>
  <c r="E59" i="5"/>
  <c r="D59" i="5"/>
  <c r="L58" i="5"/>
  <c r="K58" i="5"/>
  <c r="J58" i="5"/>
  <c r="I58" i="5"/>
  <c r="H58" i="5"/>
  <c r="G58" i="5"/>
  <c r="F58" i="5"/>
  <c r="E58" i="5"/>
  <c r="D58" i="5"/>
  <c r="L57" i="5"/>
  <c r="K57" i="5"/>
  <c r="J57" i="5"/>
  <c r="I57" i="5"/>
  <c r="H57" i="5"/>
  <c r="G57" i="5"/>
  <c r="F57" i="5"/>
  <c r="E57" i="5"/>
  <c r="D57" i="5"/>
  <c r="L43" i="5"/>
  <c r="K43" i="5"/>
  <c r="J43" i="5"/>
  <c r="I43" i="5"/>
  <c r="H43" i="5"/>
  <c r="G43" i="5"/>
  <c r="F43" i="5"/>
  <c r="E43" i="5"/>
  <c r="D43" i="5"/>
  <c r="L42" i="5"/>
  <c r="K42" i="5"/>
  <c r="J42" i="5"/>
  <c r="I42" i="5"/>
  <c r="H42" i="5"/>
  <c r="G42" i="5"/>
  <c r="F42" i="5"/>
  <c r="E42" i="5"/>
  <c r="D42" i="5"/>
  <c r="L41" i="5"/>
  <c r="K41" i="5"/>
  <c r="J41" i="5"/>
  <c r="I41" i="5"/>
  <c r="G41" i="5"/>
  <c r="F41" i="5"/>
  <c r="E41" i="5"/>
  <c r="D41" i="5"/>
  <c r="L40" i="5"/>
  <c r="K40" i="5"/>
  <c r="J40" i="5"/>
  <c r="I40" i="5"/>
  <c r="H40" i="5"/>
  <c r="G40" i="5"/>
  <c r="F40" i="5"/>
  <c r="E40" i="5"/>
  <c r="D40" i="5"/>
  <c r="L39" i="5"/>
  <c r="K39" i="5"/>
  <c r="J39" i="5"/>
  <c r="I39" i="5"/>
  <c r="H39" i="5"/>
  <c r="G39" i="5"/>
  <c r="F39" i="5"/>
  <c r="E39" i="5"/>
  <c r="D39" i="5"/>
  <c r="L38" i="5"/>
  <c r="K38" i="5"/>
  <c r="J38" i="5"/>
  <c r="I38" i="5"/>
  <c r="H38" i="5"/>
  <c r="G38" i="5"/>
  <c r="F38" i="5"/>
  <c r="E38" i="5"/>
  <c r="D38" i="5"/>
  <c r="L37" i="5"/>
  <c r="K37" i="5"/>
  <c r="J37" i="5"/>
  <c r="I37" i="5"/>
  <c r="H37" i="5"/>
  <c r="G37" i="5"/>
  <c r="F37" i="5"/>
  <c r="E37" i="5"/>
  <c r="D37" i="5"/>
  <c r="L36" i="5"/>
  <c r="K36" i="5"/>
  <c r="J36" i="5"/>
  <c r="I36" i="5"/>
  <c r="H36" i="5"/>
  <c r="G36" i="5"/>
  <c r="F36" i="5"/>
  <c r="E36" i="5"/>
  <c r="D36" i="5"/>
  <c r="L35" i="5"/>
  <c r="K35" i="5"/>
  <c r="J35" i="5"/>
  <c r="I35" i="5"/>
  <c r="H35" i="5"/>
  <c r="G35" i="5"/>
  <c r="F35" i="5"/>
  <c r="E35" i="5"/>
  <c r="D35" i="5"/>
  <c r="L34" i="5"/>
  <c r="K34" i="5"/>
  <c r="J34" i="5"/>
  <c r="I34" i="5"/>
  <c r="H34" i="5"/>
  <c r="G34" i="5"/>
  <c r="F34" i="5"/>
  <c r="E34" i="5"/>
  <c r="D34" i="5"/>
  <c r="L33" i="5"/>
  <c r="K33" i="5"/>
  <c r="J33" i="5"/>
  <c r="I33" i="5"/>
  <c r="H33" i="5"/>
  <c r="G33" i="5"/>
  <c r="F33" i="5"/>
  <c r="E33" i="5"/>
  <c r="D33" i="5"/>
  <c r="L32" i="5"/>
  <c r="K32" i="5"/>
  <c r="J32" i="5"/>
  <c r="I32" i="5"/>
  <c r="H32" i="5"/>
  <c r="G32" i="5"/>
  <c r="F32" i="5"/>
  <c r="E32" i="5"/>
  <c r="D32" i="5"/>
  <c r="L68" i="4" l="1"/>
  <c r="K68" i="4"/>
  <c r="J68" i="4"/>
  <c r="I68" i="4"/>
  <c r="H68" i="4"/>
  <c r="G68" i="4"/>
  <c r="F68" i="4"/>
  <c r="E68" i="4"/>
  <c r="L67" i="4"/>
  <c r="K67" i="4"/>
  <c r="J67" i="4"/>
  <c r="I67" i="4"/>
  <c r="H67" i="4"/>
  <c r="G67" i="4"/>
  <c r="F67" i="4"/>
  <c r="E67" i="4"/>
  <c r="L66" i="4"/>
  <c r="K66" i="4"/>
  <c r="J66" i="4"/>
  <c r="I66" i="4"/>
  <c r="G66" i="4"/>
  <c r="F66" i="4"/>
  <c r="E66" i="4"/>
  <c r="L65" i="4"/>
  <c r="K65" i="4"/>
  <c r="J65" i="4"/>
  <c r="I65" i="4"/>
  <c r="H65" i="4"/>
  <c r="G65" i="4"/>
  <c r="F65" i="4"/>
  <c r="E65" i="4"/>
  <c r="L64" i="4"/>
  <c r="K64" i="4"/>
  <c r="J64" i="4"/>
  <c r="I64" i="4"/>
  <c r="H64" i="4"/>
  <c r="G64" i="4"/>
  <c r="F64" i="4"/>
  <c r="E64" i="4"/>
  <c r="L63" i="4"/>
  <c r="K63" i="4"/>
  <c r="J63" i="4"/>
  <c r="I63" i="4"/>
  <c r="H63" i="4"/>
  <c r="G63" i="4"/>
  <c r="F63" i="4"/>
  <c r="E63" i="4"/>
  <c r="L62" i="4"/>
  <c r="K62" i="4"/>
  <c r="J62" i="4"/>
  <c r="I62" i="4"/>
  <c r="H62" i="4"/>
  <c r="G62" i="4"/>
  <c r="F62" i="4"/>
  <c r="E62" i="4"/>
  <c r="L61" i="4"/>
  <c r="K61" i="4"/>
  <c r="J61" i="4"/>
  <c r="I61" i="4"/>
  <c r="H61" i="4"/>
  <c r="G61" i="4"/>
  <c r="F61" i="4"/>
  <c r="E61" i="4"/>
  <c r="L60" i="4"/>
  <c r="K60" i="4"/>
  <c r="J60" i="4"/>
  <c r="I60" i="4"/>
  <c r="H60" i="4"/>
  <c r="G60" i="4"/>
  <c r="F60" i="4"/>
  <c r="E60" i="4"/>
  <c r="D60" i="4"/>
  <c r="J59" i="4"/>
  <c r="I59" i="4"/>
  <c r="H59" i="4"/>
  <c r="G59" i="4"/>
  <c r="F59" i="4"/>
  <c r="E59" i="4"/>
  <c r="D59" i="4"/>
  <c r="L58" i="4"/>
  <c r="K58" i="4"/>
  <c r="J58" i="4"/>
  <c r="I58" i="4"/>
  <c r="H58" i="4"/>
  <c r="G58" i="4"/>
  <c r="F58" i="4"/>
  <c r="E58" i="4"/>
  <c r="D58" i="4"/>
  <c r="L57" i="4"/>
  <c r="K57" i="4"/>
  <c r="J57" i="4"/>
  <c r="I57" i="4"/>
  <c r="H57" i="4"/>
  <c r="G57" i="4"/>
  <c r="F57" i="4"/>
  <c r="E57" i="4"/>
  <c r="D57" i="4"/>
  <c r="L43" i="4"/>
  <c r="K43" i="4"/>
  <c r="J43" i="4"/>
  <c r="I43" i="4"/>
  <c r="H43" i="4"/>
  <c r="G43" i="4"/>
  <c r="F43" i="4"/>
  <c r="E43" i="4"/>
  <c r="D43" i="4"/>
  <c r="L42" i="4"/>
  <c r="K42" i="4"/>
  <c r="J42" i="4"/>
  <c r="I42" i="4"/>
  <c r="H42" i="4"/>
  <c r="G42" i="4"/>
  <c r="F42" i="4"/>
  <c r="E42" i="4"/>
  <c r="D42" i="4"/>
  <c r="L41" i="4"/>
  <c r="K41" i="4"/>
  <c r="J41" i="4"/>
  <c r="I41" i="4"/>
  <c r="G41" i="4"/>
  <c r="F41" i="4"/>
  <c r="E41" i="4"/>
  <c r="D41" i="4"/>
  <c r="L40" i="4"/>
  <c r="K40" i="4"/>
  <c r="J40" i="4"/>
  <c r="I40" i="4"/>
  <c r="H40" i="4"/>
  <c r="G40" i="4"/>
  <c r="F40" i="4"/>
  <c r="E40" i="4"/>
  <c r="D40" i="4"/>
  <c r="L39" i="4"/>
  <c r="K39" i="4"/>
  <c r="J39" i="4"/>
  <c r="I39" i="4"/>
  <c r="H39" i="4"/>
  <c r="G39" i="4"/>
  <c r="F39" i="4"/>
  <c r="E39" i="4"/>
  <c r="D39" i="4"/>
  <c r="L38" i="4"/>
  <c r="K38" i="4"/>
  <c r="J38" i="4"/>
  <c r="I38" i="4"/>
  <c r="H38" i="4"/>
  <c r="G38" i="4"/>
  <c r="F38" i="4"/>
  <c r="E38" i="4"/>
  <c r="D38" i="4"/>
  <c r="L37" i="4"/>
  <c r="K37" i="4"/>
  <c r="J37" i="4"/>
  <c r="I37" i="4"/>
  <c r="H37" i="4"/>
  <c r="G37" i="4"/>
  <c r="F37" i="4"/>
  <c r="E37" i="4"/>
  <c r="D37" i="4"/>
  <c r="L36" i="4"/>
  <c r="K36" i="4"/>
  <c r="J36" i="4"/>
  <c r="I36" i="4"/>
  <c r="H36" i="4"/>
  <c r="G36" i="4"/>
  <c r="F36" i="4"/>
  <c r="E36" i="4"/>
  <c r="D36" i="4"/>
  <c r="L35" i="4"/>
  <c r="K35" i="4"/>
  <c r="J35" i="4"/>
  <c r="I35" i="4"/>
  <c r="H35" i="4"/>
  <c r="G35" i="4"/>
  <c r="F35" i="4"/>
  <c r="E35" i="4"/>
  <c r="D35" i="4"/>
  <c r="L34" i="4"/>
  <c r="K34" i="4"/>
  <c r="J34" i="4"/>
  <c r="I34" i="4"/>
  <c r="H34" i="4"/>
  <c r="G34" i="4"/>
  <c r="F34" i="4"/>
  <c r="E34" i="4"/>
  <c r="D34" i="4"/>
  <c r="L33" i="4"/>
  <c r="K33" i="4"/>
  <c r="J33" i="4"/>
  <c r="I33" i="4"/>
  <c r="H33" i="4"/>
  <c r="G33" i="4"/>
  <c r="F33" i="4"/>
  <c r="E33" i="4"/>
  <c r="D33" i="4"/>
  <c r="L32" i="4"/>
  <c r="K32" i="4"/>
  <c r="J32" i="4"/>
  <c r="I32" i="4"/>
  <c r="H32" i="4"/>
  <c r="G32" i="4"/>
  <c r="F32" i="4"/>
  <c r="E32" i="4"/>
  <c r="D32" i="4"/>
  <c r="E60" i="2"/>
  <c r="F60" i="2"/>
  <c r="G60" i="2"/>
  <c r="H60" i="2"/>
  <c r="I60" i="2"/>
  <c r="J60" i="2"/>
  <c r="K60" i="2"/>
  <c r="L60" i="2"/>
  <c r="E61" i="2"/>
  <c r="F61" i="2"/>
  <c r="G61" i="2"/>
  <c r="H61" i="2"/>
  <c r="I61" i="2"/>
  <c r="J61" i="2"/>
  <c r="K61" i="2"/>
  <c r="L61" i="2"/>
  <c r="E62" i="2"/>
  <c r="F62" i="2"/>
  <c r="G62" i="2"/>
  <c r="H62" i="2"/>
  <c r="I62" i="2"/>
  <c r="J62" i="2"/>
  <c r="K62" i="2"/>
  <c r="L62" i="2"/>
  <c r="E63" i="2"/>
  <c r="F63" i="2"/>
  <c r="G63" i="2"/>
  <c r="H63" i="2"/>
  <c r="I63" i="2"/>
  <c r="J63" i="2"/>
  <c r="K63" i="2"/>
  <c r="L63" i="2"/>
  <c r="E64" i="2"/>
  <c r="F64" i="2"/>
  <c r="G64" i="2"/>
  <c r="H64" i="2"/>
  <c r="I64" i="2"/>
  <c r="J64" i="2"/>
  <c r="K64" i="2"/>
  <c r="L64" i="2"/>
  <c r="E65" i="2"/>
  <c r="F65" i="2"/>
  <c r="G65" i="2"/>
  <c r="H65" i="2"/>
  <c r="I65" i="2"/>
  <c r="J65" i="2"/>
  <c r="K65" i="2"/>
  <c r="L65" i="2"/>
  <c r="E66" i="2"/>
  <c r="F66" i="2"/>
  <c r="G66" i="2"/>
  <c r="H66" i="2"/>
  <c r="I66" i="2"/>
  <c r="J66" i="2"/>
  <c r="K66" i="2"/>
  <c r="L66" i="2"/>
  <c r="E67" i="2"/>
  <c r="F67" i="2"/>
  <c r="G67" i="2"/>
  <c r="H67" i="2"/>
  <c r="I67" i="2"/>
  <c r="J67" i="2"/>
  <c r="K67" i="2"/>
  <c r="L67" i="2"/>
  <c r="E68" i="2"/>
  <c r="F68" i="2"/>
  <c r="G68" i="2"/>
  <c r="H68" i="2"/>
  <c r="I68" i="2"/>
  <c r="J68" i="2"/>
  <c r="K68" i="2"/>
  <c r="L68" i="2"/>
  <c r="D61" i="2"/>
  <c r="D62" i="2"/>
  <c r="D63" i="2"/>
  <c r="D64" i="2"/>
  <c r="D65" i="2"/>
  <c r="D66" i="2"/>
  <c r="D67" i="2"/>
  <c r="D68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D60" i="2"/>
  <c r="J59" i="2"/>
  <c r="I59" i="2"/>
  <c r="H59" i="2"/>
  <c r="G59" i="2"/>
  <c r="F59" i="2"/>
  <c r="E59" i="2"/>
  <c r="D59" i="2"/>
  <c r="L58" i="2"/>
  <c r="K58" i="2"/>
  <c r="J58" i="2"/>
  <c r="I58" i="2"/>
  <c r="H58" i="2"/>
  <c r="G58" i="2"/>
  <c r="F58" i="2"/>
  <c r="E58" i="2"/>
  <c r="D58" i="2"/>
  <c r="L57" i="2"/>
  <c r="K57" i="2"/>
  <c r="J57" i="2"/>
  <c r="I57" i="2"/>
  <c r="H57" i="2"/>
  <c r="G57" i="2"/>
  <c r="F57" i="2"/>
  <c r="E57" i="2"/>
  <c r="D57" i="2"/>
  <c r="L34" i="2"/>
  <c r="K34" i="2"/>
  <c r="L33" i="2"/>
  <c r="K33" i="2"/>
  <c r="L32" i="2"/>
  <c r="K32" i="2"/>
  <c r="K32" i="1" l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57" i="1"/>
  <c r="L57" i="1"/>
  <c r="K58" i="1"/>
  <c r="L58" i="1"/>
  <c r="K60" i="1"/>
  <c r="L60" i="1"/>
  <c r="K63" i="1"/>
  <c r="L63" i="1"/>
  <c r="K64" i="1"/>
  <c r="L64" i="1"/>
  <c r="H59" i="1"/>
  <c r="I59" i="1"/>
  <c r="J59" i="1"/>
  <c r="J61" i="1"/>
  <c r="H62" i="1"/>
  <c r="I62" i="1"/>
  <c r="J62" i="1"/>
  <c r="H65" i="1"/>
  <c r="I65" i="1"/>
  <c r="J65" i="1"/>
  <c r="H63" i="1" l="1"/>
  <c r="I63" i="1"/>
  <c r="J63" i="1"/>
  <c r="H64" i="1"/>
  <c r="I64" i="1"/>
  <c r="J64" i="1"/>
  <c r="H57" i="1"/>
  <c r="I57" i="1"/>
  <c r="J57" i="1"/>
  <c r="H58" i="1"/>
  <c r="I58" i="1"/>
  <c r="J58" i="1"/>
  <c r="F59" i="1"/>
  <c r="G59" i="1"/>
  <c r="F60" i="1"/>
  <c r="G60" i="1"/>
  <c r="H60" i="1"/>
  <c r="I60" i="1"/>
  <c r="J60" i="1"/>
  <c r="F61" i="1"/>
  <c r="G61" i="1"/>
  <c r="H61" i="1"/>
  <c r="I61" i="1"/>
  <c r="E61" i="1"/>
  <c r="E57" i="1"/>
  <c r="F57" i="1"/>
  <c r="G57" i="1"/>
  <c r="E58" i="1"/>
  <c r="F58" i="1"/>
  <c r="G58" i="1"/>
  <c r="E59" i="1"/>
  <c r="E60" i="1"/>
  <c r="E62" i="1"/>
  <c r="F62" i="1"/>
  <c r="G62" i="1"/>
  <c r="E63" i="1"/>
  <c r="F63" i="1"/>
  <c r="G63" i="1"/>
  <c r="E64" i="1"/>
  <c r="F64" i="1"/>
  <c r="G64" i="1"/>
  <c r="E65" i="1"/>
  <c r="F65" i="1"/>
  <c r="G65" i="1"/>
  <c r="D58" i="1"/>
  <c r="D59" i="1"/>
  <c r="D60" i="1"/>
  <c r="D63" i="1"/>
  <c r="D64" i="1"/>
  <c r="D57" i="1"/>
</calcChain>
</file>

<file path=xl/sharedStrings.xml><?xml version="1.0" encoding="utf-8"?>
<sst xmlns="http://schemas.openxmlformats.org/spreadsheetml/2006/main" count="871" uniqueCount="44">
  <si>
    <t>МО</t>
  </si>
  <si>
    <t>Classic ACO</t>
  </si>
  <si>
    <t>non CUDA Time</t>
  </si>
  <si>
    <t>Дисперсия</t>
  </si>
  <si>
    <t>omp</t>
  </si>
  <si>
    <t>non CUDA transp Time</t>
  </si>
  <si>
    <t>non CUDA transp_AVX Time</t>
  </si>
  <si>
    <t>non CUDA transp_AVX_OMP Time</t>
  </si>
  <si>
    <t>CUDA ant add CPU Time</t>
  </si>
  <si>
    <t>CUDA ant add CPU12</t>
  </si>
  <si>
    <t>CUDA ant add CPU_AVX_transp Time</t>
  </si>
  <si>
    <t>non CUDA AVX Time</t>
  </si>
  <si>
    <t>non CUDA AVX_OMP Time</t>
  </si>
  <si>
    <t>CUDA ant add CPU_AVX Time</t>
  </si>
  <si>
    <t>12th Gen Intel(R) Core(TM) i5-12450H   2.00 GHz</t>
  </si>
  <si>
    <t>16,0 ГБ (доступно: 15,7 ГБ)</t>
  </si>
  <si>
    <t>Time non CUDA AVX time 4</t>
  </si>
  <si>
    <t>Time non CUDA AVX add CPU time 4</t>
  </si>
  <si>
    <t>Доверительный интервал</t>
  </si>
  <si>
    <t>ДИ</t>
  </si>
  <si>
    <t>Matrix ACO</t>
  </si>
  <si>
    <t>Matrix ACO + OMP</t>
  </si>
  <si>
    <t>Transp Matrix ACO</t>
  </si>
  <si>
    <t>Transp Matrix ACO + AVX</t>
  </si>
  <si>
    <t>Transp Matrix ACO + AVX + OPM</t>
  </si>
  <si>
    <t xml:space="preserve">9th Gen Intel Core i5-9400F 2.90 GHz (16Gb ОЗУ), </t>
  </si>
  <si>
    <t>8th Gen Intel Core i5-8300H 2.30 GHz (8Gb ОЗУ)</t>
  </si>
  <si>
    <t>i5-8300H</t>
  </si>
  <si>
    <t>i5-9400F</t>
  </si>
  <si>
    <t xml:space="preserve">AMD Ryzen 5 7500F 6-Core Processor 3.70GHz (8Gb ОЗУ). </t>
  </si>
  <si>
    <t>AMD Ryzen 5 7500F 6</t>
  </si>
  <si>
    <t xml:space="preserve">i5-12450H </t>
  </si>
  <si>
    <t>Matrix ACO + AVX</t>
  </si>
  <si>
    <t>Matrix ACO + AVX + OMP</t>
  </si>
  <si>
    <t>Количество параметров</t>
  </si>
  <si>
    <t>Количество слоев графа</t>
  </si>
  <si>
    <t>i5-13600K</t>
  </si>
  <si>
    <t>Количество слоев</t>
  </si>
  <si>
    <t>Матричный ACO</t>
  </si>
  <si>
    <t>Матричный ACO + OMP</t>
  </si>
  <si>
    <t>Транспонированный матричный ACO</t>
  </si>
  <si>
    <t>Транспонированный матричный ACO + AVX</t>
  </si>
  <si>
    <t>Транспонированный матричный ACO + AVX + OMP</t>
  </si>
  <si>
    <t>Матричный ACO + AVX + OMP + специальный граф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</si>
</sst>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Border="1"/>
    <xf numFmtId="0" fontId="1" fillId="0" borderId="1" xfId="0" applyFont="1" applyFill="1" applyBorder="1"/>
    <xf numFmtId="3" fontId="0" fillId="0" borderId="1" xfId="0" applyNumberForma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/>
    <xf numFmtId="3" fontId="0" fillId="0" borderId="1" xfId="0" applyNumberFormat="1" applyBorder="1"/>
    <xf numFmtId="3" fontId="1" fillId="0" borderId="1" xfId="0" applyNumberFormat="1" applyFont="1" applyFill="1" applyBorder="1"/>
    <xf numFmtId="2" fontId="0" fillId="0" borderId="1" xfId="0" applyNumberFormat="1" applyBorder="1"/>
    <xf numFmtId="1" fontId="0" fillId="0" borderId="1" xfId="0" applyNumberFormat="1" applyBorder="1"/>
    <xf numFmtId="3" fontId="0" fillId="2" borderId="1" xfId="0" applyNumberFormat="1" applyFill="1" applyBorder="1"/>
    <xf numFmtId="0" fontId="0" fillId="2" borderId="1" xfId="0" applyFill="1" applyBorder="1"/>
    <xf numFmtId="3" fontId="0" fillId="0" borderId="2" xfId="0" applyNumberFormat="1" applyFill="1" applyBorder="1"/>
    <xf numFmtId="3" fontId="0" fillId="0" borderId="4" xfId="0" applyNumberFormat="1" applyFill="1" applyBorder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165" fontId="0" fillId="0" borderId="0" xfId="0" applyNumberFormat="1"/>
    <xf numFmtId="1" fontId="0" fillId="0" borderId="1" xfId="0" applyNumberFormat="1" applyFill="1" applyBorder="1"/>
    <xf numFmtId="0" fontId="0" fillId="0" borderId="0" xfId="0" applyFill="1"/>
    <xf numFmtId="0" fontId="3" fillId="0" borderId="2" xfId="0" applyFont="1" applyBorder="1"/>
    <xf numFmtId="165" fontId="2" fillId="0" borderId="6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2" fillId="0" borderId="17" xfId="0" applyFont="1" applyBorder="1"/>
    <xf numFmtId="0" fontId="2" fillId="0" borderId="15" xfId="0" applyFont="1" applyBorder="1"/>
    <xf numFmtId="0" fontId="2" fillId="0" borderId="18" xfId="0" applyFont="1" applyBorder="1"/>
    <xf numFmtId="0" fontId="3" fillId="0" borderId="15" xfId="0" applyFont="1" applyBorder="1"/>
    <xf numFmtId="0" fontId="3" fillId="0" borderId="19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20" xfId="0" applyFont="1" applyBorder="1"/>
    <xf numFmtId="165" fontId="2" fillId="0" borderId="19" xfId="0" applyNumberFormat="1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65" fontId="2" fillId="0" borderId="21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165" fontId="3" fillId="0" borderId="21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5" fontId="0" fillId="0" borderId="1" xfId="0" applyNumberFormat="1" applyBorder="1"/>
    <xf numFmtId="165" fontId="0" fillId="0" borderId="3" xfId="0" applyNumberFormat="1" applyBorder="1"/>
    <xf numFmtId="0" fontId="0" fillId="0" borderId="24" xfId="0" applyBorder="1"/>
    <xf numFmtId="0" fontId="0" fillId="0" borderId="25" xfId="0" applyBorder="1"/>
    <xf numFmtId="0" fontId="0" fillId="0" borderId="12" xfId="0" applyBorder="1"/>
    <xf numFmtId="0" fontId="0" fillId="0" borderId="13" xfId="0" applyBorder="1"/>
    <xf numFmtId="0" fontId="0" fillId="0" borderId="26" xfId="0" applyBorder="1"/>
    <xf numFmtId="0" fontId="0" fillId="0" borderId="27" xfId="0" applyBorder="1"/>
    <xf numFmtId="165" fontId="0" fillId="0" borderId="28" xfId="0" applyNumberFormat="1" applyBorder="1"/>
    <xf numFmtId="165" fontId="0" fillId="0" borderId="29" xfId="0" applyNumberFormat="1" applyBorder="1"/>
    <xf numFmtId="0" fontId="0" fillId="0" borderId="30" xfId="0" applyBorder="1"/>
    <xf numFmtId="0" fontId="0" fillId="0" borderId="31" xfId="0" applyBorder="1"/>
    <xf numFmtId="165" fontId="0" fillId="0" borderId="33" xfId="0" applyNumberFormat="1" applyBorder="1"/>
    <xf numFmtId="165" fontId="0" fillId="0" borderId="9" xfId="0" applyNumberFormat="1" applyBorder="1"/>
    <xf numFmtId="165" fontId="0" fillId="0" borderId="27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0" fontId="0" fillId="0" borderId="32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/>
    <xf numFmtId="0" fontId="0" fillId="0" borderId="14" xfId="0" applyBorder="1" applyAlignment="1"/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0" fillId="0" borderId="15" xfId="0" applyBorder="1" applyAlignment="1"/>
    <xf numFmtId="0" fontId="2" fillId="0" borderId="2" xfId="0" applyFont="1" applyBorder="1" applyAlignment="1"/>
    <xf numFmtId="0" fontId="0" fillId="0" borderId="16" xfId="0" applyBorder="1" applyAlignment="1"/>
    <xf numFmtId="0" fontId="2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Itog_100!$O$4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Itog_100!$Q$2:$W$2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Itog_100!$Q$4:$W$4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3-4B46-9DF0-9F94539004F8}"/>
            </c:ext>
          </c:extLst>
        </c:ser>
        <c:ser>
          <c:idx val="1"/>
          <c:order val="1"/>
          <c:tx>
            <c:strRef>
              <c:f>Itog_100!$O$6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Itog_100!$Q$2:$W$2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Itog_100!$Q$6:$W$6</c:f>
              <c:numCache>
                <c:formatCode>0</c:formatCode>
                <c:ptCount val="7"/>
                <c:pt idx="0">
                  <c:v>15.9250278166479</c:v>
                </c:pt>
                <c:pt idx="1">
                  <c:v>19.213642390762043</c:v>
                </c:pt>
                <c:pt idx="2">
                  <c:v>20.896919766031715</c:v>
                </c:pt>
                <c:pt idx="3">
                  <c:v>21.533306202631632</c:v>
                </c:pt>
                <c:pt idx="4">
                  <c:v>19.015856454087849</c:v>
                </c:pt>
                <c:pt idx="5">
                  <c:v>20.967084597651674</c:v>
                </c:pt>
                <c:pt idx="6">
                  <c:v>22.907658696955018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3-4B46-9DF0-9F94539004F8}"/>
            </c:ext>
          </c:extLst>
        </c:ser>
        <c:ser>
          <c:idx val="2"/>
          <c:order val="2"/>
          <c:tx>
            <c:strRef>
              <c:f>Itog_100!$O$8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Itog_100!$Q$2:$W$2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Itog_100!$Q$8:$W$8</c:f>
              <c:numCache>
                <c:formatCode>0</c:formatCode>
                <c:ptCount val="7"/>
                <c:pt idx="0">
                  <c:v>19.6354032852689</c:v>
                </c:pt>
                <c:pt idx="1">
                  <c:v>23.32475874470865</c:v>
                </c:pt>
                <c:pt idx="2">
                  <c:v>28.373103604628074</c:v>
                </c:pt>
                <c:pt idx="3">
                  <c:v>29.574829737997916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B3-4B46-9DF0-9F94539004F8}"/>
            </c:ext>
          </c:extLst>
        </c:ser>
        <c:ser>
          <c:idx val="3"/>
          <c:order val="3"/>
          <c:tx>
            <c:strRef>
              <c:f>Itog_100!$O$10</c:f>
              <c:strCache>
                <c:ptCount val="1"/>
                <c:pt idx="0">
                  <c:v>10000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Itog_100!$Q$2:$W$2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Itog_100!$Q$10:$W$10</c:f>
              <c:numCache>
                <c:formatCode>0</c:formatCode>
                <c:ptCount val="7"/>
                <c:pt idx="0">
                  <c:v>33.794017647962839</c:v>
                </c:pt>
                <c:pt idx="1">
                  <c:v>47.950970814609391</c:v>
                </c:pt>
                <c:pt idx="2">
                  <c:v>33.248451363567625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B3-4B46-9DF0-9F94539004F8}"/>
            </c:ext>
          </c:extLst>
        </c:ser>
        <c:ser>
          <c:idx val="4"/>
          <c:order val="4"/>
          <c:tx>
            <c:strRef>
              <c:f>Itog_100!$O$12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Itog_100!$Q$2:$W$2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Itog_100!$Q$12:$W$12</c:f>
              <c:numCache>
                <c:formatCode>0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B3-4B46-9DF0-9F9453900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00127"/>
        <c:axId val="1764298879"/>
      </c:lineChart>
      <c:catAx>
        <c:axId val="1764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298879"/>
        <c:crosses val="autoZero"/>
        <c:auto val="1"/>
        <c:lblAlgn val="ctr"/>
        <c:lblOffset val="100"/>
        <c:noMultiLvlLbl val="0"/>
      </c:catAx>
      <c:valAx>
        <c:axId val="17642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3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Время работы</a:t>
            </a:r>
            <a:r>
              <a:rPr lang="ru-RU" baseline="0"/>
              <a:t> </a:t>
            </a:r>
            <a:r>
              <a:rPr lang="en-US" baseline="0"/>
              <a:t>Matrix</a:t>
            </a:r>
            <a:r>
              <a:rPr lang="ru-RU"/>
              <a:t> </a:t>
            </a:r>
            <a:r>
              <a:rPr lang="en-US"/>
              <a:t>ACO</a:t>
            </a:r>
            <a:r>
              <a:rPr lang="ru-RU"/>
              <a:t> для</a:t>
            </a:r>
            <a:r>
              <a:rPr lang="ru-RU" baseline="0"/>
              <a:t> одного параметра</a:t>
            </a:r>
            <a:r>
              <a:rPr lang="ru-RU"/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8860184611755E-2"/>
          <c:y val="3.542673107890499E-2"/>
          <c:w val="0.9345147306024949"/>
          <c:h val="0.80586658551738999"/>
        </c:manualLayout>
      </c:layout>
      <c:lineChart>
        <c:grouping val="standard"/>
        <c:varyColors val="0"/>
        <c:ser>
          <c:idx val="0"/>
          <c:order val="0"/>
          <c:tx>
            <c:strRef>
              <c:f>Itog!$O$4</c:f>
              <c:strCache>
                <c:ptCount val="1"/>
                <c:pt idx="0">
                  <c:v>i5-8300H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Itog!$Q$4:$W$4</c:f>
              <c:numCache>
                <c:formatCode>0</c:formatCode>
                <c:ptCount val="7"/>
                <c:pt idx="0">
                  <c:v>1012.9384</c:v>
                </c:pt>
                <c:pt idx="1">
                  <c:v>1856.1192000000001</c:v>
                </c:pt>
                <c:pt idx="2">
                  <c:v>3594.4351999999994</c:v>
                </c:pt>
                <c:pt idx="3">
                  <c:v>7098.9367999999995</c:v>
                </c:pt>
                <c:pt idx="4">
                  <c:v>13991.565999999999</c:v>
                </c:pt>
                <c:pt idx="5">
                  <c:v>27308.063999999991</c:v>
                </c:pt>
                <c:pt idx="6">
                  <c:v>53372.171999999977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8-4038-8281-FBB902465EE6}"/>
            </c:ext>
          </c:extLst>
        </c:ser>
        <c:ser>
          <c:idx val="1"/>
          <c:order val="1"/>
          <c:tx>
            <c:strRef>
              <c:f>Itog!$O$6</c:f>
              <c:strCache>
                <c:ptCount val="1"/>
                <c:pt idx="0">
                  <c:v>i5-9400F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Itog!$Q$6:$W$6</c:f>
              <c:numCache>
                <c:formatCode>0</c:formatCode>
                <c:ptCount val="7"/>
                <c:pt idx="0">
                  <c:v>1021.2763999999999</c:v>
                </c:pt>
                <c:pt idx="1">
                  <c:v>1875.4454000000003</c:v>
                </c:pt>
                <c:pt idx="2">
                  <c:v>3606.0204000000008</c:v>
                </c:pt>
                <c:pt idx="3">
                  <c:v>7106.4438000000009</c:v>
                </c:pt>
                <c:pt idx="4">
                  <c:v>14355.808000000001</c:v>
                </c:pt>
                <c:pt idx="5">
                  <c:v>27843.877999999993</c:v>
                </c:pt>
                <c:pt idx="6">
                  <c:v>54934.597999999998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8-4038-8281-FBB902465EE6}"/>
            </c:ext>
          </c:extLst>
        </c:ser>
        <c:ser>
          <c:idx val="2"/>
          <c:order val="2"/>
          <c:tx>
            <c:strRef>
              <c:f>Itog!$O$8</c:f>
              <c:strCache>
                <c:ptCount val="1"/>
                <c:pt idx="0">
                  <c:v>i5-12450H 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Itog!$Q$8:$W$8</c:f>
              <c:numCache>
                <c:formatCode>0</c:formatCode>
                <c:ptCount val="7"/>
                <c:pt idx="0">
                  <c:v>565.78236000000004</c:v>
                </c:pt>
                <c:pt idx="1">
                  <c:v>1048.5618000000002</c:v>
                </c:pt>
                <c:pt idx="2">
                  <c:v>1982.6899999999996</c:v>
                </c:pt>
                <c:pt idx="3">
                  <c:v>3787.3732000000014</c:v>
                </c:pt>
                <c:pt idx="4">
                  <c:v>7666.1589999999997</c:v>
                </c:pt>
                <c:pt idx="5">
                  <c:v>15021.705999999998</c:v>
                </c:pt>
                <c:pt idx="6">
                  <c:v>30206.626000000011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F8-4038-8281-FBB902465EE6}"/>
            </c:ext>
          </c:extLst>
        </c:ser>
        <c:ser>
          <c:idx val="3"/>
          <c:order val="3"/>
          <c:tx>
            <c:strRef>
              <c:f>Itog!$O$10</c:f>
              <c:strCache>
                <c:ptCount val="1"/>
                <c:pt idx="0">
                  <c:v>i5-13600K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Itog!$Q$10:$W$10</c:f>
              <c:numCache>
                <c:formatCode>0</c:formatCode>
                <c:ptCount val="7"/>
                <c:pt idx="0">
                  <c:v>487.2340999999999</c:v>
                </c:pt>
                <c:pt idx="1">
                  <c:v>885.85572000000013</c:v>
                </c:pt>
                <c:pt idx="2">
                  <c:v>1657.3222000000003</c:v>
                </c:pt>
                <c:pt idx="3">
                  <c:v>3201.0855999999994</c:v>
                </c:pt>
                <c:pt idx="4">
                  <c:v>6411.2783999999992</c:v>
                </c:pt>
                <c:pt idx="5">
                  <c:v>12839.331999999997</c:v>
                </c:pt>
                <c:pt idx="6">
                  <c:v>25321.222000000002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8-4038-8281-FBB902465EE6}"/>
            </c:ext>
          </c:extLst>
        </c:ser>
        <c:ser>
          <c:idx val="4"/>
          <c:order val="4"/>
          <c:tx>
            <c:strRef>
              <c:f>Itog!$O$12</c:f>
              <c:strCache>
                <c:ptCount val="1"/>
                <c:pt idx="0">
                  <c:v>AMD Ryzen 5 7500F 6</c:v>
                </c:pt>
              </c:strCache>
            </c:strRef>
          </c:tx>
          <c:spPr>
            <a:ln w="53975" cap="rnd" cmpd="dbl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Itog!$Q$12:$W$12</c:f>
              <c:numCache>
                <c:formatCode>0</c:formatCode>
                <c:ptCount val="7"/>
                <c:pt idx="0">
                  <c:v>886.85582000000022</c:v>
                </c:pt>
                <c:pt idx="1">
                  <c:v>1627.4021999999998</c:v>
                </c:pt>
                <c:pt idx="2">
                  <c:v>3159.8702000000003</c:v>
                </c:pt>
                <c:pt idx="3">
                  <c:v>6191.9177999999993</c:v>
                </c:pt>
                <c:pt idx="4">
                  <c:v>12286.097999999998</c:v>
                </c:pt>
                <c:pt idx="5">
                  <c:v>25340.31</c:v>
                </c:pt>
                <c:pt idx="6">
                  <c:v>46545.16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F8-4038-8281-FBB902465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00127"/>
        <c:axId val="1764298879"/>
      </c:lineChart>
      <c:catAx>
        <c:axId val="1764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параметров задачи</a:t>
                </a:r>
              </a:p>
            </c:rich>
          </c:tx>
          <c:layout>
            <c:manualLayout>
              <c:xMode val="edge"/>
              <c:yMode val="edge"/>
              <c:x val="0.72093632958801501"/>
              <c:y val="0.8934616506270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298879"/>
        <c:crosses val="autoZero"/>
        <c:auto val="1"/>
        <c:lblAlgn val="ctr"/>
        <c:lblOffset val="100"/>
        <c:noMultiLvlLbl val="0"/>
      </c:catAx>
      <c:valAx>
        <c:axId val="17642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3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135627709457663E-2"/>
          <c:y val="0.94243118160954531"/>
          <c:w val="0.87395230400538904"/>
          <c:h val="5.1096149213232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Время работы</a:t>
            </a:r>
            <a:r>
              <a:rPr lang="ru-RU" baseline="0"/>
              <a:t> </a:t>
            </a:r>
            <a:r>
              <a:rPr lang="en-US" baseline="0"/>
              <a:t>Matrix</a:t>
            </a:r>
            <a:r>
              <a:rPr lang="ru-RU"/>
              <a:t> </a:t>
            </a:r>
            <a:r>
              <a:rPr lang="en-US"/>
              <a:t>ACO</a:t>
            </a:r>
            <a:r>
              <a:rPr lang="ru-RU"/>
              <a:t> для</a:t>
            </a:r>
            <a:r>
              <a:rPr lang="ru-RU" baseline="0"/>
              <a:t> одного параметра</a:t>
            </a:r>
            <a:r>
              <a:rPr lang="ru-RU"/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8860184611755E-2"/>
          <c:y val="3.542673107890499E-2"/>
          <c:w val="0.9345147306024949"/>
          <c:h val="0.80586658551738999"/>
        </c:manualLayout>
      </c:layout>
      <c:lineChart>
        <c:grouping val="standard"/>
        <c:varyColors val="0"/>
        <c:ser>
          <c:idx val="0"/>
          <c:order val="0"/>
          <c:tx>
            <c:strRef>
              <c:f>Itog!$O$4</c:f>
              <c:strCache>
                <c:ptCount val="1"/>
                <c:pt idx="0">
                  <c:v>i5-8300H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Itog!$Q$4:$W$4</c:f>
              <c:numCache>
                <c:formatCode>0</c:formatCode>
                <c:ptCount val="7"/>
                <c:pt idx="0">
                  <c:v>1012.9384</c:v>
                </c:pt>
                <c:pt idx="1">
                  <c:v>1856.1192000000001</c:v>
                </c:pt>
                <c:pt idx="2">
                  <c:v>3594.4351999999994</c:v>
                </c:pt>
                <c:pt idx="3">
                  <c:v>7098.9367999999995</c:v>
                </c:pt>
                <c:pt idx="4">
                  <c:v>13991.565999999999</c:v>
                </c:pt>
                <c:pt idx="5">
                  <c:v>27308.063999999991</c:v>
                </c:pt>
                <c:pt idx="6">
                  <c:v>53372.171999999977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C-411B-B4D6-A350077DCB5E}"/>
            </c:ext>
          </c:extLst>
        </c:ser>
        <c:ser>
          <c:idx val="1"/>
          <c:order val="1"/>
          <c:tx>
            <c:strRef>
              <c:f>Itog!$O$6</c:f>
              <c:strCache>
                <c:ptCount val="1"/>
                <c:pt idx="0">
                  <c:v>i5-9400F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Itog!$Q$6:$W$6</c:f>
              <c:numCache>
                <c:formatCode>0</c:formatCode>
                <c:ptCount val="7"/>
                <c:pt idx="0">
                  <c:v>1021.2763999999999</c:v>
                </c:pt>
                <c:pt idx="1">
                  <c:v>1875.4454000000003</c:v>
                </c:pt>
                <c:pt idx="2">
                  <c:v>3606.0204000000008</c:v>
                </c:pt>
                <c:pt idx="3">
                  <c:v>7106.4438000000009</c:v>
                </c:pt>
                <c:pt idx="4">
                  <c:v>14355.808000000001</c:v>
                </c:pt>
                <c:pt idx="5">
                  <c:v>27843.877999999993</c:v>
                </c:pt>
                <c:pt idx="6">
                  <c:v>54934.597999999998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C-411B-B4D6-A350077DCB5E}"/>
            </c:ext>
          </c:extLst>
        </c:ser>
        <c:ser>
          <c:idx val="2"/>
          <c:order val="2"/>
          <c:tx>
            <c:strRef>
              <c:f>Itog!$O$8</c:f>
              <c:strCache>
                <c:ptCount val="1"/>
                <c:pt idx="0">
                  <c:v>i5-12450H 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Itog!$Q$8:$W$8</c:f>
              <c:numCache>
                <c:formatCode>0</c:formatCode>
                <c:ptCount val="7"/>
                <c:pt idx="0">
                  <c:v>565.78236000000004</c:v>
                </c:pt>
                <c:pt idx="1">
                  <c:v>1048.5618000000002</c:v>
                </c:pt>
                <c:pt idx="2">
                  <c:v>1982.6899999999996</c:v>
                </c:pt>
                <c:pt idx="3">
                  <c:v>3787.3732000000014</c:v>
                </c:pt>
                <c:pt idx="4">
                  <c:v>7666.1589999999997</c:v>
                </c:pt>
                <c:pt idx="5">
                  <c:v>15021.705999999998</c:v>
                </c:pt>
                <c:pt idx="6">
                  <c:v>30206.626000000011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C-411B-B4D6-A350077DCB5E}"/>
            </c:ext>
          </c:extLst>
        </c:ser>
        <c:ser>
          <c:idx val="3"/>
          <c:order val="3"/>
          <c:tx>
            <c:strRef>
              <c:f>Itog!$O$10</c:f>
              <c:strCache>
                <c:ptCount val="1"/>
                <c:pt idx="0">
                  <c:v>i5-13600K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Itog!$Q$10:$W$10</c:f>
              <c:numCache>
                <c:formatCode>0</c:formatCode>
                <c:ptCount val="7"/>
                <c:pt idx="0">
                  <c:v>487.2340999999999</c:v>
                </c:pt>
                <c:pt idx="1">
                  <c:v>885.85572000000013</c:v>
                </c:pt>
                <c:pt idx="2">
                  <c:v>1657.3222000000003</c:v>
                </c:pt>
                <c:pt idx="3">
                  <c:v>3201.0855999999994</c:v>
                </c:pt>
                <c:pt idx="4">
                  <c:v>6411.2783999999992</c:v>
                </c:pt>
                <c:pt idx="5">
                  <c:v>12839.331999999997</c:v>
                </c:pt>
                <c:pt idx="6">
                  <c:v>25321.222000000002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C-411B-B4D6-A350077DCB5E}"/>
            </c:ext>
          </c:extLst>
        </c:ser>
        <c:ser>
          <c:idx val="4"/>
          <c:order val="4"/>
          <c:tx>
            <c:strRef>
              <c:f>Itog!$O$12</c:f>
              <c:strCache>
                <c:ptCount val="1"/>
                <c:pt idx="0">
                  <c:v>AMD Ryzen 5 7500F 6</c:v>
                </c:pt>
              </c:strCache>
            </c:strRef>
          </c:tx>
          <c:spPr>
            <a:ln w="53975" cap="rnd" cmpd="dbl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Itog!$Q$12:$W$12</c:f>
              <c:numCache>
                <c:formatCode>0</c:formatCode>
                <c:ptCount val="7"/>
                <c:pt idx="0">
                  <c:v>886.85582000000022</c:v>
                </c:pt>
                <c:pt idx="1">
                  <c:v>1627.4021999999998</c:v>
                </c:pt>
                <c:pt idx="2">
                  <c:v>3159.8702000000003</c:v>
                </c:pt>
                <c:pt idx="3">
                  <c:v>6191.9177999999993</c:v>
                </c:pt>
                <c:pt idx="4">
                  <c:v>12286.097999999998</c:v>
                </c:pt>
                <c:pt idx="5">
                  <c:v>25340.31</c:v>
                </c:pt>
                <c:pt idx="6">
                  <c:v>46545.16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AC-411B-B4D6-A350077DC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00127"/>
        <c:axId val="1764298879"/>
      </c:lineChart>
      <c:catAx>
        <c:axId val="1764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параметров задачи</a:t>
                </a:r>
              </a:p>
            </c:rich>
          </c:tx>
          <c:layout>
            <c:manualLayout>
              <c:xMode val="edge"/>
              <c:yMode val="edge"/>
              <c:x val="0.72093632958801501"/>
              <c:y val="0.8934616506270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298879"/>
        <c:crosses val="autoZero"/>
        <c:auto val="1"/>
        <c:lblAlgn val="ctr"/>
        <c:lblOffset val="100"/>
        <c:noMultiLvlLbl val="0"/>
      </c:catAx>
      <c:valAx>
        <c:axId val="17642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3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135627709457663E-2"/>
          <c:y val="0.94243118160954531"/>
          <c:w val="0.87693326255566373"/>
          <c:h val="5.1096149213232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Ускорение времени работы</a:t>
            </a:r>
            <a:r>
              <a:rPr lang="ru-RU" baseline="0"/>
              <a:t> </a:t>
            </a:r>
            <a:r>
              <a:rPr lang="en-US" baseline="0"/>
              <a:t>Transp Matrix ACO + AVX + OPM</a:t>
            </a:r>
            <a:r>
              <a:rPr lang="ru-RU" baseline="0"/>
              <a:t> по сравнению с классическим </a:t>
            </a:r>
            <a:r>
              <a:rPr lang="en-US" baseline="0"/>
              <a:t>ACO</a:t>
            </a:r>
            <a:r>
              <a:rPr lang="ru-RU"/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8860184611755E-2"/>
          <c:y val="3.542673107890499E-2"/>
          <c:w val="0.9345147306024949"/>
          <c:h val="0.80586658551738999"/>
        </c:manualLayout>
      </c:layout>
      <c:lineChart>
        <c:grouping val="standard"/>
        <c:varyColors val="0"/>
        <c:ser>
          <c:idx val="0"/>
          <c:order val="0"/>
          <c:tx>
            <c:strRef>
              <c:f>Itog!$O$4</c:f>
              <c:strCache>
                <c:ptCount val="1"/>
                <c:pt idx="0">
                  <c:v>i5-8300H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Itog!$Q$4:$W$4</c:f>
              <c:numCache>
                <c:formatCode>0</c:formatCode>
                <c:ptCount val="7"/>
                <c:pt idx="0">
                  <c:v>1012.9384</c:v>
                </c:pt>
                <c:pt idx="1">
                  <c:v>1856.1192000000001</c:v>
                </c:pt>
                <c:pt idx="2">
                  <c:v>3594.4351999999994</c:v>
                </c:pt>
                <c:pt idx="3">
                  <c:v>7098.9367999999995</c:v>
                </c:pt>
                <c:pt idx="4">
                  <c:v>13991.565999999999</c:v>
                </c:pt>
                <c:pt idx="5">
                  <c:v>27308.063999999991</c:v>
                </c:pt>
                <c:pt idx="6">
                  <c:v>53372.171999999977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2-4FAB-B4E6-8DD6BF50C876}"/>
            </c:ext>
          </c:extLst>
        </c:ser>
        <c:ser>
          <c:idx val="1"/>
          <c:order val="1"/>
          <c:tx>
            <c:strRef>
              <c:f>Itog!$O$6</c:f>
              <c:strCache>
                <c:ptCount val="1"/>
                <c:pt idx="0">
                  <c:v>i5-9400F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Itog!$Q$6:$W$6</c:f>
              <c:numCache>
                <c:formatCode>0</c:formatCode>
                <c:ptCount val="7"/>
                <c:pt idx="0">
                  <c:v>1021.2763999999999</c:v>
                </c:pt>
                <c:pt idx="1">
                  <c:v>1875.4454000000003</c:v>
                </c:pt>
                <c:pt idx="2">
                  <c:v>3606.0204000000008</c:v>
                </c:pt>
                <c:pt idx="3">
                  <c:v>7106.4438000000009</c:v>
                </c:pt>
                <c:pt idx="4">
                  <c:v>14355.808000000001</c:v>
                </c:pt>
                <c:pt idx="5">
                  <c:v>27843.877999999993</c:v>
                </c:pt>
                <c:pt idx="6">
                  <c:v>54934.597999999998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2-4FAB-B4E6-8DD6BF50C876}"/>
            </c:ext>
          </c:extLst>
        </c:ser>
        <c:ser>
          <c:idx val="2"/>
          <c:order val="2"/>
          <c:tx>
            <c:strRef>
              <c:f>Itog!$O$8</c:f>
              <c:strCache>
                <c:ptCount val="1"/>
                <c:pt idx="0">
                  <c:v>i5-12450H 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Itog!$Q$8:$W$8</c:f>
              <c:numCache>
                <c:formatCode>0</c:formatCode>
                <c:ptCount val="7"/>
                <c:pt idx="0">
                  <c:v>565.78236000000004</c:v>
                </c:pt>
                <c:pt idx="1">
                  <c:v>1048.5618000000002</c:v>
                </c:pt>
                <c:pt idx="2">
                  <c:v>1982.6899999999996</c:v>
                </c:pt>
                <c:pt idx="3">
                  <c:v>3787.3732000000014</c:v>
                </c:pt>
                <c:pt idx="4">
                  <c:v>7666.1589999999997</c:v>
                </c:pt>
                <c:pt idx="5">
                  <c:v>15021.705999999998</c:v>
                </c:pt>
                <c:pt idx="6">
                  <c:v>30206.626000000011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2-4FAB-B4E6-8DD6BF50C876}"/>
            </c:ext>
          </c:extLst>
        </c:ser>
        <c:ser>
          <c:idx val="3"/>
          <c:order val="3"/>
          <c:tx>
            <c:strRef>
              <c:f>Itog!$O$10</c:f>
              <c:strCache>
                <c:ptCount val="1"/>
                <c:pt idx="0">
                  <c:v>i5-13600K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Itog!$Q$10:$W$10</c:f>
              <c:numCache>
                <c:formatCode>0</c:formatCode>
                <c:ptCount val="7"/>
                <c:pt idx="0">
                  <c:v>487.2340999999999</c:v>
                </c:pt>
                <c:pt idx="1">
                  <c:v>885.85572000000013</c:v>
                </c:pt>
                <c:pt idx="2">
                  <c:v>1657.3222000000003</c:v>
                </c:pt>
                <c:pt idx="3">
                  <c:v>3201.0855999999994</c:v>
                </c:pt>
                <c:pt idx="4">
                  <c:v>6411.2783999999992</c:v>
                </c:pt>
                <c:pt idx="5">
                  <c:v>12839.331999999997</c:v>
                </c:pt>
                <c:pt idx="6">
                  <c:v>25321.222000000002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F2-4FAB-B4E6-8DD6BF50C876}"/>
            </c:ext>
          </c:extLst>
        </c:ser>
        <c:ser>
          <c:idx val="4"/>
          <c:order val="4"/>
          <c:tx>
            <c:strRef>
              <c:f>Itog!$O$12</c:f>
              <c:strCache>
                <c:ptCount val="1"/>
                <c:pt idx="0">
                  <c:v>AMD Ryzen 5 7500F 6</c:v>
                </c:pt>
              </c:strCache>
            </c:strRef>
          </c:tx>
          <c:spPr>
            <a:ln w="53975" cap="rnd" cmpd="dbl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Itog!$Q$12:$W$12</c:f>
              <c:numCache>
                <c:formatCode>0</c:formatCode>
                <c:ptCount val="7"/>
                <c:pt idx="0">
                  <c:v>886.85582000000022</c:v>
                </c:pt>
                <c:pt idx="1">
                  <c:v>1627.4021999999998</c:v>
                </c:pt>
                <c:pt idx="2">
                  <c:v>3159.8702000000003</c:v>
                </c:pt>
                <c:pt idx="3">
                  <c:v>6191.9177999999993</c:v>
                </c:pt>
                <c:pt idx="4">
                  <c:v>12286.097999999998</c:v>
                </c:pt>
                <c:pt idx="5">
                  <c:v>25340.31</c:v>
                </c:pt>
                <c:pt idx="6">
                  <c:v>46545.16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F2-4FAB-B4E6-8DD6BF50C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00127"/>
        <c:axId val="1764298879"/>
      </c:lineChart>
      <c:catAx>
        <c:axId val="1764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параметров задачи</a:t>
                </a:r>
              </a:p>
            </c:rich>
          </c:tx>
          <c:layout>
            <c:manualLayout>
              <c:xMode val="edge"/>
              <c:yMode val="edge"/>
              <c:x val="0.72093632958801501"/>
              <c:y val="0.8934616506270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298879"/>
        <c:crosses val="autoZero"/>
        <c:auto val="1"/>
        <c:lblAlgn val="ctr"/>
        <c:lblOffset val="100"/>
        <c:noMultiLvlLbl val="0"/>
      </c:catAx>
      <c:valAx>
        <c:axId val="17642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3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135627709457663E-2"/>
          <c:y val="0.94243118160954531"/>
          <c:w val="0.87395230400538904"/>
          <c:h val="5.1096149213232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590550</xdr:colOff>
      <xdr:row>13</xdr:row>
      <xdr:rowOff>123825</xdr:rowOff>
    </xdr:from>
    <xdr:to>
      <xdr:col>24</xdr:col>
      <xdr:colOff>390525</xdr:colOff>
      <xdr:row>34</xdr:row>
      <xdr:rowOff>66675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66675</xdr:rowOff>
    </xdr:from>
    <xdr:to>
      <xdr:col>21</xdr:col>
      <xdr:colOff>504825</xdr:colOff>
      <xdr:row>34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612320</xdr:colOff>
      <xdr:row>34</xdr:row>
      <xdr:rowOff>190499</xdr:rowOff>
    </xdr:from>
    <xdr:to>
      <xdr:col>19</xdr:col>
      <xdr:colOff>557893</xdr:colOff>
      <xdr:row>53</xdr:row>
      <xdr:rowOff>54429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517071</xdr:colOff>
      <xdr:row>13</xdr:row>
      <xdr:rowOff>68036</xdr:rowOff>
    </xdr:from>
    <xdr:to>
      <xdr:col>32</xdr:col>
      <xdr:colOff>408214</xdr:colOff>
      <xdr:row>34</xdr:row>
      <xdr:rowOff>27214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486"/>
  <sheetViews>
    <sheetView topLeftCell="C1" zoomScaleNormal="100" workbookViewId="0">
      <selection activeCell="G35" sqref="G35"/>
    </sheetView>
  </sheetViews>
  <sheetFormatPr defaultRowHeight="15" x14ac:dyDescent="0.25"/>
  <cols>
    <col min="3" max="3" width="34" bestFit="1" customWidth="1"/>
  </cols>
  <sheetData>
    <row r="3" spans="3:10" x14ac:dyDescent="0.25">
      <c r="C3">
        <v>50</v>
      </c>
      <c r="D3" s="1">
        <v>2</v>
      </c>
      <c r="E3" s="1">
        <v>4</v>
      </c>
      <c r="F3" s="1">
        <v>8</v>
      </c>
      <c r="G3" s="1">
        <v>16</v>
      </c>
      <c r="H3" s="1">
        <v>32</v>
      </c>
      <c r="I3" s="1">
        <v>64</v>
      </c>
      <c r="J3" s="1">
        <v>128</v>
      </c>
    </row>
    <row r="4" spans="3:10" x14ac:dyDescent="0.25">
      <c r="D4" s="1">
        <v>42</v>
      </c>
      <c r="E4" s="1">
        <v>84</v>
      </c>
      <c r="F4" s="1">
        <v>168</v>
      </c>
      <c r="G4" s="1">
        <v>336</v>
      </c>
      <c r="H4" s="1">
        <v>672</v>
      </c>
      <c r="I4" s="1">
        <v>1344</v>
      </c>
      <c r="J4" s="1">
        <v>2688</v>
      </c>
    </row>
    <row r="5" spans="3:10" x14ac:dyDescent="0.25">
      <c r="C5" s="1" t="s">
        <v>2</v>
      </c>
      <c r="D5" s="21">
        <v>11.898648448495283</v>
      </c>
      <c r="E5" s="21">
        <v>12.20297172756055</v>
      </c>
      <c r="F5" s="21">
        <v>12.161523990134619</v>
      </c>
      <c r="G5" s="21">
        <v>12.161290046621225</v>
      </c>
      <c r="H5" s="21">
        <v>11.988786822710042</v>
      </c>
      <c r="I5" s="21">
        <v>12.27610765381775</v>
      </c>
      <c r="J5" s="21">
        <v>12.168533486659513</v>
      </c>
    </row>
    <row r="6" spans="3:10" x14ac:dyDescent="0.25">
      <c r="C6" s="1" t="s">
        <v>4</v>
      </c>
      <c r="D6" s="21">
        <v>12.522805135565518</v>
      </c>
      <c r="E6" s="21">
        <v>12.666325349399797</v>
      </c>
      <c r="F6" s="21">
        <v>12.428722498604687</v>
      </c>
      <c r="G6" s="21">
        <v>12.068474238576121</v>
      </c>
      <c r="H6" s="21">
        <v>11.765758345867667</v>
      </c>
      <c r="I6" s="21">
        <v>12.168237382671395</v>
      </c>
      <c r="J6" s="21">
        <v>12.2156309948992</v>
      </c>
    </row>
    <row r="7" spans="3:10" x14ac:dyDescent="0.25">
      <c r="C7" s="1" t="s">
        <v>11</v>
      </c>
      <c r="D7" s="21"/>
      <c r="E7" s="21"/>
      <c r="F7" s="21"/>
      <c r="G7" s="21"/>
      <c r="H7" s="21"/>
      <c r="I7" s="21"/>
      <c r="J7" s="21"/>
    </row>
    <row r="8" spans="3:10" x14ac:dyDescent="0.25">
      <c r="C8" s="1" t="s">
        <v>12</v>
      </c>
      <c r="D8" s="21"/>
      <c r="E8" s="21"/>
      <c r="F8" s="21"/>
      <c r="G8" s="21"/>
      <c r="H8" s="21"/>
      <c r="I8" s="21"/>
      <c r="J8" s="21"/>
    </row>
    <row r="9" spans="3:10" x14ac:dyDescent="0.25">
      <c r="C9" s="1" t="s">
        <v>5</v>
      </c>
      <c r="D9" s="21">
        <v>11.843060105059831</v>
      </c>
      <c r="E9" s="21">
        <v>12.1476576713764</v>
      </c>
      <c r="F9" s="21">
        <v>12.18763776624615</v>
      </c>
      <c r="G9" s="21">
        <v>11.97343658121542</v>
      </c>
      <c r="H9" s="21">
        <v>12.339088964738705</v>
      </c>
      <c r="I9" s="21">
        <v>12.491908727437815</v>
      </c>
      <c r="J9" s="21">
        <v>12.150986805198217</v>
      </c>
    </row>
    <row r="10" spans="3:10" x14ac:dyDescent="0.25">
      <c r="C10" s="1" t="s">
        <v>6</v>
      </c>
      <c r="D10" s="21"/>
      <c r="E10" s="21">
        <v>11.646125376081645</v>
      </c>
      <c r="F10" s="21">
        <v>11.791033769964903</v>
      </c>
      <c r="G10" s="21">
        <v>11.611333730668781</v>
      </c>
      <c r="H10" s="21">
        <v>12.359729999691766</v>
      </c>
      <c r="I10" s="21">
        <v>12.423242679972157</v>
      </c>
      <c r="J10" s="21">
        <v>11.509244898795012</v>
      </c>
    </row>
    <row r="11" spans="3:10" x14ac:dyDescent="0.25">
      <c r="C11" s="1" t="s">
        <v>7</v>
      </c>
      <c r="D11" s="21"/>
      <c r="E11" s="21">
        <v>11.631642694762933</v>
      </c>
      <c r="F11" s="21">
        <v>11.717524095911303</v>
      </c>
      <c r="G11" s="21">
        <v>11.623149221810747</v>
      </c>
      <c r="H11" s="21">
        <v>12.047250764062603</v>
      </c>
      <c r="I11" s="21">
        <v>12.425263361592611</v>
      </c>
      <c r="J11" s="21">
        <v>12.199688371716668</v>
      </c>
    </row>
    <row r="12" spans="3:10" x14ac:dyDescent="0.25">
      <c r="C12" s="1"/>
      <c r="D12" s="21"/>
      <c r="E12" s="21"/>
      <c r="F12" s="21"/>
      <c r="G12" s="21"/>
      <c r="H12" s="21"/>
      <c r="I12" s="21"/>
      <c r="J12" s="21"/>
    </row>
    <row r="13" spans="3:10" x14ac:dyDescent="0.25">
      <c r="C13" s="1" t="s">
        <v>2</v>
      </c>
      <c r="D13" s="21">
        <v>21.982995243424003</v>
      </c>
      <c r="E13" s="21">
        <v>21.17868474721034</v>
      </c>
      <c r="F13" s="21">
        <v>21.08479925366267</v>
      </c>
      <c r="G13" s="21">
        <v>23.334354035950096</v>
      </c>
      <c r="H13" s="21"/>
      <c r="I13" s="21"/>
      <c r="J13" s="21"/>
    </row>
    <row r="14" spans="3:10" x14ac:dyDescent="0.25">
      <c r="C14" s="1" t="s">
        <v>4</v>
      </c>
      <c r="D14" s="21">
        <v>23.631074358021358</v>
      </c>
      <c r="E14" s="21">
        <v>19.592533388331219</v>
      </c>
      <c r="F14" s="21">
        <v>21.319516364062309</v>
      </c>
      <c r="G14" s="21">
        <v>23.305328146562367</v>
      </c>
      <c r="H14" s="21"/>
      <c r="I14" s="21"/>
      <c r="J14" s="21"/>
    </row>
    <row r="15" spans="3:10" x14ac:dyDescent="0.25">
      <c r="C15" s="1" t="s">
        <v>11</v>
      </c>
      <c r="D15" s="21">
        <v>21.533306202631632</v>
      </c>
      <c r="E15" s="21">
        <v>19.015856454087849</v>
      </c>
      <c r="F15" s="21">
        <v>20.967084597651674</v>
      </c>
      <c r="G15" s="21">
        <v>22.907658696955018</v>
      </c>
      <c r="H15" s="21"/>
      <c r="I15" s="21"/>
      <c r="J15" s="21"/>
    </row>
    <row r="16" spans="3:10" x14ac:dyDescent="0.25">
      <c r="C16" s="1" t="s">
        <v>12</v>
      </c>
      <c r="D16" s="21">
        <v>23.60932769070045</v>
      </c>
      <c r="E16" s="21">
        <v>21.113190275362069</v>
      </c>
      <c r="F16" s="21">
        <v>23.855822389773007</v>
      </c>
      <c r="G16" s="21">
        <v>21.463482894099485</v>
      </c>
      <c r="H16" s="21"/>
      <c r="I16" s="21"/>
      <c r="J16" s="21"/>
    </row>
    <row r="17" spans="3:10" x14ac:dyDescent="0.25">
      <c r="C17" s="1" t="s">
        <v>5</v>
      </c>
      <c r="D17" s="21">
        <v>22.006121301109772</v>
      </c>
      <c r="E17" s="21">
        <v>18.915998705090658</v>
      </c>
      <c r="F17" s="21">
        <v>21.746068358053591</v>
      </c>
      <c r="G17" s="21">
        <v>20.180878609011639</v>
      </c>
      <c r="H17" s="21"/>
      <c r="I17" s="21"/>
      <c r="J17" s="21"/>
    </row>
    <row r="18" spans="3:10" x14ac:dyDescent="0.25">
      <c r="C18" s="1" t="s">
        <v>6</v>
      </c>
      <c r="D18" s="21">
        <v>20.574075648921148</v>
      </c>
      <c r="E18" s="21">
        <v>18.600917445315016</v>
      </c>
      <c r="F18" s="21">
        <v>21.512144161420409</v>
      </c>
      <c r="G18" s="21">
        <v>20.108297233455165</v>
      </c>
      <c r="H18" s="21"/>
      <c r="I18" s="21"/>
      <c r="J18" s="21"/>
    </row>
    <row r="19" spans="3:10" x14ac:dyDescent="0.25">
      <c r="C19" s="1" t="s">
        <v>7</v>
      </c>
      <c r="D19" s="21">
        <v>20.752166678208638</v>
      </c>
      <c r="E19" s="21">
        <v>18.566846047113856</v>
      </c>
      <c r="F19" s="21">
        <v>21.548396307250758</v>
      </c>
      <c r="G19" s="21">
        <v>20.070018111437765</v>
      </c>
      <c r="H19" s="21"/>
      <c r="I19" s="21"/>
      <c r="J19" s="21"/>
    </row>
    <row r="20" spans="3:10" x14ac:dyDescent="0.25">
      <c r="C20" s="1"/>
      <c r="D20" s="21"/>
      <c r="E20" s="21"/>
      <c r="F20" s="21"/>
      <c r="G20" s="21"/>
      <c r="H20" s="21"/>
      <c r="I20" s="21"/>
      <c r="J20" s="21"/>
    </row>
    <row r="21" spans="3:10" x14ac:dyDescent="0.25">
      <c r="C21" s="1" t="s">
        <v>2</v>
      </c>
      <c r="D21" s="21">
        <v>19.437135376701892</v>
      </c>
      <c r="E21" s="21">
        <v>23.997490907178388</v>
      </c>
      <c r="F21" s="21">
        <v>28.436593115082314</v>
      </c>
      <c r="G21" s="21">
        <v>29.620767469641574</v>
      </c>
      <c r="H21" s="21"/>
      <c r="I21" s="21"/>
      <c r="J21" s="21"/>
    </row>
    <row r="22" spans="3:10" x14ac:dyDescent="0.25">
      <c r="C22" s="1" t="s">
        <v>4</v>
      </c>
      <c r="D22" s="21">
        <v>34.271531198813129</v>
      </c>
      <c r="E22" s="21">
        <v>36.336281479748202</v>
      </c>
      <c r="F22" s="21">
        <v>35.918624742030332</v>
      </c>
      <c r="G22" s="21">
        <v>34.567598329070606</v>
      </c>
      <c r="H22" s="21"/>
      <c r="I22" s="21"/>
      <c r="J22" s="21"/>
    </row>
    <row r="23" spans="3:10" x14ac:dyDescent="0.25">
      <c r="C23" s="1" t="s">
        <v>11</v>
      </c>
      <c r="D23" s="21">
        <v>19.6354032852689</v>
      </c>
      <c r="E23" s="21">
        <v>23.32475874470865</v>
      </c>
      <c r="F23" s="21">
        <v>28.373103604628074</v>
      </c>
      <c r="G23" s="21">
        <v>29.574829737997916</v>
      </c>
      <c r="H23" s="21"/>
      <c r="I23" s="21"/>
      <c r="J23" s="21"/>
    </row>
    <row r="24" spans="3:10" x14ac:dyDescent="0.25">
      <c r="C24" s="1" t="s">
        <v>12</v>
      </c>
      <c r="D24" s="21">
        <v>36.901550855812545</v>
      </c>
      <c r="E24" s="21">
        <v>35.749189274218921</v>
      </c>
      <c r="F24" s="21">
        <v>36.53776943844403</v>
      </c>
      <c r="G24" s="21">
        <v>36.021229468201206</v>
      </c>
      <c r="H24" s="21"/>
      <c r="I24" s="21"/>
      <c r="J24" s="21"/>
    </row>
    <row r="25" spans="3:10" x14ac:dyDescent="0.25">
      <c r="C25" s="1" t="s">
        <v>5</v>
      </c>
      <c r="D25" s="21">
        <v>30.724547653734479</v>
      </c>
      <c r="E25" s="21">
        <v>31.852201945680132</v>
      </c>
      <c r="F25" s="21">
        <v>32.662681036836766</v>
      </c>
      <c r="G25" s="21">
        <v>29.779546141644705</v>
      </c>
      <c r="H25" s="21"/>
      <c r="I25" s="21"/>
      <c r="J25" s="21"/>
    </row>
    <row r="26" spans="3:10" x14ac:dyDescent="0.25">
      <c r="C26" s="1" t="s">
        <v>6</v>
      </c>
      <c r="D26" s="21"/>
      <c r="E26" s="21">
        <v>31.396539072392329</v>
      </c>
      <c r="F26" s="21">
        <v>32.017159597720564</v>
      </c>
      <c r="G26" s="21">
        <v>29.56302723505976</v>
      </c>
      <c r="H26" s="21"/>
      <c r="I26" s="21"/>
      <c r="J26" s="21"/>
    </row>
    <row r="27" spans="3:10" x14ac:dyDescent="0.25">
      <c r="C27" s="1" t="s">
        <v>7</v>
      </c>
      <c r="D27" s="21"/>
      <c r="E27" s="21">
        <v>31.686684784393819</v>
      </c>
      <c r="F27" s="21">
        <v>32.29776732620892</v>
      </c>
      <c r="G27" s="21">
        <v>29.665998183213272</v>
      </c>
      <c r="H27" s="21"/>
      <c r="I27" s="21"/>
      <c r="J27" s="21"/>
    </row>
    <row r="28" spans="3:10" x14ac:dyDescent="0.25">
      <c r="D28" s="21"/>
      <c r="E28" s="21"/>
      <c r="F28" s="21"/>
      <c r="G28" s="21"/>
      <c r="H28" s="21"/>
      <c r="I28" s="21"/>
      <c r="J28" s="21"/>
    </row>
    <row r="29" spans="3:10" x14ac:dyDescent="0.25">
      <c r="C29" s="1" t="s">
        <v>2</v>
      </c>
      <c r="D29" s="21">
        <v>33.443643282752113</v>
      </c>
      <c r="E29" s="21">
        <v>47.852694139036736</v>
      </c>
      <c r="F29" s="21">
        <v>33.054008938127808</v>
      </c>
      <c r="G29" s="21"/>
      <c r="H29" s="21"/>
      <c r="I29" s="21"/>
      <c r="J29" s="21"/>
    </row>
    <row r="30" spans="3:10" x14ac:dyDescent="0.25">
      <c r="C30" s="1" t="s">
        <v>4</v>
      </c>
      <c r="D30" s="21">
        <v>45.956692891390084</v>
      </c>
      <c r="E30" s="21">
        <v>47.479874443952518</v>
      </c>
      <c r="F30" s="21">
        <v>48.96694117767818</v>
      </c>
      <c r="G30" s="21"/>
      <c r="H30" s="21"/>
      <c r="I30" s="21"/>
      <c r="J30" s="21"/>
    </row>
    <row r="31" spans="3:10" x14ac:dyDescent="0.25">
      <c r="C31" s="1" t="s">
        <v>11</v>
      </c>
      <c r="D31" s="21">
        <v>33.794017647962839</v>
      </c>
      <c r="E31" s="21">
        <v>47.950970814609391</v>
      </c>
      <c r="F31" s="21">
        <v>33.248451363567625</v>
      </c>
      <c r="G31" s="21"/>
      <c r="H31" s="21"/>
      <c r="I31" s="21"/>
      <c r="J31" s="21"/>
    </row>
    <row r="32" spans="3:10" x14ac:dyDescent="0.25">
      <c r="C32" s="1" t="s">
        <v>12</v>
      </c>
      <c r="D32" s="21"/>
      <c r="E32" s="21">
        <v>23.803123023047821</v>
      </c>
      <c r="F32" s="21">
        <v>49.767563389463106</v>
      </c>
      <c r="G32" s="21"/>
      <c r="H32" s="21"/>
      <c r="I32" s="21"/>
      <c r="J32" s="21"/>
    </row>
    <row r="33" spans="3:10" x14ac:dyDescent="0.25">
      <c r="C33" s="1" t="s">
        <v>5</v>
      </c>
      <c r="D33" s="21"/>
      <c r="E33" s="21">
        <v>23.962747931465888</v>
      </c>
      <c r="F33" s="21">
        <v>18.33994118039832</v>
      </c>
      <c r="G33" s="21"/>
      <c r="H33" s="21"/>
      <c r="I33" s="21"/>
      <c r="J33" s="21"/>
    </row>
    <row r="34" spans="3:10" x14ac:dyDescent="0.25">
      <c r="C34" s="1" t="s">
        <v>6</v>
      </c>
      <c r="D34" s="21">
        <v>22.303211920387724</v>
      </c>
      <c r="E34" s="21">
        <v>24.080050672849758</v>
      </c>
      <c r="F34" s="21">
        <v>18.672069997853978</v>
      </c>
      <c r="G34" s="21"/>
      <c r="H34" s="21"/>
      <c r="I34" s="21"/>
      <c r="J34" s="21"/>
    </row>
    <row r="35" spans="3:10" x14ac:dyDescent="0.25">
      <c r="C35" s="1" t="s">
        <v>7</v>
      </c>
      <c r="D35" s="21">
        <v>22.226256612529966</v>
      </c>
      <c r="E35" s="21">
        <v>24.107846243565049</v>
      </c>
      <c r="F35" s="21">
        <v>18.830257582750161</v>
      </c>
      <c r="G35" s="21"/>
      <c r="H35" s="21"/>
      <c r="I35" s="21"/>
      <c r="J35" s="21"/>
    </row>
    <row r="36" spans="3:10" x14ac:dyDescent="0.25">
      <c r="D36" s="21"/>
      <c r="E36" s="21"/>
      <c r="F36" s="21"/>
      <c r="G36" s="21"/>
      <c r="H36" s="21"/>
      <c r="I36" s="21"/>
      <c r="J36" s="21"/>
    </row>
    <row r="37" spans="3:10" x14ac:dyDescent="0.25">
      <c r="D37" s="21"/>
      <c r="E37" s="21"/>
      <c r="F37" s="21"/>
      <c r="G37" s="21"/>
      <c r="H37" s="21"/>
      <c r="I37" s="21"/>
      <c r="J37" s="21"/>
    </row>
    <row r="38" spans="3:10" x14ac:dyDescent="0.25">
      <c r="D38" s="21"/>
      <c r="E38" s="21"/>
      <c r="F38" s="21"/>
      <c r="G38" s="21"/>
      <c r="H38" s="21"/>
      <c r="I38" s="21"/>
      <c r="J38" s="21"/>
    </row>
    <row r="39" spans="3:10" x14ac:dyDescent="0.25">
      <c r="D39" s="21"/>
      <c r="E39" s="21"/>
      <c r="F39" s="21"/>
      <c r="G39" s="21"/>
      <c r="H39" s="21"/>
      <c r="I39" s="21"/>
      <c r="J39" s="21"/>
    </row>
    <row r="40" spans="3:10" x14ac:dyDescent="0.25">
      <c r="D40" s="21"/>
      <c r="E40" s="21"/>
      <c r="F40" s="21"/>
      <c r="G40" s="21"/>
      <c r="H40" s="21"/>
      <c r="I40" s="21"/>
      <c r="J40" s="21"/>
    </row>
    <row r="41" spans="3:10" x14ac:dyDescent="0.25">
      <c r="D41" s="21"/>
      <c r="E41" s="21"/>
      <c r="F41" s="21"/>
      <c r="G41" s="21"/>
      <c r="H41" s="21"/>
      <c r="I41" s="21"/>
      <c r="J41" s="21"/>
    </row>
    <row r="42" spans="3:10" x14ac:dyDescent="0.25">
      <c r="D42" s="21"/>
      <c r="E42" s="21"/>
      <c r="F42" s="21"/>
      <c r="G42" s="21"/>
      <c r="H42" s="21"/>
      <c r="I42" s="21"/>
      <c r="J42" s="21"/>
    </row>
    <row r="43" spans="3:10" x14ac:dyDescent="0.25">
      <c r="D43" s="21"/>
      <c r="E43" s="21"/>
      <c r="F43" s="21"/>
      <c r="G43" s="21"/>
      <c r="H43" s="21"/>
      <c r="I43" s="21"/>
      <c r="J43" s="21"/>
    </row>
    <row r="44" spans="3:10" x14ac:dyDescent="0.25">
      <c r="D44" s="21"/>
      <c r="E44" s="21"/>
      <c r="F44" s="21"/>
      <c r="G44" s="21"/>
      <c r="H44" s="21"/>
      <c r="I44" s="21"/>
      <c r="J44" s="21"/>
    </row>
    <row r="45" spans="3:10" x14ac:dyDescent="0.25">
      <c r="D45" s="21"/>
      <c r="E45" s="21"/>
      <c r="F45" s="21"/>
      <c r="G45" s="21"/>
      <c r="H45" s="21"/>
      <c r="I45" s="21"/>
      <c r="J45" s="21"/>
    </row>
    <row r="46" spans="3:10" x14ac:dyDescent="0.25">
      <c r="D46" s="21"/>
      <c r="E46" s="21"/>
      <c r="F46" s="21"/>
      <c r="G46" s="21"/>
      <c r="H46" s="21"/>
      <c r="I46" s="21"/>
      <c r="J46" s="21"/>
    </row>
    <row r="47" spans="3:10" x14ac:dyDescent="0.25">
      <c r="D47" s="21"/>
      <c r="E47" s="21"/>
      <c r="F47" s="21"/>
      <c r="G47" s="21"/>
      <c r="H47" s="21"/>
      <c r="I47" s="21"/>
      <c r="J47" s="21"/>
    </row>
    <row r="48" spans="3:10" x14ac:dyDescent="0.25">
      <c r="D48" s="21"/>
      <c r="E48" s="21"/>
      <c r="F48" s="21"/>
      <c r="G48" s="21"/>
      <c r="H48" s="21"/>
      <c r="I48" s="21"/>
      <c r="J48" s="21"/>
    </row>
    <row r="49" spans="4:10" x14ac:dyDescent="0.25">
      <c r="D49" s="21"/>
      <c r="E49" s="21"/>
      <c r="F49" s="21"/>
      <c r="G49" s="21"/>
      <c r="H49" s="21"/>
      <c r="I49" s="21"/>
      <c r="J49" s="21"/>
    </row>
    <row r="50" spans="4:10" x14ac:dyDescent="0.25">
      <c r="D50" s="21"/>
      <c r="E50" s="21"/>
      <c r="F50" s="21"/>
      <c r="G50" s="21"/>
      <c r="H50" s="21"/>
      <c r="I50" s="21"/>
      <c r="J50" s="21"/>
    </row>
    <row r="51" spans="4:10" x14ac:dyDescent="0.25">
      <c r="D51" s="21"/>
      <c r="E51" s="21"/>
      <c r="F51" s="21"/>
      <c r="G51" s="21"/>
      <c r="H51" s="21"/>
      <c r="I51" s="21"/>
      <c r="J51" s="21"/>
    </row>
    <row r="52" spans="4:10" x14ac:dyDescent="0.25">
      <c r="D52" s="21"/>
      <c r="E52" s="21"/>
      <c r="F52" s="21"/>
      <c r="G52" s="21"/>
      <c r="H52" s="21"/>
      <c r="I52" s="21"/>
      <c r="J52" s="21"/>
    </row>
    <row r="53" spans="4:10" x14ac:dyDescent="0.25">
      <c r="D53" s="21"/>
      <c r="E53" s="21"/>
      <c r="F53" s="21"/>
      <c r="G53" s="21"/>
      <c r="H53" s="21"/>
      <c r="I53" s="21"/>
      <c r="J53" s="21"/>
    </row>
    <row r="54" spans="4:10" x14ac:dyDescent="0.25">
      <c r="D54" s="21"/>
      <c r="E54" s="21"/>
      <c r="F54" s="21"/>
      <c r="G54" s="21"/>
      <c r="H54" s="21"/>
      <c r="I54" s="21"/>
      <c r="J54" s="21"/>
    </row>
    <row r="55" spans="4:10" x14ac:dyDescent="0.25">
      <c r="D55" s="21"/>
      <c r="E55" s="21"/>
      <c r="F55" s="21"/>
      <c r="G55" s="21"/>
      <c r="H55" s="21"/>
      <c r="I55" s="21"/>
      <c r="J55" s="21"/>
    </row>
    <row r="56" spans="4:10" x14ac:dyDescent="0.25">
      <c r="D56" s="21"/>
      <c r="E56" s="21"/>
      <c r="F56" s="21"/>
      <c r="G56" s="21"/>
      <c r="H56" s="21"/>
      <c r="I56" s="21"/>
      <c r="J56" s="21"/>
    </row>
    <row r="57" spans="4:10" x14ac:dyDescent="0.25">
      <c r="D57" s="21"/>
      <c r="E57" s="21"/>
      <c r="F57" s="21"/>
      <c r="G57" s="21"/>
      <c r="H57" s="21"/>
      <c r="I57" s="21"/>
      <c r="J57" s="21"/>
    </row>
    <row r="58" spans="4:10" x14ac:dyDescent="0.25">
      <c r="D58" s="21"/>
      <c r="E58" s="21"/>
      <c r="F58" s="21"/>
      <c r="G58" s="21"/>
      <c r="H58" s="21"/>
      <c r="I58" s="21"/>
      <c r="J58" s="21"/>
    </row>
    <row r="59" spans="4:10" x14ac:dyDescent="0.25">
      <c r="D59" s="21"/>
      <c r="E59" s="21"/>
      <c r="F59" s="21"/>
      <c r="G59" s="21"/>
      <c r="H59" s="21"/>
      <c r="I59" s="21"/>
      <c r="J59" s="21"/>
    </row>
    <row r="60" spans="4:10" x14ac:dyDescent="0.25">
      <c r="D60" s="21"/>
      <c r="E60" s="21"/>
      <c r="F60" s="21"/>
      <c r="G60" s="21"/>
      <c r="H60" s="21"/>
      <c r="I60" s="21"/>
      <c r="J60" s="21"/>
    </row>
    <row r="61" spans="4:10" x14ac:dyDescent="0.25">
      <c r="D61" s="21"/>
      <c r="E61" s="21"/>
      <c r="F61" s="21"/>
      <c r="G61" s="21"/>
      <c r="H61" s="21"/>
      <c r="I61" s="21"/>
      <c r="J61" s="21"/>
    </row>
    <row r="62" spans="4:10" x14ac:dyDescent="0.25">
      <c r="D62" s="21"/>
      <c r="E62" s="21"/>
      <c r="F62" s="21"/>
      <c r="G62" s="21"/>
      <c r="H62" s="21"/>
      <c r="I62" s="21"/>
      <c r="J62" s="21"/>
    </row>
    <row r="63" spans="4:10" x14ac:dyDescent="0.25">
      <c r="D63" s="21"/>
      <c r="E63" s="21"/>
      <c r="F63" s="21"/>
      <c r="G63" s="21"/>
      <c r="H63" s="21"/>
      <c r="I63" s="21"/>
      <c r="J63" s="21"/>
    </row>
    <row r="64" spans="4:10" x14ac:dyDescent="0.25">
      <c r="D64" s="21"/>
      <c r="E64" s="21"/>
      <c r="F64" s="21"/>
      <c r="G64" s="21"/>
      <c r="H64" s="21"/>
      <c r="I64" s="21"/>
      <c r="J64" s="21"/>
    </row>
    <row r="65" spans="4:10" x14ac:dyDescent="0.25">
      <c r="D65" s="21"/>
      <c r="E65" s="21"/>
      <c r="F65" s="21"/>
      <c r="G65" s="21"/>
      <c r="H65" s="21"/>
      <c r="I65" s="21"/>
      <c r="J65" s="21"/>
    </row>
    <row r="66" spans="4:10" x14ac:dyDescent="0.25">
      <c r="D66" s="21"/>
      <c r="E66" s="21"/>
      <c r="F66" s="21"/>
      <c r="G66" s="21"/>
      <c r="H66" s="21"/>
      <c r="I66" s="21"/>
      <c r="J66" s="21"/>
    </row>
    <row r="67" spans="4:10" x14ac:dyDescent="0.25">
      <c r="D67" s="21"/>
      <c r="E67" s="21"/>
      <c r="F67" s="21"/>
      <c r="G67" s="21"/>
      <c r="H67" s="21"/>
      <c r="I67" s="21"/>
      <c r="J67" s="21"/>
    </row>
    <row r="68" spans="4:10" x14ac:dyDescent="0.25">
      <c r="D68" s="21"/>
      <c r="E68" s="21"/>
      <c r="F68" s="21"/>
      <c r="G68" s="21"/>
      <c r="H68" s="21"/>
      <c r="I68" s="21"/>
      <c r="J68" s="21"/>
    </row>
    <row r="69" spans="4:10" x14ac:dyDescent="0.25">
      <c r="D69" s="21"/>
      <c r="E69" s="21"/>
      <c r="F69" s="21"/>
      <c r="G69" s="21"/>
      <c r="H69" s="21"/>
      <c r="I69" s="21"/>
      <c r="J69" s="21"/>
    </row>
    <row r="70" spans="4:10" x14ac:dyDescent="0.25">
      <c r="D70" s="21"/>
      <c r="E70" s="21"/>
      <c r="F70" s="21"/>
      <c r="G70" s="21"/>
      <c r="H70" s="21"/>
      <c r="I70" s="21"/>
      <c r="J70" s="21"/>
    </row>
    <row r="71" spans="4:10" x14ac:dyDescent="0.25">
      <c r="D71" s="21"/>
      <c r="E71" s="21"/>
      <c r="F71" s="21"/>
      <c r="G71" s="21"/>
      <c r="H71" s="21"/>
      <c r="I71" s="21"/>
      <c r="J71" s="21"/>
    </row>
    <row r="72" spans="4:10" x14ac:dyDescent="0.25">
      <c r="D72" s="21"/>
      <c r="E72" s="21"/>
      <c r="F72" s="21"/>
      <c r="G72" s="21"/>
      <c r="H72" s="21"/>
      <c r="I72" s="21"/>
      <c r="J72" s="21"/>
    </row>
    <row r="73" spans="4:10" x14ac:dyDescent="0.25">
      <c r="D73" s="21"/>
      <c r="E73" s="21"/>
      <c r="F73" s="21"/>
      <c r="G73" s="21"/>
      <c r="H73" s="21"/>
      <c r="I73" s="21"/>
      <c r="J73" s="21"/>
    </row>
    <row r="74" spans="4:10" x14ac:dyDescent="0.25">
      <c r="D74" s="21"/>
      <c r="E74" s="21"/>
      <c r="F74" s="21"/>
      <c r="G74" s="21"/>
      <c r="H74" s="21"/>
      <c r="I74" s="21"/>
      <c r="J74" s="21"/>
    </row>
    <row r="75" spans="4:10" x14ac:dyDescent="0.25">
      <c r="D75" s="21"/>
      <c r="E75" s="21"/>
      <c r="F75" s="21"/>
      <c r="G75" s="21"/>
      <c r="H75" s="21"/>
      <c r="I75" s="21"/>
      <c r="J75" s="21"/>
    </row>
    <row r="76" spans="4:10" x14ac:dyDescent="0.25">
      <c r="D76" s="21"/>
      <c r="E76" s="21"/>
      <c r="F76" s="21"/>
      <c r="G76" s="21"/>
      <c r="H76" s="21"/>
      <c r="I76" s="21"/>
      <c r="J76" s="21"/>
    </row>
    <row r="77" spans="4:10" x14ac:dyDescent="0.25">
      <c r="D77" s="21"/>
      <c r="E77" s="21"/>
      <c r="F77" s="21"/>
      <c r="G77" s="21"/>
      <c r="H77" s="21"/>
      <c r="I77" s="21"/>
      <c r="J77" s="21"/>
    </row>
    <row r="78" spans="4:10" x14ac:dyDescent="0.25">
      <c r="D78" s="21"/>
      <c r="E78" s="21"/>
      <c r="F78" s="21"/>
      <c r="G78" s="21"/>
      <c r="H78" s="21"/>
      <c r="I78" s="21"/>
      <c r="J78" s="21"/>
    </row>
    <row r="79" spans="4:10" x14ac:dyDescent="0.25">
      <c r="D79" s="21"/>
      <c r="E79" s="21"/>
      <c r="F79" s="21"/>
      <c r="G79" s="21"/>
      <c r="H79" s="21"/>
      <c r="I79" s="21"/>
      <c r="J79" s="21"/>
    </row>
    <row r="80" spans="4:10" x14ac:dyDescent="0.25">
      <c r="D80" s="21"/>
      <c r="E80" s="21"/>
      <c r="F80" s="21"/>
      <c r="G80" s="21"/>
      <c r="H80" s="21"/>
      <c r="I80" s="21"/>
      <c r="J80" s="21"/>
    </row>
    <row r="81" spans="4:10" x14ac:dyDescent="0.25">
      <c r="D81" s="21"/>
      <c r="E81" s="21"/>
      <c r="F81" s="21"/>
      <c r="G81" s="21"/>
      <c r="H81" s="21"/>
      <c r="I81" s="21"/>
      <c r="J81" s="21"/>
    </row>
    <row r="82" spans="4:10" x14ac:dyDescent="0.25">
      <c r="D82" s="21"/>
      <c r="E82" s="21"/>
      <c r="F82" s="21"/>
      <c r="G82" s="21"/>
      <c r="H82" s="21"/>
      <c r="I82" s="21"/>
      <c r="J82" s="21"/>
    </row>
    <row r="83" spans="4:10" x14ac:dyDescent="0.25">
      <c r="D83" s="21"/>
      <c r="E83" s="21"/>
      <c r="F83" s="21"/>
      <c r="G83" s="21"/>
      <c r="H83" s="21"/>
      <c r="I83" s="21"/>
      <c r="J83" s="21"/>
    </row>
    <row r="84" spans="4:10" x14ac:dyDescent="0.25">
      <c r="D84" s="21"/>
      <c r="E84" s="21"/>
      <c r="F84" s="21"/>
      <c r="G84" s="21"/>
      <c r="H84" s="21"/>
      <c r="I84" s="21"/>
      <c r="J84" s="21"/>
    </row>
    <row r="85" spans="4:10" x14ac:dyDescent="0.25">
      <c r="D85" s="21"/>
      <c r="E85" s="21"/>
      <c r="F85" s="21"/>
      <c r="G85" s="21"/>
      <c r="H85" s="21"/>
      <c r="I85" s="21"/>
      <c r="J85" s="21"/>
    </row>
    <row r="86" spans="4:10" x14ac:dyDescent="0.25">
      <c r="D86" s="21"/>
      <c r="E86" s="21"/>
      <c r="F86" s="21"/>
      <c r="G86" s="21"/>
      <c r="H86" s="21"/>
      <c r="I86" s="21"/>
      <c r="J86" s="21"/>
    </row>
    <row r="87" spans="4:10" x14ac:dyDescent="0.25">
      <c r="D87" s="21"/>
      <c r="E87" s="21"/>
      <c r="F87" s="21"/>
      <c r="G87" s="21"/>
      <c r="H87" s="21"/>
      <c r="I87" s="21"/>
      <c r="J87" s="21"/>
    </row>
    <row r="88" spans="4:10" x14ac:dyDescent="0.25">
      <c r="D88" s="21"/>
      <c r="E88" s="21"/>
      <c r="F88" s="21"/>
      <c r="G88" s="21"/>
      <c r="H88" s="21"/>
      <c r="I88" s="21"/>
      <c r="J88" s="21"/>
    </row>
    <row r="89" spans="4:10" x14ac:dyDescent="0.25">
      <c r="D89" s="21"/>
      <c r="E89" s="21"/>
      <c r="F89" s="21"/>
      <c r="G89" s="21"/>
      <c r="H89" s="21"/>
      <c r="I89" s="21"/>
      <c r="J89" s="21"/>
    </row>
    <row r="90" spans="4:10" x14ac:dyDescent="0.25">
      <c r="D90" s="21"/>
      <c r="E90" s="21"/>
      <c r="F90" s="21"/>
      <c r="G90" s="21"/>
      <c r="H90" s="21"/>
      <c r="I90" s="21"/>
      <c r="J90" s="21"/>
    </row>
    <row r="91" spans="4:10" x14ac:dyDescent="0.25">
      <c r="D91" s="21"/>
      <c r="E91" s="21"/>
      <c r="F91" s="21"/>
      <c r="G91" s="21"/>
      <c r="H91" s="21"/>
      <c r="I91" s="21"/>
      <c r="J91" s="21"/>
    </row>
    <row r="92" spans="4:10" x14ac:dyDescent="0.25">
      <c r="D92" s="21"/>
      <c r="E92" s="21"/>
      <c r="F92" s="21"/>
      <c r="G92" s="21"/>
      <c r="H92" s="21"/>
      <c r="I92" s="21"/>
      <c r="J92" s="21"/>
    </row>
    <row r="93" spans="4:10" x14ac:dyDescent="0.25">
      <c r="D93" s="21"/>
      <c r="E93" s="21"/>
      <c r="F93" s="21"/>
      <c r="G93" s="21"/>
      <c r="H93" s="21"/>
      <c r="I93" s="21"/>
      <c r="J93" s="21"/>
    </row>
    <row r="94" spans="4:10" x14ac:dyDescent="0.25">
      <c r="D94" s="21"/>
      <c r="E94" s="21"/>
      <c r="F94" s="21"/>
      <c r="G94" s="21"/>
      <c r="H94" s="21"/>
      <c r="I94" s="21"/>
      <c r="J94" s="21"/>
    </row>
    <row r="95" spans="4:10" x14ac:dyDescent="0.25">
      <c r="D95" s="21"/>
      <c r="E95" s="21"/>
      <c r="F95" s="21"/>
      <c r="G95" s="21"/>
      <c r="H95" s="21"/>
      <c r="I95" s="21"/>
      <c r="J95" s="21"/>
    </row>
    <row r="96" spans="4:10" x14ac:dyDescent="0.25">
      <c r="D96" s="21"/>
      <c r="E96" s="21"/>
      <c r="F96" s="21"/>
      <c r="G96" s="21"/>
      <c r="H96" s="21"/>
      <c r="I96" s="21"/>
      <c r="J96" s="21"/>
    </row>
    <row r="97" spans="4:10" x14ac:dyDescent="0.25">
      <c r="D97" s="21"/>
      <c r="E97" s="21"/>
      <c r="F97" s="21"/>
      <c r="G97" s="21"/>
      <c r="H97" s="21"/>
      <c r="I97" s="21"/>
      <c r="J97" s="21"/>
    </row>
    <row r="98" spans="4:10" x14ac:dyDescent="0.25">
      <c r="D98" s="21"/>
      <c r="E98" s="21"/>
      <c r="F98" s="21"/>
      <c r="G98" s="21"/>
      <c r="H98" s="21"/>
      <c r="I98" s="21"/>
      <c r="J98" s="21"/>
    </row>
    <row r="99" spans="4:10" x14ac:dyDescent="0.25">
      <c r="D99" s="21"/>
      <c r="E99" s="21"/>
      <c r="F99" s="21"/>
      <c r="G99" s="21"/>
      <c r="H99" s="21"/>
      <c r="I99" s="21"/>
      <c r="J99" s="21"/>
    </row>
    <row r="100" spans="4:10" x14ac:dyDescent="0.25">
      <c r="D100" s="21"/>
      <c r="E100" s="21"/>
      <c r="F100" s="21"/>
      <c r="G100" s="21"/>
      <c r="H100" s="21"/>
      <c r="I100" s="21"/>
      <c r="J100" s="21"/>
    </row>
    <row r="101" spans="4:10" x14ac:dyDescent="0.25">
      <c r="D101" s="21"/>
      <c r="E101" s="21"/>
      <c r="F101" s="21"/>
      <c r="G101" s="21"/>
      <c r="H101" s="21"/>
      <c r="I101" s="21"/>
      <c r="J101" s="21"/>
    </row>
    <row r="102" spans="4:10" x14ac:dyDescent="0.25">
      <c r="D102" s="21"/>
      <c r="E102" s="21"/>
      <c r="F102" s="21"/>
      <c r="G102" s="21"/>
      <c r="H102" s="21"/>
      <c r="I102" s="21"/>
      <c r="J102" s="21"/>
    </row>
    <row r="103" spans="4:10" x14ac:dyDescent="0.25">
      <c r="D103" s="21"/>
      <c r="E103" s="21"/>
      <c r="F103" s="21"/>
      <c r="G103" s="21"/>
      <c r="H103" s="21"/>
      <c r="I103" s="21"/>
      <c r="J103" s="21"/>
    </row>
    <row r="104" spans="4:10" x14ac:dyDescent="0.25">
      <c r="D104" s="21"/>
      <c r="E104" s="21"/>
      <c r="F104" s="21"/>
      <c r="G104" s="21"/>
      <c r="H104" s="21"/>
      <c r="I104" s="21"/>
      <c r="J104" s="21"/>
    </row>
    <row r="105" spans="4:10" x14ac:dyDescent="0.25">
      <c r="D105" s="21"/>
      <c r="E105" s="21"/>
      <c r="F105" s="21"/>
      <c r="G105" s="21"/>
      <c r="H105" s="21"/>
      <c r="I105" s="21"/>
      <c r="J105" s="21"/>
    </row>
    <row r="106" spans="4:10" x14ac:dyDescent="0.25">
      <c r="D106" s="21"/>
      <c r="E106" s="21"/>
      <c r="F106" s="21"/>
      <c r="G106" s="21"/>
      <c r="H106" s="21"/>
      <c r="I106" s="21"/>
      <c r="J106" s="21"/>
    </row>
    <row r="107" spans="4:10" x14ac:dyDescent="0.25">
      <c r="D107" s="21"/>
      <c r="E107" s="21"/>
      <c r="F107" s="21"/>
      <c r="G107" s="21"/>
      <c r="H107" s="21"/>
      <c r="I107" s="21"/>
      <c r="J107" s="21"/>
    </row>
    <row r="108" spans="4:10" x14ac:dyDescent="0.25">
      <c r="D108" s="21"/>
      <c r="E108" s="21"/>
      <c r="F108" s="21"/>
      <c r="G108" s="21"/>
      <c r="H108" s="21"/>
      <c r="I108" s="21"/>
      <c r="J108" s="21"/>
    </row>
    <row r="109" spans="4:10" x14ac:dyDescent="0.25">
      <c r="D109" s="21"/>
      <c r="E109" s="21"/>
      <c r="F109" s="21"/>
      <c r="G109" s="21"/>
      <c r="H109" s="21"/>
      <c r="I109" s="21"/>
      <c r="J109" s="21"/>
    </row>
    <row r="110" spans="4:10" x14ac:dyDescent="0.25">
      <c r="D110" s="21"/>
      <c r="E110" s="21"/>
      <c r="F110" s="21"/>
      <c r="G110" s="21"/>
      <c r="H110" s="21"/>
      <c r="I110" s="21"/>
      <c r="J110" s="21"/>
    </row>
    <row r="111" spans="4:10" x14ac:dyDescent="0.25">
      <c r="D111" s="21"/>
      <c r="E111" s="21"/>
      <c r="F111" s="21"/>
      <c r="G111" s="21"/>
      <c r="H111" s="21"/>
      <c r="I111" s="21"/>
      <c r="J111" s="21"/>
    </row>
    <row r="112" spans="4:10" x14ac:dyDescent="0.25">
      <c r="D112" s="21"/>
      <c r="E112" s="21"/>
      <c r="F112" s="21"/>
      <c r="G112" s="21"/>
      <c r="H112" s="21"/>
      <c r="I112" s="21"/>
      <c r="J112" s="21"/>
    </row>
    <row r="113" spans="4:10" x14ac:dyDescent="0.25">
      <c r="D113" s="21"/>
      <c r="E113" s="21"/>
      <c r="F113" s="21"/>
      <c r="G113" s="21"/>
      <c r="H113" s="21"/>
      <c r="I113" s="21"/>
      <c r="J113" s="21"/>
    </row>
    <row r="114" spans="4:10" x14ac:dyDescent="0.25">
      <c r="D114" s="21"/>
      <c r="E114" s="21"/>
      <c r="F114" s="21"/>
      <c r="G114" s="21"/>
      <c r="H114" s="21"/>
      <c r="I114" s="21"/>
      <c r="J114" s="21"/>
    </row>
    <row r="115" spans="4:10" x14ac:dyDescent="0.25">
      <c r="D115" s="21"/>
      <c r="E115" s="21"/>
      <c r="F115" s="21"/>
      <c r="G115" s="21"/>
      <c r="H115" s="21"/>
      <c r="I115" s="21"/>
      <c r="J115" s="21"/>
    </row>
    <row r="116" spans="4:10" x14ac:dyDescent="0.25">
      <c r="D116" s="21"/>
      <c r="E116" s="21"/>
      <c r="F116" s="21"/>
      <c r="G116" s="21"/>
      <c r="H116" s="21"/>
      <c r="I116" s="21"/>
      <c r="J116" s="21"/>
    </row>
    <row r="117" spans="4:10" x14ac:dyDescent="0.25">
      <c r="D117" s="21"/>
      <c r="E117" s="21"/>
      <c r="F117" s="21"/>
      <c r="G117" s="21"/>
      <c r="H117" s="21"/>
      <c r="I117" s="21"/>
      <c r="J117" s="21"/>
    </row>
    <row r="118" spans="4:10" x14ac:dyDescent="0.25">
      <c r="D118" s="21"/>
      <c r="E118" s="21"/>
      <c r="F118" s="21"/>
      <c r="G118" s="21"/>
      <c r="H118" s="21"/>
      <c r="I118" s="21"/>
      <c r="J118" s="21"/>
    </row>
    <row r="119" spans="4:10" x14ac:dyDescent="0.25">
      <c r="D119" s="21"/>
      <c r="E119" s="21"/>
      <c r="F119" s="21"/>
      <c r="G119" s="21"/>
      <c r="H119" s="21"/>
      <c r="I119" s="21"/>
      <c r="J119" s="21"/>
    </row>
    <row r="120" spans="4:10" x14ac:dyDescent="0.25">
      <c r="D120" s="21"/>
      <c r="E120" s="21"/>
      <c r="F120" s="21"/>
      <c r="G120" s="21"/>
      <c r="H120" s="21"/>
      <c r="I120" s="21"/>
      <c r="J120" s="21"/>
    </row>
    <row r="121" spans="4:10" x14ac:dyDescent="0.25">
      <c r="D121" s="21"/>
      <c r="E121" s="21"/>
      <c r="F121" s="21"/>
      <c r="G121" s="21"/>
      <c r="H121" s="21"/>
      <c r="I121" s="21"/>
      <c r="J121" s="21"/>
    </row>
    <row r="122" spans="4:10" x14ac:dyDescent="0.25">
      <c r="D122" s="21"/>
      <c r="E122" s="21"/>
      <c r="F122" s="21"/>
      <c r="G122" s="21"/>
      <c r="H122" s="21"/>
      <c r="I122" s="21"/>
      <c r="J122" s="21"/>
    </row>
    <row r="123" spans="4:10" x14ac:dyDescent="0.25">
      <c r="D123" s="21"/>
      <c r="E123" s="21"/>
      <c r="F123" s="21"/>
      <c r="G123" s="21"/>
      <c r="H123" s="21"/>
      <c r="I123" s="21"/>
      <c r="J123" s="21"/>
    </row>
    <row r="124" spans="4:10" x14ac:dyDescent="0.25">
      <c r="D124" s="21"/>
      <c r="E124" s="21"/>
      <c r="F124" s="21"/>
      <c r="G124" s="21"/>
      <c r="H124" s="21"/>
      <c r="I124" s="21"/>
      <c r="J124" s="21"/>
    </row>
    <row r="125" spans="4:10" x14ac:dyDescent="0.25">
      <c r="D125" s="21"/>
      <c r="E125" s="21"/>
      <c r="F125" s="21"/>
      <c r="G125" s="21"/>
      <c r="H125" s="21"/>
      <c r="I125" s="21"/>
      <c r="J125" s="21"/>
    </row>
    <row r="126" spans="4:10" x14ac:dyDescent="0.25">
      <c r="D126" s="21"/>
      <c r="E126" s="21"/>
      <c r="F126" s="21"/>
      <c r="G126" s="21"/>
      <c r="H126" s="21"/>
      <c r="I126" s="21"/>
      <c r="J126" s="21"/>
    </row>
    <row r="127" spans="4:10" x14ac:dyDescent="0.25">
      <c r="D127" s="21"/>
      <c r="E127" s="21"/>
      <c r="F127" s="21"/>
      <c r="G127" s="21"/>
      <c r="H127" s="21"/>
      <c r="I127" s="21"/>
      <c r="J127" s="21"/>
    </row>
    <row r="128" spans="4:10" x14ac:dyDescent="0.25">
      <c r="D128" s="21"/>
      <c r="E128" s="21"/>
      <c r="F128" s="21"/>
      <c r="G128" s="21"/>
      <c r="H128" s="21"/>
      <c r="I128" s="21"/>
      <c r="J128" s="21"/>
    </row>
    <row r="129" spans="4:10" x14ac:dyDescent="0.25">
      <c r="D129" s="21"/>
      <c r="E129" s="21"/>
      <c r="F129" s="21"/>
      <c r="G129" s="21"/>
      <c r="H129" s="21"/>
      <c r="I129" s="21"/>
      <c r="J129" s="21"/>
    </row>
    <row r="130" spans="4:10" x14ac:dyDescent="0.25">
      <c r="D130" s="21"/>
      <c r="E130" s="21"/>
      <c r="F130" s="21"/>
      <c r="G130" s="21"/>
      <c r="H130" s="21"/>
      <c r="I130" s="21"/>
      <c r="J130" s="21"/>
    </row>
    <row r="131" spans="4:10" x14ac:dyDescent="0.25">
      <c r="D131" s="21"/>
      <c r="E131" s="21"/>
      <c r="F131" s="21"/>
      <c r="G131" s="21"/>
      <c r="H131" s="21"/>
      <c r="I131" s="21"/>
      <c r="J131" s="21"/>
    </row>
    <row r="132" spans="4:10" x14ac:dyDescent="0.25">
      <c r="D132" s="21"/>
      <c r="E132" s="21"/>
      <c r="F132" s="21"/>
      <c r="G132" s="21"/>
      <c r="H132" s="21"/>
      <c r="I132" s="21"/>
      <c r="J132" s="21"/>
    </row>
    <row r="133" spans="4:10" x14ac:dyDescent="0.25">
      <c r="D133" s="21"/>
      <c r="E133" s="21"/>
      <c r="F133" s="21"/>
      <c r="G133" s="21"/>
      <c r="H133" s="21"/>
      <c r="I133" s="21"/>
      <c r="J133" s="21"/>
    </row>
    <row r="134" spans="4:10" x14ac:dyDescent="0.25">
      <c r="D134" s="21"/>
      <c r="E134" s="21"/>
      <c r="F134" s="21"/>
      <c r="G134" s="21"/>
      <c r="H134" s="21"/>
      <c r="I134" s="21"/>
      <c r="J134" s="21"/>
    </row>
    <row r="135" spans="4:10" x14ac:dyDescent="0.25">
      <c r="D135" s="21"/>
      <c r="E135" s="21"/>
      <c r="F135" s="21"/>
      <c r="G135" s="21"/>
      <c r="H135" s="21"/>
      <c r="I135" s="21"/>
      <c r="J135" s="21"/>
    </row>
    <row r="136" spans="4:10" x14ac:dyDescent="0.25">
      <c r="D136" s="21"/>
      <c r="E136" s="21"/>
      <c r="F136" s="21"/>
      <c r="G136" s="21"/>
      <c r="H136" s="21"/>
      <c r="I136" s="21"/>
      <c r="J136" s="21"/>
    </row>
    <row r="137" spans="4:10" x14ac:dyDescent="0.25">
      <c r="D137" s="21"/>
      <c r="E137" s="21"/>
      <c r="F137" s="21"/>
      <c r="G137" s="21"/>
      <c r="H137" s="21"/>
      <c r="I137" s="21"/>
      <c r="J137" s="21"/>
    </row>
    <row r="138" spans="4:10" x14ac:dyDescent="0.25">
      <c r="D138" s="21"/>
      <c r="E138" s="21"/>
      <c r="F138" s="21"/>
      <c r="G138" s="21"/>
      <c r="H138" s="21"/>
      <c r="I138" s="21"/>
      <c r="J138" s="21"/>
    </row>
    <row r="139" spans="4:10" x14ac:dyDescent="0.25">
      <c r="D139" s="21"/>
      <c r="E139" s="21"/>
      <c r="F139" s="21"/>
      <c r="G139" s="21"/>
      <c r="H139" s="21"/>
      <c r="I139" s="21"/>
      <c r="J139" s="21"/>
    </row>
    <row r="140" spans="4:10" x14ac:dyDescent="0.25">
      <c r="D140" s="21"/>
      <c r="E140" s="21"/>
      <c r="F140" s="21"/>
      <c r="G140" s="21"/>
      <c r="H140" s="21"/>
      <c r="I140" s="21"/>
      <c r="J140" s="21"/>
    </row>
    <row r="141" spans="4:10" x14ac:dyDescent="0.25">
      <c r="D141" s="21"/>
      <c r="E141" s="21"/>
      <c r="F141" s="21"/>
      <c r="G141" s="21"/>
      <c r="H141" s="21"/>
      <c r="I141" s="21"/>
      <c r="J141" s="21"/>
    </row>
    <row r="142" spans="4:10" x14ac:dyDescent="0.25">
      <c r="D142" s="21"/>
      <c r="E142" s="21"/>
      <c r="F142" s="21"/>
      <c r="G142" s="21"/>
      <c r="H142" s="21"/>
      <c r="I142" s="21"/>
      <c r="J142" s="21"/>
    </row>
    <row r="143" spans="4:10" x14ac:dyDescent="0.25">
      <c r="D143" s="21"/>
      <c r="E143" s="21"/>
      <c r="F143" s="21"/>
      <c r="G143" s="21"/>
      <c r="H143" s="21"/>
      <c r="I143" s="21"/>
      <c r="J143" s="21"/>
    </row>
    <row r="144" spans="4:10" x14ac:dyDescent="0.25">
      <c r="D144" s="21"/>
      <c r="E144" s="21"/>
      <c r="F144" s="21"/>
      <c r="G144" s="21"/>
      <c r="H144" s="21"/>
      <c r="I144" s="21"/>
      <c r="J144" s="21"/>
    </row>
    <row r="145" spans="4:10" x14ac:dyDescent="0.25">
      <c r="D145" s="21"/>
      <c r="E145" s="21"/>
      <c r="F145" s="21"/>
      <c r="G145" s="21"/>
      <c r="H145" s="21"/>
      <c r="I145" s="21"/>
      <c r="J145" s="21"/>
    </row>
    <row r="146" spans="4:10" x14ac:dyDescent="0.25">
      <c r="D146" s="21"/>
      <c r="E146" s="21"/>
      <c r="F146" s="21"/>
      <c r="G146" s="21"/>
      <c r="H146" s="21"/>
      <c r="I146" s="21"/>
      <c r="J146" s="21"/>
    </row>
    <row r="147" spans="4:10" x14ac:dyDescent="0.25">
      <c r="D147" s="21"/>
      <c r="E147" s="21"/>
      <c r="F147" s="21"/>
      <c r="G147" s="21"/>
      <c r="H147" s="21"/>
      <c r="I147" s="21"/>
      <c r="J147" s="21"/>
    </row>
    <row r="148" spans="4:10" x14ac:dyDescent="0.25">
      <c r="D148" s="21"/>
      <c r="E148" s="21"/>
      <c r="F148" s="21"/>
      <c r="G148" s="21"/>
      <c r="H148" s="21"/>
      <c r="I148" s="21"/>
      <c r="J148" s="21"/>
    </row>
    <row r="149" spans="4:10" x14ac:dyDescent="0.25">
      <c r="D149" s="21"/>
      <c r="E149" s="21"/>
      <c r="F149" s="21"/>
      <c r="G149" s="21"/>
      <c r="H149" s="21"/>
      <c r="I149" s="21"/>
      <c r="J149" s="21"/>
    </row>
    <row r="150" spans="4:10" x14ac:dyDescent="0.25">
      <c r="D150" s="21"/>
      <c r="E150" s="21"/>
      <c r="F150" s="21"/>
      <c r="G150" s="21"/>
      <c r="H150" s="21"/>
      <c r="I150" s="21"/>
      <c r="J150" s="21"/>
    </row>
    <row r="151" spans="4:10" x14ac:dyDescent="0.25">
      <c r="D151" s="21"/>
      <c r="E151" s="21"/>
      <c r="F151" s="21"/>
      <c r="G151" s="21"/>
      <c r="H151" s="21"/>
      <c r="I151" s="21"/>
      <c r="J151" s="21"/>
    </row>
    <row r="152" spans="4:10" x14ac:dyDescent="0.25">
      <c r="D152" s="21"/>
      <c r="E152" s="21"/>
      <c r="F152" s="21"/>
      <c r="G152" s="21"/>
      <c r="H152" s="21"/>
      <c r="I152" s="21"/>
      <c r="J152" s="21"/>
    </row>
    <row r="153" spans="4:10" x14ac:dyDescent="0.25">
      <c r="D153" s="21"/>
      <c r="E153" s="21"/>
      <c r="F153" s="21"/>
      <c r="G153" s="21"/>
      <c r="H153" s="21"/>
      <c r="I153" s="21"/>
      <c r="J153" s="21"/>
    </row>
    <row r="154" spans="4:10" x14ac:dyDescent="0.25">
      <c r="D154" s="21"/>
      <c r="E154" s="21"/>
      <c r="F154" s="21"/>
      <c r="G154" s="21"/>
      <c r="H154" s="21"/>
      <c r="I154" s="21"/>
      <c r="J154" s="21"/>
    </row>
    <row r="155" spans="4:10" x14ac:dyDescent="0.25">
      <c r="D155" s="21"/>
      <c r="E155" s="21"/>
      <c r="F155" s="21"/>
      <c r="G155" s="21"/>
      <c r="H155" s="21"/>
      <c r="I155" s="21"/>
      <c r="J155" s="21"/>
    </row>
    <row r="156" spans="4:10" x14ac:dyDescent="0.25">
      <c r="D156" s="21"/>
      <c r="E156" s="21"/>
      <c r="F156" s="21"/>
      <c r="G156" s="21"/>
      <c r="H156" s="21"/>
      <c r="I156" s="21"/>
      <c r="J156" s="21"/>
    </row>
    <row r="157" spans="4:10" x14ac:dyDescent="0.25">
      <c r="D157" s="21"/>
      <c r="E157" s="21"/>
      <c r="F157" s="21"/>
      <c r="G157" s="21"/>
      <c r="H157" s="21"/>
      <c r="I157" s="21"/>
      <c r="J157" s="21"/>
    </row>
    <row r="158" spans="4:10" x14ac:dyDescent="0.25">
      <c r="D158" s="21"/>
      <c r="E158" s="21"/>
      <c r="F158" s="21"/>
      <c r="G158" s="21"/>
      <c r="H158" s="21"/>
      <c r="I158" s="21"/>
      <c r="J158" s="21"/>
    </row>
    <row r="159" spans="4:10" x14ac:dyDescent="0.25">
      <c r="D159" s="21"/>
      <c r="E159" s="21"/>
      <c r="F159" s="21"/>
      <c r="G159" s="21"/>
      <c r="H159" s="21"/>
      <c r="I159" s="21"/>
      <c r="J159" s="21"/>
    </row>
    <row r="160" spans="4:10" x14ac:dyDescent="0.25">
      <c r="D160" s="21"/>
      <c r="E160" s="21"/>
      <c r="F160" s="21"/>
      <c r="G160" s="21"/>
      <c r="H160" s="21"/>
      <c r="I160" s="21"/>
      <c r="J160" s="21"/>
    </row>
    <row r="161" spans="4:10" x14ac:dyDescent="0.25">
      <c r="D161" s="21"/>
      <c r="E161" s="21"/>
      <c r="F161" s="21"/>
      <c r="G161" s="21"/>
      <c r="H161" s="21"/>
      <c r="I161" s="21"/>
      <c r="J161" s="21"/>
    </row>
    <row r="162" spans="4:10" x14ac:dyDescent="0.25">
      <c r="D162" s="21"/>
      <c r="E162" s="21"/>
      <c r="F162" s="21"/>
      <c r="G162" s="21"/>
      <c r="H162" s="21"/>
      <c r="I162" s="21"/>
      <c r="J162" s="21"/>
    </row>
    <row r="163" spans="4:10" x14ac:dyDescent="0.25">
      <c r="D163" s="21"/>
      <c r="E163" s="21"/>
      <c r="F163" s="21"/>
      <c r="G163" s="21"/>
      <c r="H163" s="21"/>
      <c r="I163" s="21"/>
      <c r="J163" s="21"/>
    </row>
    <row r="164" spans="4:10" x14ac:dyDescent="0.25">
      <c r="D164" s="21"/>
      <c r="E164" s="21"/>
      <c r="F164" s="21"/>
      <c r="G164" s="21"/>
      <c r="H164" s="21"/>
      <c r="I164" s="21"/>
      <c r="J164" s="21"/>
    </row>
    <row r="165" spans="4:10" x14ac:dyDescent="0.25">
      <c r="D165" s="21"/>
      <c r="E165" s="21"/>
      <c r="F165" s="21"/>
      <c r="G165" s="21"/>
      <c r="H165" s="21"/>
      <c r="I165" s="21"/>
      <c r="J165" s="21"/>
    </row>
    <row r="166" spans="4:10" x14ac:dyDescent="0.25">
      <c r="D166" s="21"/>
      <c r="E166" s="21"/>
      <c r="F166" s="21"/>
      <c r="G166" s="21"/>
      <c r="H166" s="21"/>
      <c r="I166" s="21"/>
      <c r="J166" s="21"/>
    </row>
    <row r="167" spans="4:10" x14ac:dyDescent="0.25">
      <c r="D167" s="21"/>
      <c r="E167" s="21"/>
      <c r="F167" s="21"/>
      <c r="G167" s="21"/>
      <c r="H167" s="21"/>
      <c r="I167" s="21"/>
      <c r="J167" s="21"/>
    </row>
    <row r="168" spans="4:10" x14ac:dyDescent="0.25">
      <c r="D168" s="21"/>
      <c r="E168" s="21"/>
      <c r="F168" s="21"/>
      <c r="G168" s="21"/>
      <c r="H168" s="21"/>
      <c r="I168" s="21"/>
      <c r="J168" s="21"/>
    </row>
    <row r="169" spans="4:10" x14ac:dyDescent="0.25">
      <c r="D169" s="21"/>
      <c r="E169" s="21"/>
      <c r="F169" s="21"/>
      <c r="G169" s="21"/>
      <c r="H169" s="21"/>
      <c r="I169" s="21"/>
      <c r="J169" s="21"/>
    </row>
    <row r="170" spans="4:10" x14ac:dyDescent="0.25">
      <c r="D170" s="21"/>
      <c r="E170" s="21"/>
      <c r="F170" s="21"/>
      <c r="G170" s="21"/>
      <c r="H170" s="21"/>
      <c r="I170" s="21"/>
      <c r="J170" s="21"/>
    </row>
    <row r="171" spans="4:10" x14ac:dyDescent="0.25">
      <c r="D171" s="21"/>
      <c r="E171" s="21"/>
      <c r="F171" s="21"/>
      <c r="G171" s="21"/>
      <c r="H171" s="21"/>
      <c r="I171" s="21"/>
      <c r="J171" s="21"/>
    </row>
    <row r="172" spans="4:10" x14ac:dyDescent="0.25">
      <c r="D172" s="21"/>
      <c r="E172" s="21"/>
      <c r="F172" s="21"/>
      <c r="G172" s="21"/>
      <c r="H172" s="21"/>
      <c r="I172" s="21"/>
      <c r="J172" s="21"/>
    </row>
    <row r="173" spans="4:10" x14ac:dyDescent="0.25">
      <c r="D173" s="21"/>
      <c r="E173" s="21"/>
      <c r="F173" s="21"/>
      <c r="G173" s="21"/>
      <c r="H173" s="21"/>
      <c r="I173" s="21"/>
      <c r="J173" s="21"/>
    </row>
    <row r="174" spans="4:10" x14ac:dyDescent="0.25">
      <c r="D174" s="21"/>
      <c r="E174" s="21"/>
      <c r="F174" s="21"/>
      <c r="G174" s="21"/>
      <c r="H174" s="21"/>
      <c r="I174" s="21"/>
      <c r="J174" s="21"/>
    </row>
    <row r="175" spans="4:10" x14ac:dyDescent="0.25">
      <c r="D175" s="21"/>
      <c r="E175" s="21"/>
      <c r="F175" s="21"/>
      <c r="G175" s="21"/>
      <c r="H175" s="21"/>
      <c r="I175" s="21"/>
      <c r="J175" s="21"/>
    </row>
    <row r="176" spans="4:10" x14ac:dyDescent="0.25">
      <c r="D176" s="21"/>
      <c r="E176" s="21"/>
      <c r="F176" s="21"/>
      <c r="G176" s="21"/>
      <c r="H176" s="21"/>
      <c r="I176" s="21"/>
      <c r="J176" s="21"/>
    </row>
    <row r="177" spans="4:10" x14ac:dyDescent="0.25">
      <c r="D177" s="21"/>
      <c r="E177" s="21"/>
      <c r="F177" s="21"/>
      <c r="G177" s="21"/>
      <c r="H177" s="21"/>
      <c r="I177" s="21"/>
      <c r="J177" s="21"/>
    </row>
    <row r="178" spans="4:10" x14ac:dyDescent="0.25">
      <c r="D178" s="21"/>
      <c r="E178" s="21"/>
      <c r="F178" s="21"/>
      <c r="G178" s="21"/>
      <c r="H178" s="21"/>
      <c r="I178" s="21"/>
      <c r="J178" s="21"/>
    </row>
    <row r="179" spans="4:10" x14ac:dyDescent="0.25">
      <c r="D179" s="21"/>
      <c r="E179" s="21"/>
      <c r="F179" s="21"/>
      <c r="G179" s="21"/>
      <c r="H179" s="21"/>
      <c r="I179" s="21"/>
      <c r="J179" s="21"/>
    </row>
    <row r="180" spans="4:10" x14ac:dyDescent="0.25">
      <c r="D180" s="21"/>
      <c r="E180" s="21"/>
      <c r="F180" s="21"/>
      <c r="G180" s="21"/>
      <c r="H180" s="21"/>
      <c r="I180" s="21"/>
      <c r="J180" s="21"/>
    </row>
    <row r="181" spans="4:10" x14ac:dyDescent="0.25">
      <c r="D181" s="21"/>
      <c r="E181" s="21"/>
      <c r="F181" s="21"/>
      <c r="G181" s="21"/>
      <c r="H181" s="21"/>
      <c r="I181" s="21"/>
      <c r="J181" s="21"/>
    </row>
    <row r="182" spans="4:10" x14ac:dyDescent="0.25">
      <c r="D182" s="21"/>
      <c r="E182" s="21"/>
      <c r="F182" s="21"/>
      <c r="G182" s="21"/>
      <c r="H182" s="21"/>
      <c r="I182" s="21"/>
      <c r="J182" s="21"/>
    </row>
    <row r="183" spans="4:10" x14ac:dyDescent="0.25">
      <c r="D183" s="21"/>
      <c r="E183" s="21"/>
      <c r="F183" s="21"/>
      <c r="G183" s="21"/>
      <c r="H183" s="21"/>
      <c r="I183" s="21"/>
      <c r="J183" s="21"/>
    </row>
    <row r="184" spans="4:10" x14ac:dyDescent="0.25">
      <c r="D184" s="21"/>
      <c r="E184" s="21"/>
      <c r="F184" s="21"/>
      <c r="G184" s="21"/>
      <c r="H184" s="21"/>
      <c r="I184" s="21"/>
      <c r="J184" s="21"/>
    </row>
    <row r="185" spans="4:10" x14ac:dyDescent="0.25">
      <c r="D185" s="21"/>
      <c r="E185" s="21"/>
      <c r="F185" s="21"/>
      <c r="G185" s="21"/>
      <c r="H185" s="21"/>
      <c r="I185" s="21"/>
      <c r="J185" s="21"/>
    </row>
    <row r="186" spans="4:10" x14ac:dyDescent="0.25">
      <c r="D186" s="21"/>
      <c r="E186" s="21"/>
      <c r="F186" s="21"/>
      <c r="G186" s="21"/>
      <c r="H186" s="21"/>
      <c r="I186" s="21"/>
      <c r="J186" s="21"/>
    </row>
    <row r="187" spans="4:10" x14ac:dyDescent="0.25">
      <c r="D187" s="21"/>
      <c r="E187" s="21"/>
      <c r="F187" s="21"/>
      <c r="G187" s="21"/>
      <c r="H187" s="21"/>
      <c r="I187" s="21"/>
      <c r="J187" s="21"/>
    </row>
    <row r="188" spans="4:10" x14ac:dyDescent="0.25">
      <c r="D188" s="21"/>
      <c r="E188" s="21"/>
      <c r="F188" s="21"/>
      <c r="G188" s="21"/>
      <c r="H188" s="21"/>
      <c r="I188" s="21"/>
      <c r="J188" s="21"/>
    </row>
    <row r="189" spans="4:10" x14ac:dyDescent="0.25">
      <c r="D189" s="21"/>
      <c r="E189" s="21"/>
      <c r="F189" s="21"/>
      <c r="G189" s="21"/>
      <c r="H189" s="21"/>
      <c r="I189" s="21"/>
      <c r="J189" s="21"/>
    </row>
    <row r="190" spans="4:10" x14ac:dyDescent="0.25">
      <c r="D190" s="21"/>
      <c r="E190" s="21"/>
      <c r="F190" s="21"/>
      <c r="G190" s="21"/>
      <c r="H190" s="21"/>
      <c r="I190" s="21"/>
      <c r="J190" s="21"/>
    </row>
    <row r="191" spans="4:10" x14ac:dyDescent="0.25">
      <c r="D191" s="21"/>
      <c r="E191" s="21"/>
      <c r="F191" s="21"/>
      <c r="G191" s="21"/>
      <c r="H191" s="21"/>
      <c r="I191" s="21"/>
      <c r="J191" s="21"/>
    </row>
    <row r="192" spans="4:10" x14ac:dyDescent="0.25">
      <c r="D192" s="21"/>
      <c r="E192" s="21"/>
      <c r="F192" s="21"/>
      <c r="G192" s="21"/>
      <c r="H192" s="21"/>
      <c r="I192" s="21"/>
      <c r="J192" s="21"/>
    </row>
    <row r="193" spans="4:10" x14ac:dyDescent="0.25">
      <c r="D193" s="21"/>
      <c r="E193" s="21"/>
      <c r="F193" s="21"/>
      <c r="G193" s="21"/>
      <c r="H193" s="21"/>
      <c r="I193" s="21"/>
      <c r="J193" s="21"/>
    </row>
    <row r="194" spans="4:10" x14ac:dyDescent="0.25">
      <c r="D194" s="21"/>
      <c r="E194" s="21"/>
      <c r="F194" s="21"/>
      <c r="G194" s="21"/>
      <c r="H194" s="21"/>
      <c r="I194" s="21"/>
      <c r="J194" s="21"/>
    </row>
    <row r="195" spans="4:10" x14ac:dyDescent="0.25">
      <c r="D195" s="21"/>
      <c r="E195" s="21"/>
      <c r="F195" s="21"/>
      <c r="G195" s="21"/>
      <c r="H195" s="21"/>
      <c r="I195" s="21"/>
      <c r="J195" s="21"/>
    </row>
    <row r="196" spans="4:10" x14ac:dyDescent="0.25">
      <c r="D196" s="21"/>
      <c r="E196" s="21"/>
      <c r="F196" s="21"/>
      <c r="G196" s="21"/>
      <c r="H196" s="21"/>
      <c r="I196" s="21"/>
      <c r="J196" s="21"/>
    </row>
    <row r="197" spans="4:10" x14ac:dyDescent="0.25">
      <c r="D197" s="21"/>
      <c r="E197" s="21"/>
      <c r="F197" s="21"/>
      <c r="G197" s="21"/>
      <c r="H197" s="21"/>
      <c r="I197" s="21"/>
      <c r="J197" s="21"/>
    </row>
    <row r="198" spans="4:10" x14ac:dyDescent="0.25">
      <c r="D198" s="21"/>
      <c r="E198" s="21"/>
      <c r="F198" s="21"/>
      <c r="G198" s="21"/>
      <c r="H198" s="21"/>
      <c r="I198" s="21"/>
      <c r="J198" s="21"/>
    </row>
    <row r="199" spans="4:10" x14ac:dyDescent="0.25">
      <c r="D199" s="21"/>
      <c r="E199" s="21"/>
      <c r="F199" s="21"/>
      <c r="G199" s="21"/>
      <c r="H199" s="21"/>
      <c r="I199" s="21"/>
      <c r="J199" s="21"/>
    </row>
    <row r="200" spans="4:10" x14ac:dyDescent="0.25">
      <c r="D200" s="21"/>
      <c r="E200" s="21"/>
      <c r="F200" s="21"/>
      <c r="G200" s="21"/>
      <c r="H200" s="21"/>
      <c r="I200" s="21"/>
      <c r="J200" s="21"/>
    </row>
    <row r="201" spans="4:10" x14ac:dyDescent="0.25">
      <c r="D201" s="21"/>
      <c r="E201" s="21"/>
      <c r="F201" s="21"/>
      <c r="G201" s="21"/>
      <c r="H201" s="21"/>
      <c r="I201" s="21"/>
      <c r="J201" s="21"/>
    </row>
    <row r="202" spans="4:10" x14ac:dyDescent="0.25">
      <c r="D202" s="21"/>
      <c r="E202" s="21"/>
      <c r="F202" s="21"/>
      <c r="G202" s="21"/>
      <c r="H202" s="21"/>
      <c r="I202" s="21"/>
      <c r="J202" s="21"/>
    </row>
    <row r="203" spans="4:10" x14ac:dyDescent="0.25">
      <c r="D203" s="21"/>
      <c r="E203" s="21"/>
      <c r="F203" s="21"/>
      <c r="G203" s="21"/>
      <c r="H203" s="21"/>
      <c r="I203" s="21"/>
      <c r="J203" s="21"/>
    </row>
    <row r="204" spans="4:10" x14ac:dyDescent="0.25">
      <c r="D204" s="21"/>
      <c r="E204" s="21"/>
      <c r="F204" s="21"/>
      <c r="G204" s="21"/>
      <c r="H204" s="21"/>
      <c r="I204" s="21"/>
      <c r="J204" s="21"/>
    </row>
    <row r="205" spans="4:10" x14ac:dyDescent="0.25">
      <c r="D205" s="21"/>
      <c r="E205" s="21"/>
      <c r="F205" s="21"/>
      <c r="G205" s="21"/>
      <c r="H205" s="21"/>
      <c r="I205" s="21"/>
      <c r="J205" s="21"/>
    </row>
    <row r="206" spans="4:10" x14ac:dyDescent="0.25">
      <c r="D206" s="21"/>
      <c r="E206" s="21"/>
      <c r="F206" s="21"/>
      <c r="G206" s="21"/>
      <c r="H206" s="21"/>
      <c r="I206" s="21"/>
      <c r="J206" s="21"/>
    </row>
    <row r="207" spans="4:10" x14ac:dyDescent="0.25">
      <c r="D207" s="21"/>
      <c r="E207" s="21"/>
      <c r="F207" s="21"/>
      <c r="G207" s="21"/>
      <c r="H207" s="21"/>
      <c r="I207" s="21"/>
      <c r="J207" s="21"/>
    </row>
    <row r="208" spans="4:10" x14ac:dyDescent="0.25">
      <c r="D208" s="21"/>
      <c r="E208" s="21"/>
      <c r="F208" s="21"/>
      <c r="G208" s="21"/>
      <c r="H208" s="21"/>
      <c r="I208" s="21"/>
      <c r="J208" s="21"/>
    </row>
    <row r="209" spans="4:10" x14ac:dyDescent="0.25">
      <c r="D209" s="21"/>
      <c r="E209" s="21"/>
      <c r="F209" s="21"/>
      <c r="G209" s="21"/>
      <c r="H209" s="21"/>
      <c r="I209" s="21"/>
      <c r="J209" s="21"/>
    </row>
    <row r="210" spans="4:10" x14ac:dyDescent="0.25">
      <c r="D210" s="21"/>
      <c r="E210" s="21"/>
      <c r="F210" s="21"/>
      <c r="G210" s="21"/>
      <c r="H210" s="21"/>
      <c r="I210" s="21"/>
      <c r="J210" s="21"/>
    </row>
    <row r="211" spans="4:10" x14ac:dyDescent="0.25">
      <c r="D211" s="21"/>
      <c r="E211" s="21"/>
      <c r="F211" s="21"/>
      <c r="G211" s="21"/>
      <c r="H211" s="21"/>
      <c r="I211" s="21"/>
      <c r="J211" s="21"/>
    </row>
    <row r="212" spans="4:10" x14ac:dyDescent="0.25">
      <c r="D212" s="21"/>
      <c r="E212" s="21"/>
      <c r="F212" s="21"/>
      <c r="G212" s="21"/>
      <c r="H212" s="21"/>
      <c r="I212" s="21"/>
      <c r="J212" s="21"/>
    </row>
    <row r="213" spans="4:10" x14ac:dyDescent="0.25">
      <c r="D213" s="21"/>
      <c r="E213" s="21"/>
      <c r="F213" s="21"/>
      <c r="G213" s="21"/>
      <c r="H213" s="21"/>
      <c r="I213" s="21"/>
      <c r="J213" s="21"/>
    </row>
    <row r="214" spans="4:10" x14ac:dyDescent="0.25">
      <c r="D214" s="21"/>
      <c r="E214" s="21"/>
      <c r="F214" s="21"/>
      <c r="G214" s="21"/>
      <c r="H214" s="21"/>
      <c r="I214" s="21"/>
      <c r="J214" s="21"/>
    </row>
    <row r="215" spans="4:10" x14ac:dyDescent="0.25">
      <c r="D215" s="21"/>
      <c r="E215" s="21"/>
      <c r="F215" s="21"/>
      <c r="G215" s="21"/>
      <c r="H215" s="21"/>
      <c r="I215" s="21"/>
      <c r="J215" s="21"/>
    </row>
    <row r="216" spans="4:10" x14ac:dyDescent="0.25">
      <c r="D216" s="21"/>
      <c r="E216" s="21"/>
      <c r="F216" s="21"/>
      <c r="G216" s="21"/>
      <c r="H216" s="21"/>
      <c r="I216" s="21"/>
      <c r="J216" s="21"/>
    </row>
    <row r="217" spans="4:10" x14ac:dyDescent="0.25">
      <c r="D217" s="21"/>
      <c r="E217" s="21"/>
      <c r="F217" s="21"/>
      <c r="G217" s="21"/>
      <c r="H217" s="21"/>
      <c r="I217" s="21"/>
      <c r="J217" s="21"/>
    </row>
    <row r="218" spans="4:10" x14ac:dyDescent="0.25">
      <c r="D218" s="21"/>
      <c r="E218" s="21"/>
      <c r="F218" s="21"/>
      <c r="G218" s="21"/>
      <c r="H218" s="21"/>
      <c r="I218" s="21"/>
      <c r="J218" s="21"/>
    </row>
    <row r="219" spans="4:10" x14ac:dyDescent="0.25">
      <c r="D219" s="21"/>
      <c r="E219" s="21"/>
      <c r="F219" s="21"/>
      <c r="G219" s="21"/>
      <c r="H219" s="21"/>
      <c r="I219" s="21"/>
      <c r="J219" s="21"/>
    </row>
    <row r="220" spans="4:10" x14ac:dyDescent="0.25">
      <c r="D220" s="21"/>
      <c r="E220" s="21"/>
      <c r="F220" s="21"/>
      <c r="G220" s="21"/>
      <c r="H220" s="21"/>
      <c r="I220" s="21"/>
      <c r="J220" s="21"/>
    </row>
    <row r="221" spans="4:10" x14ac:dyDescent="0.25">
      <c r="D221" s="21"/>
      <c r="E221" s="21"/>
      <c r="F221" s="21"/>
      <c r="G221" s="21"/>
      <c r="H221" s="21"/>
      <c r="I221" s="21"/>
      <c r="J221" s="21"/>
    </row>
    <row r="222" spans="4:10" x14ac:dyDescent="0.25">
      <c r="D222" s="21"/>
      <c r="E222" s="21"/>
      <c r="F222" s="21"/>
      <c r="G222" s="21"/>
      <c r="H222" s="21"/>
      <c r="I222" s="21"/>
      <c r="J222" s="21"/>
    </row>
    <row r="223" spans="4:10" x14ac:dyDescent="0.25">
      <c r="D223" s="21"/>
      <c r="E223" s="21"/>
      <c r="F223" s="21"/>
      <c r="G223" s="21"/>
      <c r="H223" s="21"/>
      <c r="I223" s="21"/>
      <c r="J223" s="21"/>
    </row>
    <row r="224" spans="4:10" x14ac:dyDescent="0.25">
      <c r="D224" s="21"/>
      <c r="E224" s="21"/>
      <c r="F224" s="21"/>
      <c r="G224" s="21"/>
      <c r="H224" s="21"/>
      <c r="I224" s="21"/>
      <c r="J224" s="21"/>
    </row>
    <row r="225" spans="4:10" x14ac:dyDescent="0.25">
      <c r="D225" s="21"/>
      <c r="E225" s="21"/>
      <c r="F225" s="21"/>
      <c r="G225" s="21"/>
      <c r="H225" s="21"/>
      <c r="I225" s="21"/>
      <c r="J225" s="21"/>
    </row>
    <row r="226" spans="4:10" x14ac:dyDescent="0.25">
      <c r="D226" s="21"/>
      <c r="E226" s="21"/>
      <c r="F226" s="21"/>
      <c r="G226" s="21"/>
      <c r="H226" s="21"/>
      <c r="I226" s="21"/>
      <c r="J226" s="21"/>
    </row>
    <row r="227" spans="4:10" x14ac:dyDescent="0.25">
      <c r="D227" s="21"/>
      <c r="E227" s="21"/>
      <c r="F227" s="21"/>
      <c r="G227" s="21"/>
      <c r="H227" s="21"/>
      <c r="I227" s="21"/>
      <c r="J227" s="21"/>
    </row>
    <row r="228" spans="4:10" x14ac:dyDescent="0.25">
      <c r="D228" s="21"/>
      <c r="E228" s="21"/>
      <c r="F228" s="21"/>
      <c r="G228" s="21"/>
      <c r="H228" s="21"/>
      <c r="I228" s="21"/>
      <c r="J228" s="21"/>
    </row>
    <row r="229" spans="4:10" x14ac:dyDescent="0.25">
      <c r="D229" s="21"/>
      <c r="E229" s="21"/>
      <c r="F229" s="21"/>
      <c r="G229" s="21"/>
      <c r="H229" s="21"/>
      <c r="I229" s="21"/>
      <c r="J229" s="21"/>
    </row>
    <row r="230" spans="4:10" x14ac:dyDescent="0.25">
      <c r="D230" s="21"/>
      <c r="E230" s="21"/>
      <c r="F230" s="21"/>
      <c r="G230" s="21"/>
      <c r="H230" s="21"/>
      <c r="I230" s="21"/>
      <c r="J230" s="21"/>
    </row>
    <row r="231" spans="4:10" x14ac:dyDescent="0.25">
      <c r="D231" s="21"/>
      <c r="E231" s="21"/>
      <c r="F231" s="21"/>
      <c r="G231" s="21"/>
      <c r="H231" s="21"/>
      <c r="I231" s="21"/>
      <c r="J231" s="21"/>
    </row>
    <row r="232" spans="4:10" x14ac:dyDescent="0.25">
      <c r="D232" s="21"/>
      <c r="E232" s="21"/>
      <c r="F232" s="21"/>
      <c r="G232" s="21"/>
      <c r="H232" s="21"/>
      <c r="I232" s="21"/>
      <c r="J232" s="21"/>
    </row>
    <row r="233" spans="4:10" x14ac:dyDescent="0.25">
      <c r="D233" s="21"/>
      <c r="E233" s="21"/>
      <c r="F233" s="21"/>
      <c r="G233" s="21"/>
      <c r="H233" s="21"/>
      <c r="I233" s="21"/>
      <c r="J233" s="21"/>
    </row>
    <row r="234" spans="4:10" x14ac:dyDescent="0.25">
      <c r="D234" s="21"/>
      <c r="E234" s="21"/>
      <c r="F234" s="21"/>
      <c r="G234" s="21"/>
      <c r="H234" s="21"/>
      <c r="I234" s="21"/>
      <c r="J234" s="21"/>
    </row>
    <row r="235" spans="4:10" x14ac:dyDescent="0.25">
      <c r="D235" s="21"/>
      <c r="E235" s="21"/>
      <c r="F235" s="21"/>
      <c r="G235" s="21"/>
      <c r="H235" s="21"/>
      <c r="I235" s="21"/>
      <c r="J235" s="21"/>
    </row>
    <row r="236" spans="4:10" x14ac:dyDescent="0.25">
      <c r="D236" s="21"/>
      <c r="E236" s="21"/>
      <c r="F236" s="21"/>
      <c r="G236" s="21"/>
      <c r="H236" s="21"/>
      <c r="I236" s="21"/>
      <c r="J236" s="21"/>
    </row>
    <row r="237" spans="4:10" x14ac:dyDescent="0.25">
      <c r="D237" s="21"/>
      <c r="E237" s="21"/>
      <c r="F237" s="21"/>
      <c r="G237" s="21"/>
      <c r="H237" s="21"/>
      <c r="I237" s="21"/>
      <c r="J237" s="21"/>
    </row>
    <row r="238" spans="4:10" x14ac:dyDescent="0.25">
      <c r="D238" s="21"/>
      <c r="E238" s="21"/>
      <c r="F238" s="21"/>
      <c r="G238" s="21"/>
      <c r="H238" s="21"/>
      <c r="I238" s="21"/>
      <c r="J238" s="21"/>
    </row>
    <row r="239" spans="4:10" x14ac:dyDescent="0.25">
      <c r="D239" s="21"/>
      <c r="E239" s="21"/>
      <c r="F239" s="21"/>
      <c r="G239" s="21"/>
      <c r="H239" s="21"/>
      <c r="I239" s="21"/>
      <c r="J239" s="21"/>
    </row>
    <row r="240" spans="4:10" x14ac:dyDescent="0.25">
      <c r="D240" s="21"/>
      <c r="E240" s="21"/>
      <c r="F240" s="21"/>
      <c r="G240" s="21"/>
      <c r="H240" s="21"/>
      <c r="I240" s="21"/>
      <c r="J240" s="21"/>
    </row>
    <row r="241" spans="4:10" x14ac:dyDescent="0.25">
      <c r="D241" s="21"/>
      <c r="E241" s="21"/>
      <c r="F241" s="21"/>
      <c r="G241" s="21"/>
      <c r="H241" s="21"/>
      <c r="I241" s="21"/>
      <c r="J241" s="21"/>
    </row>
    <row r="242" spans="4:10" x14ac:dyDescent="0.25">
      <c r="D242" s="21"/>
      <c r="E242" s="21"/>
      <c r="F242" s="21"/>
      <c r="G242" s="21"/>
      <c r="H242" s="21"/>
      <c r="I242" s="21"/>
      <c r="J242" s="21"/>
    </row>
    <row r="243" spans="4:10" x14ac:dyDescent="0.25">
      <c r="D243" s="21"/>
      <c r="E243" s="21"/>
      <c r="F243" s="21"/>
      <c r="G243" s="21"/>
      <c r="H243" s="21"/>
      <c r="I243" s="21"/>
      <c r="J243" s="21"/>
    </row>
    <row r="244" spans="4:10" x14ac:dyDescent="0.25">
      <c r="D244" s="21"/>
      <c r="E244" s="21"/>
      <c r="F244" s="21"/>
      <c r="G244" s="21"/>
      <c r="H244" s="21"/>
      <c r="I244" s="21"/>
      <c r="J244" s="21"/>
    </row>
    <row r="245" spans="4:10" x14ac:dyDescent="0.25">
      <c r="D245" s="21"/>
      <c r="E245" s="21"/>
      <c r="F245" s="21"/>
      <c r="G245" s="21"/>
      <c r="H245" s="21"/>
      <c r="I245" s="21"/>
      <c r="J245" s="21"/>
    </row>
    <row r="246" spans="4:10" x14ac:dyDescent="0.25">
      <c r="D246" s="21"/>
      <c r="E246" s="21"/>
      <c r="F246" s="21"/>
      <c r="G246" s="21"/>
      <c r="H246" s="21"/>
      <c r="I246" s="21"/>
      <c r="J246" s="21"/>
    </row>
    <row r="247" spans="4:10" x14ac:dyDescent="0.25">
      <c r="D247" s="21"/>
      <c r="E247" s="21"/>
      <c r="F247" s="21"/>
      <c r="G247" s="21"/>
      <c r="H247" s="21"/>
      <c r="I247" s="21"/>
      <c r="J247" s="21"/>
    </row>
    <row r="248" spans="4:10" x14ac:dyDescent="0.25">
      <c r="D248" s="21"/>
      <c r="E248" s="21"/>
      <c r="F248" s="21"/>
      <c r="G248" s="21"/>
      <c r="H248" s="21"/>
      <c r="I248" s="21"/>
      <c r="J248" s="21"/>
    </row>
    <row r="249" spans="4:10" x14ac:dyDescent="0.25">
      <c r="D249" s="21"/>
      <c r="E249" s="21"/>
      <c r="F249" s="21"/>
      <c r="G249" s="21"/>
      <c r="H249" s="21"/>
      <c r="I249" s="21"/>
      <c r="J249" s="21"/>
    </row>
    <row r="250" spans="4:10" x14ac:dyDescent="0.25">
      <c r="D250" s="21"/>
      <c r="E250" s="21"/>
      <c r="F250" s="21"/>
      <c r="G250" s="21"/>
      <c r="H250" s="21"/>
      <c r="I250" s="21"/>
      <c r="J250" s="21"/>
    </row>
    <row r="251" spans="4:10" x14ac:dyDescent="0.25">
      <c r="D251" s="21"/>
      <c r="E251" s="21"/>
      <c r="F251" s="21"/>
      <c r="G251" s="21"/>
      <c r="H251" s="21"/>
      <c r="I251" s="21"/>
      <c r="J251" s="21"/>
    </row>
    <row r="252" spans="4:10" x14ac:dyDescent="0.25">
      <c r="D252" s="21"/>
      <c r="E252" s="21"/>
      <c r="F252" s="21"/>
      <c r="G252" s="21"/>
      <c r="H252" s="21"/>
      <c r="I252" s="21"/>
      <c r="J252" s="21"/>
    </row>
    <row r="253" spans="4:10" x14ac:dyDescent="0.25">
      <c r="D253" s="21"/>
      <c r="E253" s="21"/>
      <c r="F253" s="21"/>
      <c r="G253" s="21"/>
      <c r="H253" s="21"/>
      <c r="I253" s="21"/>
      <c r="J253" s="21"/>
    </row>
    <row r="254" spans="4:10" x14ac:dyDescent="0.25">
      <c r="D254" s="21"/>
      <c r="E254" s="21"/>
      <c r="F254" s="21"/>
      <c r="G254" s="21"/>
      <c r="H254" s="21"/>
      <c r="I254" s="21"/>
      <c r="J254" s="21"/>
    </row>
    <row r="255" spans="4:10" x14ac:dyDescent="0.25">
      <c r="D255" s="21"/>
      <c r="E255" s="21"/>
      <c r="F255" s="21"/>
      <c r="G255" s="21"/>
      <c r="H255" s="21"/>
      <c r="I255" s="21"/>
      <c r="J255" s="21"/>
    </row>
    <row r="256" spans="4:10" x14ac:dyDescent="0.25">
      <c r="D256" s="21"/>
      <c r="E256" s="21"/>
      <c r="F256" s="21"/>
      <c r="G256" s="21"/>
      <c r="H256" s="21"/>
      <c r="I256" s="21"/>
      <c r="J256" s="21"/>
    </row>
    <row r="257" spans="4:10" x14ac:dyDescent="0.25">
      <c r="D257" s="21"/>
      <c r="E257" s="21"/>
      <c r="F257" s="21"/>
      <c r="G257" s="21"/>
      <c r="H257" s="21"/>
      <c r="I257" s="21"/>
      <c r="J257" s="21"/>
    </row>
    <row r="258" spans="4:10" x14ac:dyDescent="0.25">
      <c r="D258" s="21"/>
      <c r="E258" s="21"/>
      <c r="F258" s="21"/>
      <c r="G258" s="21"/>
      <c r="H258" s="21"/>
      <c r="I258" s="21"/>
      <c r="J258" s="21"/>
    </row>
    <row r="259" spans="4:10" x14ac:dyDescent="0.25">
      <c r="D259" s="21"/>
      <c r="E259" s="21"/>
      <c r="F259" s="21"/>
      <c r="G259" s="21"/>
      <c r="H259" s="21"/>
      <c r="I259" s="21"/>
      <c r="J259" s="21"/>
    </row>
    <row r="260" spans="4:10" x14ac:dyDescent="0.25">
      <c r="D260" s="21"/>
      <c r="E260" s="21"/>
      <c r="F260" s="21"/>
      <c r="G260" s="21"/>
      <c r="H260" s="21"/>
      <c r="I260" s="21"/>
      <c r="J260" s="21"/>
    </row>
    <row r="261" spans="4:10" x14ac:dyDescent="0.25">
      <c r="D261" s="21"/>
      <c r="E261" s="21"/>
      <c r="F261" s="21"/>
      <c r="G261" s="21"/>
      <c r="H261" s="21"/>
      <c r="I261" s="21"/>
      <c r="J261" s="21"/>
    </row>
    <row r="262" spans="4:10" x14ac:dyDescent="0.25">
      <c r="D262" s="21"/>
      <c r="E262" s="21"/>
      <c r="F262" s="21"/>
      <c r="G262" s="21"/>
      <c r="H262" s="21"/>
      <c r="I262" s="21"/>
      <c r="J262" s="21"/>
    </row>
    <row r="263" spans="4:10" x14ac:dyDescent="0.25">
      <c r="D263" s="21"/>
      <c r="E263" s="21"/>
      <c r="F263" s="21"/>
      <c r="G263" s="21"/>
      <c r="H263" s="21"/>
      <c r="I263" s="21"/>
      <c r="J263" s="21"/>
    </row>
    <row r="264" spans="4:10" x14ac:dyDescent="0.25">
      <c r="D264" s="21"/>
      <c r="E264" s="21"/>
      <c r="F264" s="21"/>
      <c r="G264" s="21"/>
      <c r="H264" s="21"/>
      <c r="I264" s="21"/>
      <c r="J264" s="21"/>
    </row>
    <row r="265" spans="4:10" x14ac:dyDescent="0.25">
      <c r="D265" s="21"/>
      <c r="E265" s="21"/>
      <c r="F265" s="21"/>
      <c r="G265" s="21"/>
      <c r="H265" s="21"/>
      <c r="I265" s="21"/>
      <c r="J265" s="21"/>
    </row>
    <row r="266" spans="4:10" x14ac:dyDescent="0.25">
      <c r="D266" s="21"/>
      <c r="E266" s="21"/>
      <c r="F266" s="21"/>
      <c r="G266" s="21"/>
      <c r="H266" s="21"/>
      <c r="I266" s="21"/>
      <c r="J266" s="21"/>
    </row>
    <row r="267" spans="4:10" x14ac:dyDescent="0.25">
      <c r="D267" s="21"/>
      <c r="E267" s="21"/>
      <c r="F267" s="21"/>
      <c r="G267" s="21"/>
      <c r="H267" s="21"/>
      <c r="I267" s="21"/>
      <c r="J267" s="21"/>
    </row>
    <row r="268" spans="4:10" x14ac:dyDescent="0.25">
      <c r="D268" s="21"/>
      <c r="E268" s="21"/>
      <c r="F268" s="21"/>
      <c r="G268" s="21"/>
      <c r="H268" s="21"/>
      <c r="I268" s="21"/>
      <c r="J268" s="21"/>
    </row>
    <row r="269" spans="4:10" x14ac:dyDescent="0.25">
      <c r="D269" s="21"/>
      <c r="E269" s="21"/>
      <c r="F269" s="21"/>
      <c r="G269" s="21"/>
      <c r="H269" s="21"/>
      <c r="I269" s="21"/>
      <c r="J269" s="21"/>
    </row>
    <row r="270" spans="4:10" x14ac:dyDescent="0.25">
      <c r="D270" s="21"/>
      <c r="E270" s="21"/>
      <c r="F270" s="21"/>
      <c r="G270" s="21"/>
      <c r="H270" s="21"/>
      <c r="I270" s="21"/>
      <c r="J270" s="21"/>
    </row>
    <row r="271" spans="4:10" x14ac:dyDescent="0.25">
      <c r="D271" s="21"/>
      <c r="E271" s="21"/>
      <c r="F271" s="21"/>
      <c r="G271" s="21"/>
      <c r="H271" s="21"/>
      <c r="I271" s="21"/>
      <c r="J271" s="21"/>
    </row>
    <row r="272" spans="4:10" x14ac:dyDescent="0.25">
      <c r="D272" s="21"/>
      <c r="E272" s="21"/>
      <c r="F272" s="21"/>
      <c r="G272" s="21"/>
      <c r="H272" s="21"/>
      <c r="I272" s="21"/>
      <c r="J272" s="21"/>
    </row>
    <row r="273" spans="4:10" x14ac:dyDescent="0.25">
      <c r="D273" s="21"/>
      <c r="E273" s="21"/>
      <c r="F273" s="21"/>
      <c r="G273" s="21"/>
      <c r="H273" s="21"/>
      <c r="I273" s="21"/>
      <c r="J273" s="21"/>
    </row>
    <row r="274" spans="4:10" x14ac:dyDescent="0.25">
      <c r="D274" s="21"/>
      <c r="E274" s="21"/>
      <c r="F274" s="21"/>
      <c r="G274" s="21"/>
      <c r="H274" s="21"/>
      <c r="I274" s="21"/>
      <c r="J274" s="21"/>
    </row>
    <row r="275" spans="4:10" x14ac:dyDescent="0.25">
      <c r="D275" s="21"/>
      <c r="E275" s="21"/>
      <c r="F275" s="21"/>
      <c r="G275" s="21"/>
      <c r="H275" s="21"/>
      <c r="I275" s="21"/>
      <c r="J275" s="21"/>
    </row>
    <row r="276" spans="4:10" x14ac:dyDescent="0.25">
      <c r="D276" s="21"/>
      <c r="E276" s="21"/>
      <c r="F276" s="21"/>
      <c r="G276" s="21"/>
      <c r="H276" s="21"/>
      <c r="I276" s="21"/>
      <c r="J276" s="21"/>
    </row>
    <row r="277" spans="4:10" x14ac:dyDescent="0.25">
      <c r="D277" s="21"/>
      <c r="E277" s="21"/>
      <c r="F277" s="21"/>
      <c r="G277" s="21"/>
      <c r="H277" s="21"/>
      <c r="I277" s="21"/>
      <c r="J277" s="21"/>
    </row>
    <row r="278" spans="4:10" x14ac:dyDescent="0.25">
      <c r="D278" s="21"/>
      <c r="E278" s="21"/>
      <c r="F278" s="21"/>
      <c r="G278" s="21"/>
      <c r="H278" s="21"/>
      <c r="I278" s="21"/>
      <c r="J278" s="21"/>
    </row>
    <row r="279" spans="4:10" x14ac:dyDescent="0.25">
      <c r="D279" s="21"/>
      <c r="E279" s="21"/>
      <c r="F279" s="21"/>
      <c r="G279" s="21"/>
      <c r="H279" s="21"/>
      <c r="I279" s="21"/>
      <c r="J279" s="21"/>
    </row>
    <row r="280" spans="4:10" x14ac:dyDescent="0.25">
      <c r="D280" s="21"/>
      <c r="E280" s="21"/>
      <c r="F280" s="21"/>
      <c r="G280" s="21"/>
      <c r="H280" s="21"/>
      <c r="I280" s="21"/>
      <c r="J280" s="21"/>
    </row>
    <row r="281" spans="4:10" x14ac:dyDescent="0.25">
      <c r="D281" s="21"/>
      <c r="E281" s="21"/>
      <c r="F281" s="21"/>
      <c r="G281" s="21"/>
      <c r="H281" s="21"/>
      <c r="I281" s="21"/>
      <c r="J281" s="21"/>
    </row>
    <row r="282" spans="4:10" x14ac:dyDescent="0.25">
      <c r="D282" s="21"/>
      <c r="E282" s="21"/>
      <c r="F282" s="21"/>
      <c r="G282" s="21"/>
      <c r="H282" s="21"/>
      <c r="I282" s="21"/>
      <c r="J282" s="21"/>
    </row>
    <row r="283" spans="4:10" x14ac:dyDescent="0.25">
      <c r="D283" s="21"/>
      <c r="E283" s="21"/>
      <c r="F283" s="21"/>
      <c r="G283" s="21"/>
      <c r="H283" s="21"/>
      <c r="I283" s="21"/>
      <c r="J283" s="21"/>
    </row>
    <row r="284" spans="4:10" x14ac:dyDescent="0.25">
      <c r="D284" s="21"/>
      <c r="E284" s="21"/>
      <c r="F284" s="21"/>
      <c r="G284" s="21"/>
      <c r="H284" s="21"/>
      <c r="I284" s="21"/>
      <c r="J284" s="21"/>
    </row>
    <row r="285" spans="4:10" x14ac:dyDescent="0.25">
      <c r="D285" s="21"/>
      <c r="E285" s="21"/>
      <c r="F285" s="21"/>
      <c r="G285" s="21"/>
      <c r="H285" s="21"/>
      <c r="I285" s="21"/>
      <c r="J285" s="21"/>
    </row>
    <row r="286" spans="4:10" x14ac:dyDescent="0.25">
      <c r="D286" s="21"/>
      <c r="E286" s="21"/>
      <c r="F286" s="21"/>
      <c r="G286" s="21"/>
      <c r="H286" s="21"/>
      <c r="I286" s="21"/>
      <c r="J286" s="21"/>
    </row>
    <row r="287" spans="4:10" x14ac:dyDescent="0.25">
      <c r="D287" s="21"/>
      <c r="E287" s="21"/>
      <c r="F287" s="21"/>
      <c r="G287" s="21"/>
      <c r="H287" s="21"/>
      <c r="I287" s="21"/>
      <c r="J287" s="21"/>
    </row>
    <row r="288" spans="4:10" x14ac:dyDescent="0.25">
      <c r="D288" s="21"/>
      <c r="E288" s="21"/>
      <c r="F288" s="21"/>
      <c r="G288" s="21"/>
      <c r="H288" s="21"/>
      <c r="I288" s="21"/>
      <c r="J288" s="21"/>
    </row>
    <row r="289" spans="4:10" x14ac:dyDescent="0.25">
      <c r="D289" s="21"/>
      <c r="E289" s="21"/>
      <c r="F289" s="21"/>
      <c r="G289" s="21"/>
      <c r="H289" s="21"/>
      <c r="I289" s="21"/>
      <c r="J289" s="21"/>
    </row>
    <row r="290" spans="4:10" x14ac:dyDescent="0.25">
      <c r="D290" s="21"/>
      <c r="E290" s="21"/>
      <c r="F290" s="21"/>
      <c r="G290" s="21"/>
      <c r="H290" s="21"/>
      <c r="I290" s="21"/>
      <c r="J290" s="21"/>
    </row>
    <row r="291" spans="4:10" x14ac:dyDescent="0.25">
      <c r="D291" s="21"/>
      <c r="E291" s="21"/>
      <c r="F291" s="21"/>
      <c r="G291" s="21"/>
      <c r="H291" s="21"/>
      <c r="I291" s="21"/>
      <c r="J291" s="21"/>
    </row>
    <row r="292" spans="4:10" x14ac:dyDescent="0.25">
      <c r="D292" s="21"/>
      <c r="E292" s="21"/>
      <c r="F292" s="21"/>
      <c r="G292" s="21"/>
      <c r="H292" s="21"/>
      <c r="I292" s="21"/>
      <c r="J292" s="21"/>
    </row>
    <row r="293" spans="4:10" x14ac:dyDescent="0.25">
      <c r="D293" s="21"/>
      <c r="E293" s="21"/>
      <c r="F293" s="21"/>
      <c r="G293" s="21"/>
      <c r="H293" s="21"/>
      <c r="I293" s="21"/>
      <c r="J293" s="21"/>
    </row>
    <row r="294" spans="4:10" x14ac:dyDescent="0.25">
      <c r="D294" s="21"/>
      <c r="E294" s="21"/>
      <c r="F294" s="21"/>
      <c r="G294" s="21"/>
      <c r="H294" s="21"/>
      <c r="I294" s="21"/>
      <c r="J294" s="21"/>
    </row>
    <row r="295" spans="4:10" x14ac:dyDescent="0.25">
      <c r="D295" s="21"/>
      <c r="E295" s="21"/>
      <c r="F295" s="21"/>
      <c r="G295" s="21"/>
      <c r="H295" s="21"/>
      <c r="I295" s="21"/>
      <c r="J295" s="21"/>
    </row>
    <row r="296" spans="4:10" x14ac:dyDescent="0.25">
      <c r="D296" s="21"/>
      <c r="E296" s="21"/>
      <c r="F296" s="21"/>
      <c r="G296" s="21"/>
      <c r="H296" s="21"/>
      <c r="I296" s="21"/>
      <c r="J296" s="21"/>
    </row>
    <row r="297" spans="4:10" x14ac:dyDescent="0.25">
      <c r="D297" s="21"/>
      <c r="E297" s="21"/>
      <c r="F297" s="21"/>
      <c r="G297" s="21"/>
      <c r="H297" s="21"/>
      <c r="I297" s="21"/>
      <c r="J297" s="21"/>
    </row>
    <row r="298" spans="4:10" x14ac:dyDescent="0.25">
      <c r="D298" s="21"/>
      <c r="E298" s="21"/>
      <c r="F298" s="21"/>
      <c r="G298" s="21"/>
      <c r="H298" s="21"/>
      <c r="I298" s="21"/>
      <c r="J298" s="21"/>
    </row>
    <row r="299" spans="4:10" x14ac:dyDescent="0.25">
      <c r="D299" s="21"/>
      <c r="E299" s="21"/>
      <c r="F299" s="21"/>
      <c r="G299" s="21"/>
      <c r="H299" s="21"/>
      <c r="I299" s="21"/>
      <c r="J299" s="21"/>
    </row>
    <row r="300" spans="4:10" x14ac:dyDescent="0.25">
      <c r="D300" s="21"/>
      <c r="E300" s="21"/>
      <c r="F300" s="21"/>
      <c r="G300" s="21"/>
      <c r="H300" s="21"/>
      <c r="I300" s="21"/>
      <c r="J300" s="21"/>
    </row>
    <row r="301" spans="4:10" x14ac:dyDescent="0.25">
      <c r="D301" s="21"/>
      <c r="E301" s="21"/>
      <c r="F301" s="21"/>
      <c r="G301" s="21"/>
      <c r="H301" s="21"/>
      <c r="I301" s="21"/>
      <c r="J301" s="21"/>
    </row>
    <row r="302" spans="4:10" x14ac:dyDescent="0.25">
      <c r="D302" s="21"/>
      <c r="E302" s="21"/>
      <c r="F302" s="21"/>
      <c r="G302" s="21"/>
      <c r="H302" s="21"/>
      <c r="I302" s="21"/>
      <c r="J302" s="21"/>
    </row>
    <row r="303" spans="4:10" x14ac:dyDescent="0.25">
      <c r="D303" s="21"/>
      <c r="E303" s="21"/>
      <c r="F303" s="21"/>
      <c r="G303" s="21"/>
      <c r="H303" s="21"/>
      <c r="I303" s="21"/>
      <c r="J303" s="21"/>
    </row>
    <row r="304" spans="4:10" x14ac:dyDescent="0.25">
      <c r="D304" s="21"/>
      <c r="E304" s="21"/>
      <c r="F304" s="21"/>
      <c r="G304" s="21"/>
      <c r="H304" s="21"/>
      <c r="I304" s="21"/>
      <c r="J304" s="21"/>
    </row>
    <row r="305" spans="4:10" x14ac:dyDescent="0.25">
      <c r="D305" s="21"/>
      <c r="E305" s="21"/>
      <c r="F305" s="21"/>
      <c r="G305" s="21"/>
      <c r="H305" s="21"/>
      <c r="I305" s="21"/>
      <c r="J305" s="21"/>
    </row>
    <row r="306" spans="4:10" x14ac:dyDescent="0.25">
      <c r="D306" s="21"/>
      <c r="E306" s="21"/>
      <c r="F306" s="21"/>
      <c r="G306" s="21"/>
      <c r="H306" s="21"/>
      <c r="I306" s="21"/>
      <c r="J306" s="21"/>
    </row>
    <row r="307" spans="4:10" x14ac:dyDescent="0.25">
      <c r="D307" s="21"/>
      <c r="E307" s="21"/>
      <c r="F307" s="21"/>
      <c r="G307" s="21"/>
      <c r="H307" s="21"/>
      <c r="I307" s="21"/>
      <c r="J307" s="21"/>
    </row>
    <row r="308" spans="4:10" x14ac:dyDescent="0.25">
      <c r="D308" s="21"/>
      <c r="E308" s="21"/>
      <c r="F308" s="21"/>
      <c r="G308" s="21"/>
      <c r="H308" s="21"/>
      <c r="I308" s="21"/>
      <c r="J308" s="21"/>
    </row>
    <row r="309" spans="4:10" x14ac:dyDescent="0.25">
      <c r="D309" s="21"/>
      <c r="E309" s="21"/>
      <c r="F309" s="21"/>
      <c r="G309" s="21"/>
      <c r="H309" s="21"/>
      <c r="I309" s="21"/>
      <c r="J309" s="21"/>
    </row>
    <row r="310" spans="4:10" x14ac:dyDescent="0.25">
      <c r="D310" s="21"/>
      <c r="E310" s="21"/>
      <c r="F310" s="21"/>
      <c r="G310" s="21"/>
      <c r="H310" s="21"/>
      <c r="I310" s="21"/>
      <c r="J310" s="21"/>
    </row>
    <row r="311" spans="4:10" x14ac:dyDescent="0.25">
      <c r="D311" s="21"/>
      <c r="E311" s="21"/>
      <c r="F311" s="21"/>
      <c r="G311" s="21"/>
      <c r="H311" s="21"/>
      <c r="I311" s="21"/>
      <c r="J311" s="21"/>
    </row>
    <row r="312" spans="4:10" x14ac:dyDescent="0.25">
      <c r="D312" s="21"/>
      <c r="E312" s="21"/>
      <c r="F312" s="21"/>
      <c r="G312" s="21"/>
      <c r="H312" s="21"/>
      <c r="I312" s="21"/>
      <c r="J312" s="21"/>
    </row>
    <row r="313" spans="4:10" x14ac:dyDescent="0.25">
      <c r="D313" s="21"/>
      <c r="E313" s="21"/>
      <c r="F313" s="21"/>
      <c r="G313" s="21"/>
      <c r="H313" s="21"/>
      <c r="I313" s="21"/>
      <c r="J313" s="21"/>
    </row>
    <row r="314" spans="4:10" x14ac:dyDescent="0.25">
      <c r="D314" s="21"/>
      <c r="E314" s="21"/>
      <c r="F314" s="21"/>
      <c r="G314" s="21"/>
      <c r="H314" s="21"/>
      <c r="I314" s="21"/>
      <c r="J314" s="21"/>
    </row>
    <row r="315" spans="4:10" x14ac:dyDescent="0.25">
      <c r="D315" s="21"/>
      <c r="E315" s="21"/>
      <c r="F315" s="21"/>
      <c r="G315" s="21"/>
      <c r="H315" s="21"/>
      <c r="I315" s="21"/>
      <c r="J315" s="21"/>
    </row>
    <row r="316" spans="4:10" x14ac:dyDescent="0.25">
      <c r="D316" s="21"/>
      <c r="E316" s="21"/>
      <c r="F316" s="21"/>
      <c r="G316" s="21"/>
      <c r="H316" s="21"/>
      <c r="I316" s="21"/>
      <c r="J316" s="21"/>
    </row>
    <row r="317" spans="4:10" x14ac:dyDescent="0.25">
      <c r="D317" s="21"/>
      <c r="E317" s="21"/>
      <c r="F317" s="21"/>
      <c r="G317" s="21"/>
      <c r="H317" s="21"/>
      <c r="I317" s="21"/>
      <c r="J317" s="21"/>
    </row>
    <row r="318" spans="4:10" x14ac:dyDescent="0.25">
      <c r="D318" s="21"/>
      <c r="E318" s="21"/>
      <c r="F318" s="21"/>
      <c r="G318" s="21"/>
      <c r="H318" s="21"/>
      <c r="I318" s="21"/>
      <c r="J318" s="21"/>
    </row>
    <row r="319" spans="4:10" x14ac:dyDescent="0.25">
      <c r="D319" s="21"/>
      <c r="E319" s="21"/>
      <c r="F319" s="21"/>
      <c r="G319" s="21"/>
      <c r="H319" s="21"/>
      <c r="I319" s="21"/>
      <c r="J319" s="21"/>
    </row>
    <row r="320" spans="4:10" x14ac:dyDescent="0.25">
      <c r="D320" s="21"/>
      <c r="E320" s="21"/>
      <c r="F320" s="21"/>
      <c r="G320" s="21"/>
      <c r="H320" s="21"/>
      <c r="I320" s="21"/>
      <c r="J320" s="21"/>
    </row>
    <row r="321" spans="4:10" x14ac:dyDescent="0.25">
      <c r="D321" s="21"/>
      <c r="E321" s="21"/>
      <c r="F321" s="21"/>
      <c r="G321" s="21"/>
      <c r="H321" s="21"/>
      <c r="I321" s="21"/>
      <c r="J321" s="21"/>
    </row>
    <row r="322" spans="4:10" x14ac:dyDescent="0.25">
      <c r="D322" s="21"/>
      <c r="E322" s="21"/>
      <c r="F322" s="21"/>
      <c r="G322" s="21"/>
      <c r="H322" s="21"/>
      <c r="I322" s="21"/>
      <c r="J322" s="21"/>
    </row>
    <row r="323" spans="4:10" x14ac:dyDescent="0.25">
      <c r="D323" s="21"/>
      <c r="E323" s="21"/>
      <c r="F323" s="21"/>
      <c r="G323" s="21"/>
      <c r="H323" s="21"/>
      <c r="I323" s="21"/>
      <c r="J323" s="21"/>
    </row>
    <row r="324" spans="4:10" x14ac:dyDescent="0.25">
      <c r="D324" s="21"/>
      <c r="E324" s="21"/>
      <c r="F324" s="21"/>
      <c r="G324" s="21"/>
      <c r="H324" s="21"/>
      <c r="I324" s="21"/>
      <c r="J324" s="21"/>
    </row>
    <row r="325" spans="4:10" x14ac:dyDescent="0.25">
      <c r="D325" s="21"/>
      <c r="E325" s="21"/>
      <c r="F325" s="21"/>
      <c r="G325" s="21"/>
      <c r="H325" s="21"/>
      <c r="I325" s="21"/>
      <c r="J325" s="21"/>
    </row>
    <row r="326" spans="4:10" x14ac:dyDescent="0.25">
      <c r="D326" s="21"/>
      <c r="E326" s="21"/>
      <c r="F326" s="21"/>
      <c r="G326" s="21"/>
      <c r="H326" s="21"/>
      <c r="I326" s="21"/>
      <c r="J326" s="21"/>
    </row>
    <row r="327" spans="4:10" x14ac:dyDescent="0.25">
      <c r="D327" s="21"/>
      <c r="E327" s="21"/>
      <c r="F327" s="21"/>
      <c r="G327" s="21"/>
      <c r="H327" s="21"/>
      <c r="I327" s="21"/>
      <c r="J327" s="21"/>
    </row>
    <row r="328" spans="4:10" x14ac:dyDescent="0.25">
      <c r="D328" s="21"/>
      <c r="E328" s="21"/>
      <c r="F328" s="21"/>
      <c r="G328" s="21"/>
      <c r="H328" s="21"/>
      <c r="I328" s="21"/>
      <c r="J328" s="21"/>
    </row>
    <row r="329" spans="4:10" x14ac:dyDescent="0.25">
      <c r="D329" s="21"/>
      <c r="E329" s="21"/>
      <c r="F329" s="21"/>
      <c r="G329" s="21"/>
      <c r="H329" s="21"/>
      <c r="I329" s="21"/>
      <c r="J329" s="21"/>
    </row>
    <row r="330" spans="4:10" x14ac:dyDescent="0.25">
      <c r="D330" s="21"/>
      <c r="E330" s="21"/>
      <c r="F330" s="21"/>
      <c r="G330" s="21"/>
      <c r="H330" s="21"/>
      <c r="I330" s="21"/>
      <c r="J330" s="21"/>
    </row>
    <row r="331" spans="4:10" x14ac:dyDescent="0.25">
      <c r="D331" s="21"/>
      <c r="E331" s="21"/>
      <c r="F331" s="21"/>
      <c r="G331" s="21"/>
      <c r="H331" s="21"/>
      <c r="I331" s="21"/>
      <c r="J331" s="21"/>
    </row>
    <row r="332" spans="4:10" x14ac:dyDescent="0.25">
      <c r="D332" s="21"/>
      <c r="E332" s="21"/>
      <c r="F332" s="21"/>
      <c r="G332" s="21"/>
      <c r="H332" s="21"/>
      <c r="I332" s="21"/>
      <c r="J332" s="21"/>
    </row>
    <row r="333" spans="4:10" x14ac:dyDescent="0.25">
      <c r="D333" s="21"/>
      <c r="E333" s="21"/>
      <c r="F333" s="21"/>
      <c r="G333" s="21"/>
      <c r="H333" s="21"/>
      <c r="I333" s="21"/>
      <c r="J333" s="21"/>
    </row>
    <row r="334" spans="4:10" x14ac:dyDescent="0.25">
      <c r="D334" s="21"/>
      <c r="E334" s="21"/>
      <c r="F334" s="21"/>
      <c r="G334" s="21"/>
      <c r="H334" s="21"/>
      <c r="I334" s="21"/>
      <c r="J334" s="21"/>
    </row>
    <row r="335" spans="4:10" x14ac:dyDescent="0.25">
      <c r="D335" s="21"/>
      <c r="E335" s="21"/>
      <c r="F335" s="21"/>
      <c r="G335" s="21"/>
      <c r="H335" s="21"/>
      <c r="I335" s="21"/>
      <c r="J335" s="21"/>
    </row>
    <row r="336" spans="4:10" x14ac:dyDescent="0.25">
      <c r="D336" s="21"/>
      <c r="E336" s="21"/>
      <c r="F336" s="21"/>
      <c r="G336" s="21"/>
      <c r="H336" s="21"/>
      <c r="I336" s="21"/>
      <c r="J336" s="21"/>
    </row>
    <row r="337" spans="4:10" x14ac:dyDescent="0.25">
      <c r="D337" s="21"/>
      <c r="E337" s="21"/>
      <c r="F337" s="21"/>
      <c r="G337" s="21"/>
      <c r="H337" s="21"/>
      <c r="I337" s="21"/>
      <c r="J337" s="21"/>
    </row>
    <row r="338" spans="4:10" x14ac:dyDescent="0.25">
      <c r="D338" s="21"/>
      <c r="E338" s="21"/>
      <c r="F338" s="21"/>
      <c r="G338" s="21"/>
      <c r="H338" s="21"/>
      <c r="I338" s="21"/>
      <c r="J338" s="21"/>
    </row>
    <row r="339" spans="4:10" x14ac:dyDescent="0.25">
      <c r="D339" s="21"/>
      <c r="E339" s="21"/>
      <c r="F339" s="21"/>
      <c r="G339" s="21"/>
      <c r="H339" s="21"/>
      <c r="I339" s="21"/>
      <c r="J339" s="21"/>
    </row>
    <row r="340" spans="4:10" x14ac:dyDescent="0.25">
      <c r="D340" s="21"/>
      <c r="E340" s="21"/>
      <c r="F340" s="21"/>
      <c r="G340" s="21"/>
      <c r="H340" s="21"/>
      <c r="I340" s="21"/>
      <c r="J340" s="21"/>
    </row>
    <row r="341" spans="4:10" x14ac:dyDescent="0.25">
      <c r="D341" s="21"/>
      <c r="E341" s="21"/>
      <c r="F341" s="21"/>
      <c r="G341" s="21"/>
      <c r="H341" s="21"/>
      <c r="I341" s="21"/>
      <c r="J341" s="21"/>
    </row>
    <row r="342" spans="4:10" x14ac:dyDescent="0.25">
      <c r="D342" s="21"/>
      <c r="E342" s="21"/>
      <c r="F342" s="21"/>
      <c r="G342" s="21"/>
      <c r="H342" s="21"/>
      <c r="I342" s="21"/>
      <c r="J342" s="21"/>
    </row>
    <row r="343" spans="4:10" x14ac:dyDescent="0.25">
      <c r="D343" s="21"/>
      <c r="E343" s="21"/>
      <c r="F343" s="21"/>
      <c r="G343" s="21"/>
      <c r="H343" s="21"/>
      <c r="I343" s="21"/>
      <c r="J343" s="21"/>
    </row>
    <row r="344" spans="4:10" x14ac:dyDescent="0.25">
      <c r="D344" s="21"/>
      <c r="E344" s="21"/>
      <c r="F344" s="21"/>
      <c r="G344" s="21"/>
      <c r="H344" s="21"/>
      <c r="I344" s="21"/>
      <c r="J344" s="21"/>
    </row>
    <row r="345" spans="4:10" x14ac:dyDescent="0.25">
      <c r="D345" s="21"/>
      <c r="E345" s="21"/>
      <c r="F345" s="21"/>
      <c r="G345" s="21"/>
      <c r="H345" s="21"/>
      <c r="I345" s="21"/>
      <c r="J345" s="21"/>
    </row>
    <row r="346" spans="4:10" x14ac:dyDescent="0.25">
      <c r="D346" s="21"/>
      <c r="E346" s="21"/>
      <c r="F346" s="21"/>
      <c r="G346" s="21"/>
      <c r="H346" s="21"/>
      <c r="I346" s="21"/>
      <c r="J346" s="21"/>
    </row>
    <row r="347" spans="4:10" x14ac:dyDescent="0.25">
      <c r="D347" s="21"/>
      <c r="E347" s="21"/>
      <c r="F347" s="21"/>
      <c r="G347" s="21"/>
      <c r="H347" s="21"/>
      <c r="I347" s="21"/>
      <c r="J347" s="21"/>
    </row>
    <row r="348" spans="4:10" x14ac:dyDescent="0.25">
      <c r="D348" s="21"/>
      <c r="E348" s="21"/>
      <c r="F348" s="21"/>
      <c r="G348" s="21"/>
      <c r="H348" s="21"/>
      <c r="I348" s="21"/>
      <c r="J348" s="21"/>
    </row>
    <row r="349" spans="4:10" x14ac:dyDescent="0.25">
      <c r="D349" s="21"/>
      <c r="E349" s="21"/>
      <c r="F349" s="21"/>
      <c r="G349" s="21"/>
      <c r="H349" s="21"/>
      <c r="I349" s="21"/>
      <c r="J349" s="21"/>
    </row>
    <row r="350" spans="4:10" x14ac:dyDescent="0.25">
      <c r="D350" s="21"/>
      <c r="E350" s="21"/>
      <c r="F350" s="21"/>
      <c r="G350" s="21"/>
      <c r="H350" s="21"/>
      <c r="I350" s="21"/>
      <c r="J350" s="21"/>
    </row>
    <row r="351" spans="4:10" x14ac:dyDescent="0.25">
      <c r="D351" s="21"/>
      <c r="E351" s="21"/>
      <c r="F351" s="21"/>
      <c r="G351" s="21"/>
      <c r="H351" s="21"/>
      <c r="I351" s="21"/>
      <c r="J351" s="21"/>
    </row>
    <row r="352" spans="4:10" x14ac:dyDescent="0.25">
      <c r="D352" s="21"/>
      <c r="E352" s="21"/>
      <c r="F352" s="21"/>
      <c r="G352" s="21"/>
      <c r="H352" s="21"/>
      <c r="I352" s="21"/>
      <c r="J352" s="21"/>
    </row>
    <row r="353" spans="4:10" x14ac:dyDescent="0.25">
      <c r="D353" s="21"/>
      <c r="E353" s="21"/>
      <c r="F353" s="21"/>
      <c r="G353" s="21"/>
      <c r="H353" s="21"/>
      <c r="I353" s="21"/>
      <c r="J353" s="21"/>
    </row>
    <row r="354" spans="4:10" x14ac:dyDescent="0.25">
      <c r="D354" s="21"/>
      <c r="E354" s="21"/>
      <c r="F354" s="21"/>
      <c r="G354" s="21"/>
      <c r="H354" s="21"/>
      <c r="I354" s="21"/>
      <c r="J354" s="21"/>
    </row>
    <row r="355" spans="4:10" x14ac:dyDescent="0.25">
      <c r="D355" s="21"/>
      <c r="E355" s="21"/>
      <c r="F355" s="21"/>
      <c r="G355" s="21"/>
      <c r="H355" s="21"/>
      <c r="I355" s="21"/>
      <c r="J355" s="21"/>
    </row>
    <row r="356" spans="4:10" x14ac:dyDescent="0.25">
      <c r="D356" s="21"/>
      <c r="E356" s="21"/>
      <c r="F356" s="21"/>
      <c r="G356" s="21"/>
      <c r="H356" s="21"/>
      <c r="I356" s="21"/>
      <c r="J356" s="21"/>
    </row>
    <row r="357" spans="4:10" x14ac:dyDescent="0.25">
      <c r="D357" s="21"/>
      <c r="E357" s="21"/>
      <c r="F357" s="21"/>
      <c r="G357" s="21"/>
      <c r="H357" s="21"/>
      <c r="I357" s="21"/>
      <c r="J357" s="21"/>
    </row>
    <row r="358" spans="4:10" x14ac:dyDescent="0.25">
      <c r="D358" s="21"/>
      <c r="E358" s="21"/>
      <c r="F358" s="21"/>
      <c r="G358" s="21"/>
      <c r="H358" s="21"/>
      <c r="I358" s="21"/>
      <c r="J358" s="21"/>
    </row>
    <row r="359" spans="4:10" x14ac:dyDescent="0.25">
      <c r="D359" s="21"/>
      <c r="E359" s="21"/>
      <c r="F359" s="21"/>
      <c r="G359" s="21"/>
      <c r="H359" s="21"/>
      <c r="I359" s="21"/>
      <c r="J359" s="21"/>
    </row>
    <row r="360" spans="4:10" x14ac:dyDescent="0.25">
      <c r="D360" s="21"/>
      <c r="E360" s="21"/>
      <c r="F360" s="21"/>
      <c r="G360" s="21"/>
      <c r="H360" s="21"/>
      <c r="I360" s="21"/>
      <c r="J360" s="21"/>
    </row>
    <row r="361" spans="4:10" x14ac:dyDescent="0.25">
      <c r="D361" s="21"/>
      <c r="E361" s="21"/>
      <c r="F361" s="21"/>
      <c r="G361" s="21"/>
      <c r="H361" s="21"/>
      <c r="I361" s="21"/>
      <c r="J361" s="21"/>
    </row>
    <row r="362" spans="4:10" x14ac:dyDescent="0.25">
      <c r="D362" s="21"/>
      <c r="E362" s="21"/>
      <c r="F362" s="21"/>
      <c r="G362" s="21"/>
      <c r="H362" s="21"/>
      <c r="I362" s="21"/>
      <c r="J362" s="21"/>
    </row>
    <row r="363" spans="4:10" x14ac:dyDescent="0.25">
      <c r="D363" s="21"/>
      <c r="E363" s="21"/>
      <c r="F363" s="21"/>
      <c r="G363" s="21"/>
      <c r="H363" s="21"/>
      <c r="I363" s="21"/>
      <c r="J363" s="21"/>
    </row>
    <row r="364" spans="4:10" x14ac:dyDescent="0.25">
      <c r="D364" s="21"/>
      <c r="E364" s="21"/>
      <c r="F364" s="21"/>
      <c r="G364" s="21"/>
      <c r="H364" s="21"/>
      <c r="I364" s="21"/>
      <c r="J364" s="21"/>
    </row>
    <row r="365" spans="4:10" x14ac:dyDescent="0.25">
      <c r="D365" s="21"/>
      <c r="E365" s="21"/>
      <c r="F365" s="21"/>
      <c r="G365" s="21"/>
      <c r="H365" s="21"/>
      <c r="I365" s="21"/>
      <c r="J365" s="21"/>
    </row>
    <row r="366" spans="4:10" x14ac:dyDescent="0.25">
      <c r="D366" s="21"/>
      <c r="E366" s="21"/>
      <c r="F366" s="21"/>
      <c r="G366" s="21"/>
      <c r="H366" s="21"/>
      <c r="I366" s="21"/>
      <c r="J366" s="21"/>
    </row>
    <row r="367" spans="4:10" x14ac:dyDescent="0.25">
      <c r="D367" s="21"/>
      <c r="E367" s="21"/>
      <c r="F367" s="21"/>
      <c r="G367" s="21"/>
      <c r="H367" s="21"/>
      <c r="I367" s="21"/>
      <c r="J367" s="21"/>
    </row>
    <row r="368" spans="4:10" x14ac:dyDescent="0.25">
      <c r="D368" s="21"/>
      <c r="E368" s="21"/>
      <c r="F368" s="21"/>
      <c r="G368" s="21"/>
      <c r="H368" s="21"/>
      <c r="I368" s="21"/>
      <c r="J368" s="21"/>
    </row>
    <row r="369" spans="4:10" x14ac:dyDescent="0.25">
      <c r="D369" s="21"/>
      <c r="E369" s="21"/>
      <c r="F369" s="21"/>
      <c r="G369" s="21"/>
      <c r="H369" s="21"/>
      <c r="I369" s="21"/>
      <c r="J369" s="21"/>
    </row>
    <row r="370" spans="4:10" x14ac:dyDescent="0.25">
      <c r="D370" s="21"/>
      <c r="E370" s="21"/>
      <c r="F370" s="21"/>
      <c r="G370" s="21"/>
      <c r="H370" s="21"/>
      <c r="I370" s="21"/>
      <c r="J370" s="21"/>
    </row>
    <row r="371" spans="4:10" x14ac:dyDescent="0.25">
      <c r="D371" s="21"/>
      <c r="E371" s="21"/>
      <c r="F371" s="21"/>
      <c r="G371" s="21"/>
      <c r="H371" s="21"/>
      <c r="I371" s="21"/>
      <c r="J371" s="21"/>
    </row>
    <row r="372" spans="4:10" x14ac:dyDescent="0.25">
      <c r="D372" s="21"/>
      <c r="E372" s="21"/>
      <c r="F372" s="21"/>
      <c r="G372" s="21"/>
      <c r="H372" s="21"/>
      <c r="I372" s="21"/>
      <c r="J372" s="21"/>
    </row>
    <row r="373" spans="4:10" x14ac:dyDescent="0.25">
      <c r="D373" s="21"/>
      <c r="E373" s="21"/>
      <c r="F373" s="21"/>
      <c r="G373" s="21"/>
      <c r="H373" s="21"/>
      <c r="I373" s="21"/>
      <c r="J373" s="21"/>
    </row>
    <row r="374" spans="4:10" x14ac:dyDescent="0.25">
      <c r="D374" s="21"/>
      <c r="E374" s="21"/>
      <c r="F374" s="21"/>
      <c r="G374" s="21"/>
      <c r="H374" s="21"/>
      <c r="I374" s="21"/>
      <c r="J374" s="21"/>
    </row>
    <row r="375" spans="4:10" x14ac:dyDescent="0.25">
      <c r="D375" s="21"/>
      <c r="E375" s="21"/>
      <c r="F375" s="21"/>
      <c r="G375" s="21"/>
      <c r="H375" s="21"/>
      <c r="I375" s="21"/>
      <c r="J375" s="21"/>
    </row>
    <row r="376" spans="4:10" x14ac:dyDescent="0.25">
      <c r="D376" s="21"/>
      <c r="E376" s="21"/>
      <c r="F376" s="21"/>
      <c r="G376" s="21"/>
      <c r="H376" s="21"/>
      <c r="I376" s="21"/>
      <c r="J376" s="21"/>
    </row>
    <row r="377" spans="4:10" x14ac:dyDescent="0.25">
      <c r="D377" s="21"/>
      <c r="E377" s="21"/>
      <c r="F377" s="21"/>
      <c r="G377" s="21"/>
      <c r="H377" s="21"/>
      <c r="I377" s="21"/>
      <c r="J377" s="21"/>
    </row>
    <row r="378" spans="4:10" x14ac:dyDescent="0.25">
      <c r="D378" s="21"/>
      <c r="E378" s="21"/>
      <c r="F378" s="21"/>
      <c r="G378" s="21"/>
      <c r="H378" s="21"/>
      <c r="I378" s="21"/>
      <c r="J378" s="21"/>
    </row>
    <row r="379" spans="4:10" x14ac:dyDescent="0.25">
      <c r="D379" s="21"/>
      <c r="E379" s="21"/>
      <c r="F379" s="21"/>
      <c r="G379" s="21"/>
      <c r="H379" s="21"/>
      <c r="I379" s="21"/>
      <c r="J379" s="21"/>
    </row>
    <row r="380" spans="4:10" x14ac:dyDescent="0.25">
      <c r="D380" s="21"/>
      <c r="E380" s="21"/>
      <c r="F380" s="21"/>
      <c r="G380" s="21"/>
      <c r="H380" s="21"/>
      <c r="I380" s="21"/>
      <c r="J380" s="21"/>
    </row>
    <row r="381" spans="4:10" x14ac:dyDescent="0.25">
      <c r="D381" s="21"/>
      <c r="E381" s="21"/>
      <c r="F381" s="21"/>
      <c r="G381" s="21"/>
      <c r="H381" s="21"/>
      <c r="I381" s="21"/>
      <c r="J381" s="21"/>
    </row>
    <row r="382" spans="4:10" x14ac:dyDescent="0.25">
      <c r="D382" s="21"/>
      <c r="E382" s="21"/>
      <c r="F382" s="21"/>
      <c r="G382" s="21"/>
      <c r="H382" s="21"/>
      <c r="I382" s="21"/>
      <c r="J382" s="21"/>
    </row>
    <row r="383" spans="4:10" x14ac:dyDescent="0.25">
      <c r="D383" s="21"/>
      <c r="E383" s="21"/>
      <c r="F383" s="21"/>
      <c r="G383" s="21"/>
      <c r="H383" s="21"/>
      <c r="I383" s="21"/>
      <c r="J383" s="21"/>
    </row>
    <row r="384" spans="4:10" x14ac:dyDescent="0.25">
      <c r="D384" s="21"/>
      <c r="E384" s="21"/>
      <c r="F384" s="21"/>
      <c r="G384" s="21"/>
      <c r="H384" s="21"/>
      <c r="I384" s="21"/>
      <c r="J384" s="21"/>
    </row>
    <row r="385" spans="4:10" x14ac:dyDescent="0.25">
      <c r="D385" s="21"/>
      <c r="E385" s="21"/>
      <c r="F385" s="21"/>
      <c r="G385" s="21"/>
      <c r="H385" s="21"/>
      <c r="I385" s="21"/>
      <c r="J385" s="21"/>
    </row>
    <row r="386" spans="4:10" x14ac:dyDescent="0.25">
      <c r="D386" s="21"/>
      <c r="E386" s="21"/>
      <c r="F386" s="21"/>
      <c r="G386" s="21"/>
      <c r="H386" s="21"/>
      <c r="I386" s="21"/>
      <c r="J386" s="21"/>
    </row>
    <row r="387" spans="4:10" x14ac:dyDescent="0.25">
      <c r="D387" s="21"/>
      <c r="E387" s="21"/>
      <c r="F387" s="21"/>
      <c r="G387" s="21"/>
      <c r="H387" s="21"/>
      <c r="I387" s="21"/>
      <c r="J387" s="21"/>
    </row>
    <row r="388" spans="4:10" x14ac:dyDescent="0.25">
      <c r="D388" s="21"/>
      <c r="E388" s="21"/>
      <c r="F388" s="21"/>
      <c r="G388" s="21"/>
      <c r="H388" s="21"/>
      <c r="I388" s="21"/>
      <c r="J388" s="21"/>
    </row>
    <row r="389" spans="4:10" x14ac:dyDescent="0.25">
      <c r="D389" s="21"/>
      <c r="E389" s="21"/>
      <c r="F389" s="21"/>
      <c r="G389" s="21"/>
      <c r="H389" s="21"/>
      <c r="I389" s="21"/>
      <c r="J389" s="21"/>
    </row>
    <row r="390" spans="4:10" x14ac:dyDescent="0.25">
      <c r="D390" s="21"/>
      <c r="E390" s="21"/>
      <c r="F390" s="21"/>
      <c r="G390" s="21"/>
      <c r="H390" s="21"/>
      <c r="I390" s="21"/>
      <c r="J390" s="21"/>
    </row>
    <row r="391" spans="4:10" x14ac:dyDescent="0.25">
      <c r="D391" s="21"/>
      <c r="E391" s="21"/>
      <c r="F391" s="21"/>
      <c r="G391" s="21"/>
      <c r="H391" s="21"/>
      <c r="I391" s="21"/>
      <c r="J391" s="21"/>
    </row>
    <row r="392" spans="4:10" x14ac:dyDescent="0.25">
      <c r="D392" s="21"/>
      <c r="E392" s="21"/>
      <c r="F392" s="21"/>
      <c r="G392" s="21"/>
      <c r="H392" s="21"/>
      <c r="I392" s="21"/>
      <c r="J392" s="21"/>
    </row>
    <row r="393" spans="4:10" x14ac:dyDescent="0.25">
      <c r="D393" s="21"/>
      <c r="E393" s="21"/>
      <c r="F393" s="21"/>
      <c r="G393" s="21"/>
      <c r="H393" s="21"/>
      <c r="I393" s="21"/>
      <c r="J393" s="21"/>
    </row>
    <row r="394" spans="4:10" x14ac:dyDescent="0.25">
      <c r="D394" s="21"/>
      <c r="E394" s="21"/>
      <c r="F394" s="21"/>
      <c r="G394" s="21"/>
      <c r="H394" s="21"/>
      <c r="I394" s="21"/>
      <c r="J394" s="21"/>
    </row>
    <row r="395" spans="4:10" x14ac:dyDescent="0.25">
      <c r="D395" s="21"/>
      <c r="E395" s="21"/>
      <c r="F395" s="21"/>
      <c r="G395" s="21"/>
      <c r="H395" s="21"/>
      <c r="I395" s="21"/>
      <c r="J395" s="21"/>
    </row>
    <row r="396" spans="4:10" x14ac:dyDescent="0.25">
      <c r="D396" s="21"/>
      <c r="E396" s="21"/>
      <c r="F396" s="21"/>
      <c r="G396" s="21"/>
      <c r="H396" s="21"/>
      <c r="I396" s="21"/>
      <c r="J396" s="21"/>
    </row>
    <row r="397" spans="4:10" x14ac:dyDescent="0.25">
      <c r="D397" s="21"/>
      <c r="E397" s="21"/>
      <c r="F397" s="21"/>
      <c r="G397" s="21"/>
      <c r="H397" s="21"/>
      <c r="I397" s="21"/>
      <c r="J397" s="21"/>
    </row>
    <row r="398" spans="4:10" x14ac:dyDescent="0.25">
      <c r="D398" s="21"/>
      <c r="E398" s="21"/>
      <c r="F398" s="21"/>
      <c r="G398" s="21"/>
      <c r="H398" s="21"/>
      <c r="I398" s="21"/>
      <c r="J398" s="21"/>
    </row>
    <row r="399" spans="4:10" x14ac:dyDescent="0.25">
      <c r="D399" s="21"/>
      <c r="E399" s="21"/>
      <c r="F399" s="21"/>
      <c r="G399" s="21"/>
      <c r="H399" s="21"/>
      <c r="I399" s="21"/>
      <c r="J399" s="21"/>
    </row>
    <row r="400" spans="4:10" x14ac:dyDescent="0.25">
      <c r="D400" s="21"/>
      <c r="E400" s="21"/>
      <c r="F400" s="21"/>
      <c r="G400" s="21"/>
      <c r="H400" s="21"/>
      <c r="I400" s="21"/>
      <c r="J400" s="21"/>
    </row>
    <row r="401" spans="4:10" x14ac:dyDescent="0.25">
      <c r="D401" s="21"/>
      <c r="E401" s="21"/>
      <c r="F401" s="21"/>
      <c r="G401" s="21"/>
      <c r="H401" s="21"/>
      <c r="I401" s="21"/>
      <c r="J401" s="21"/>
    </row>
    <row r="402" spans="4:10" x14ac:dyDescent="0.25">
      <c r="D402" s="21"/>
      <c r="E402" s="21"/>
      <c r="F402" s="21"/>
      <c r="G402" s="21"/>
      <c r="H402" s="21"/>
      <c r="I402" s="21"/>
      <c r="J402" s="21"/>
    </row>
    <row r="403" spans="4:10" x14ac:dyDescent="0.25">
      <c r="D403" s="21"/>
      <c r="E403" s="21"/>
      <c r="F403" s="21"/>
      <c r="G403" s="21"/>
      <c r="H403" s="21"/>
      <c r="I403" s="21"/>
      <c r="J403" s="21"/>
    </row>
    <row r="404" spans="4:10" x14ac:dyDescent="0.25">
      <c r="D404" s="21"/>
      <c r="E404" s="21"/>
      <c r="F404" s="21"/>
      <c r="G404" s="21"/>
      <c r="H404" s="21"/>
      <c r="I404" s="21"/>
      <c r="J404" s="21"/>
    </row>
    <row r="405" spans="4:10" x14ac:dyDescent="0.25">
      <c r="D405" s="21"/>
      <c r="E405" s="21"/>
      <c r="F405" s="21"/>
      <c r="G405" s="21"/>
      <c r="H405" s="21"/>
      <c r="I405" s="21"/>
      <c r="J405" s="21"/>
    </row>
    <row r="406" spans="4:10" x14ac:dyDescent="0.25">
      <c r="D406" s="21"/>
      <c r="E406" s="21"/>
      <c r="F406" s="21"/>
      <c r="G406" s="21"/>
      <c r="H406" s="21"/>
      <c r="I406" s="21"/>
      <c r="J406" s="21"/>
    </row>
    <row r="407" spans="4:10" x14ac:dyDescent="0.25">
      <c r="D407" s="21"/>
      <c r="E407" s="21"/>
      <c r="F407" s="21"/>
      <c r="G407" s="21"/>
      <c r="H407" s="21"/>
      <c r="I407" s="21"/>
      <c r="J407" s="21"/>
    </row>
    <row r="408" spans="4:10" x14ac:dyDescent="0.25">
      <c r="D408" s="21"/>
      <c r="E408" s="21"/>
      <c r="F408" s="21"/>
      <c r="G408" s="21"/>
      <c r="H408" s="21"/>
      <c r="I408" s="21"/>
      <c r="J408" s="21"/>
    </row>
    <row r="409" spans="4:10" x14ac:dyDescent="0.25">
      <c r="D409" s="21"/>
      <c r="E409" s="21"/>
      <c r="F409" s="21"/>
      <c r="G409" s="21"/>
      <c r="H409" s="21"/>
      <c r="I409" s="21"/>
      <c r="J409" s="21"/>
    </row>
    <row r="410" spans="4:10" x14ac:dyDescent="0.25">
      <c r="D410" s="21"/>
      <c r="E410" s="21"/>
      <c r="F410" s="21"/>
      <c r="G410" s="21"/>
      <c r="H410" s="21"/>
      <c r="I410" s="21"/>
      <c r="J410" s="21"/>
    </row>
    <row r="411" spans="4:10" x14ac:dyDescent="0.25">
      <c r="D411" s="21"/>
      <c r="E411" s="21"/>
      <c r="F411" s="21"/>
      <c r="G411" s="21"/>
      <c r="H411" s="21"/>
      <c r="I411" s="21"/>
      <c r="J411" s="21"/>
    </row>
    <row r="412" spans="4:10" x14ac:dyDescent="0.25">
      <c r="D412" s="21"/>
      <c r="E412" s="21"/>
      <c r="F412" s="21"/>
      <c r="G412" s="21"/>
      <c r="H412" s="21"/>
      <c r="I412" s="21"/>
      <c r="J412" s="21"/>
    </row>
    <row r="413" spans="4:10" x14ac:dyDescent="0.25">
      <c r="D413" s="21"/>
      <c r="E413" s="21"/>
      <c r="F413" s="21"/>
      <c r="G413" s="21"/>
      <c r="H413" s="21"/>
      <c r="I413" s="21"/>
      <c r="J413" s="21"/>
    </row>
    <row r="414" spans="4:10" x14ac:dyDescent="0.25">
      <c r="D414" s="21"/>
      <c r="E414" s="21"/>
      <c r="F414" s="21"/>
      <c r="G414" s="21"/>
      <c r="H414" s="21"/>
      <c r="I414" s="21"/>
      <c r="J414" s="21"/>
    </row>
    <row r="415" spans="4:10" x14ac:dyDescent="0.25">
      <c r="D415" s="21"/>
      <c r="E415" s="21"/>
      <c r="F415" s="21"/>
      <c r="G415" s="21"/>
      <c r="H415" s="21"/>
      <c r="I415" s="21"/>
      <c r="J415" s="21"/>
    </row>
    <row r="416" spans="4:10" x14ac:dyDescent="0.25">
      <c r="D416" s="21"/>
      <c r="E416" s="21"/>
      <c r="F416" s="21"/>
      <c r="G416" s="21"/>
      <c r="H416" s="21"/>
      <c r="I416" s="21"/>
      <c r="J416" s="21"/>
    </row>
    <row r="417" spans="4:10" x14ac:dyDescent="0.25">
      <c r="D417" s="21"/>
      <c r="E417" s="21"/>
      <c r="F417" s="21"/>
      <c r="G417" s="21"/>
      <c r="H417" s="21"/>
      <c r="I417" s="21"/>
      <c r="J417" s="21"/>
    </row>
    <row r="418" spans="4:10" x14ac:dyDescent="0.25">
      <c r="D418" s="21"/>
      <c r="E418" s="21"/>
      <c r="F418" s="21"/>
      <c r="G418" s="21"/>
      <c r="H418" s="21"/>
      <c r="I418" s="21"/>
      <c r="J418" s="21"/>
    </row>
    <row r="419" spans="4:10" x14ac:dyDescent="0.25">
      <c r="D419" s="21"/>
      <c r="E419" s="21"/>
      <c r="F419" s="21"/>
      <c r="G419" s="21"/>
      <c r="H419" s="21"/>
      <c r="I419" s="21"/>
      <c r="J419" s="21"/>
    </row>
    <row r="420" spans="4:10" x14ac:dyDescent="0.25">
      <c r="D420" s="21"/>
      <c r="E420" s="21"/>
      <c r="F420" s="21"/>
      <c r="G420" s="21"/>
      <c r="H420" s="21"/>
      <c r="I420" s="21"/>
      <c r="J420" s="21"/>
    </row>
    <row r="421" spans="4:10" x14ac:dyDescent="0.25">
      <c r="D421" s="21"/>
      <c r="E421" s="21"/>
      <c r="F421" s="21"/>
      <c r="G421" s="21"/>
      <c r="H421" s="21"/>
      <c r="I421" s="21"/>
      <c r="J421" s="21"/>
    </row>
    <row r="422" spans="4:10" x14ac:dyDescent="0.25">
      <c r="D422" s="21"/>
      <c r="E422" s="21"/>
      <c r="F422" s="21"/>
      <c r="G422" s="21"/>
      <c r="H422" s="21"/>
      <c r="I422" s="21"/>
      <c r="J422" s="21"/>
    </row>
    <row r="423" spans="4:10" x14ac:dyDescent="0.25">
      <c r="D423" s="21"/>
      <c r="E423" s="21"/>
      <c r="F423" s="21"/>
      <c r="G423" s="21"/>
      <c r="H423" s="21"/>
      <c r="I423" s="21"/>
      <c r="J423" s="21"/>
    </row>
    <row r="424" spans="4:10" x14ac:dyDescent="0.25">
      <c r="D424" s="21"/>
      <c r="E424" s="21"/>
      <c r="F424" s="21"/>
      <c r="G424" s="21"/>
      <c r="H424" s="21"/>
      <c r="I424" s="21"/>
      <c r="J424" s="21"/>
    </row>
    <row r="425" spans="4:10" x14ac:dyDescent="0.25">
      <c r="D425" s="21"/>
      <c r="E425" s="21"/>
      <c r="F425" s="21"/>
      <c r="G425" s="21"/>
      <c r="H425" s="21"/>
      <c r="I425" s="21"/>
      <c r="J425" s="21"/>
    </row>
    <row r="426" spans="4:10" x14ac:dyDescent="0.25">
      <c r="D426" s="21"/>
      <c r="E426" s="21"/>
      <c r="F426" s="21"/>
      <c r="G426" s="21"/>
      <c r="H426" s="21"/>
      <c r="I426" s="21"/>
      <c r="J426" s="21"/>
    </row>
    <row r="427" spans="4:10" x14ac:dyDescent="0.25">
      <c r="D427" s="21"/>
      <c r="E427" s="21"/>
      <c r="F427" s="21"/>
      <c r="G427" s="21"/>
      <c r="H427" s="21"/>
      <c r="I427" s="21"/>
      <c r="J427" s="21"/>
    </row>
    <row r="428" spans="4:10" x14ac:dyDescent="0.25">
      <c r="D428" s="21"/>
      <c r="E428" s="21"/>
      <c r="F428" s="21"/>
      <c r="G428" s="21"/>
      <c r="H428" s="21"/>
      <c r="I428" s="21"/>
      <c r="J428" s="21"/>
    </row>
    <row r="429" spans="4:10" x14ac:dyDescent="0.25">
      <c r="D429" s="21"/>
      <c r="E429" s="21"/>
      <c r="F429" s="21"/>
      <c r="G429" s="21"/>
      <c r="H429" s="21"/>
      <c r="I429" s="21"/>
      <c r="J429" s="21"/>
    </row>
    <row r="430" spans="4:10" x14ac:dyDescent="0.25">
      <c r="D430" s="21"/>
      <c r="E430" s="21"/>
      <c r="F430" s="21"/>
      <c r="G430" s="21"/>
      <c r="H430" s="21"/>
      <c r="I430" s="21"/>
      <c r="J430" s="21"/>
    </row>
    <row r="431" spans="4:10" x14ac:dyDescent="0.25">
      <c r="D431" s="21"/>
      <c r="E431" s="21"/>
      <c r="F431" s="21"/>
      <c r="G431" s="21"/>
      <c r="H431" s="21"/>
      <c r="I431" s="21"/>
      <c r="J431" s="21"/>
    </row>
    <row r="432" spans="4:10" x14ac:dyDescent="0.25">
      <c r="D432" s="21"/>
      <c r="E432" s="21"/>
      <c r="F432" s="21"/>
      <c r="G432" s="21"/>
      <c r="H432" s="21"/>
      <c r="I432" s="21"/>
      <c r="J432" s="21"/>
    </row>
    <row r="433" spans="4:10" x14ac:dyDescent="0.25">
      <c r="D433" s="21"/>
      <c r="E433" s="21"/>
      <c r="F433" s="21"/>
      <c r="G433" s="21"/>
      <c r="H433" s="21"/>
      <c r="I433" s="21"/>
      <c r="J433" s="21"/>
    </row>
    <row r="434" spans="4:10" x14ac:dyDescent="0.25">
      <c r="D434" s="21"/>
      <c r="E434" s="21"/>
      <c r="F434" s="21"/>
      <c r="G434" s="21"/>
      <c r="H434" s="21"/>
      <c r="I434" s="21"/>
      <c r="J434" s="21"/>
    </row>
    <row r="435" spans="4:10" x14ac:dyDescent="0.25">
      <c r="D435" s="21"/>
      <c r="E435" s="21"/>
      <c r="F435" s="21"/>
      <c r="G435" s="21"/>
      <c r="H435" s="21"/>
      <c r="I435" s="21"/>
      <c r="J435" s="21"/>
    </row>
    <row r="436" spans="4:10" x14ac:dyDescent="0.25">
      <c r="D436" s="21"/>
      <c r="E436" s="21"/>
      <c r="F436" s="21"/>
      <c r="G436" s="21"/>
      <c r="H436" s="21"/>
      <c r="I436" s="21"/>
      <c r="J436" s="21"/>
    </row>
    <row r="437" spans="4:10" x14ac:dyDescent="0.25">
      <c r="D437" s="21"/>
      <c r="E437" s="21"/>
      <c r="F437" s="21"/>
      <c r="G437" s="21"/>
      <c r="H437" s="21"/>
      <c r="I437" s="21"/>
      <c r="J437" s="21"/>
    </row>
    <row r="438" spans="4:10" x14ac:dyDescent="0.25">
      <c r="D438" s="21"/>
      <c r="E438" s="21"/>
      <c r="F438" s="21"/>
      <c r="G438" s="21"/>
      <c r="H438" s="21"/>
      <c r="I438" s="21"/>
      <c r="J438" s="21"/>
    </row>
    <row r="439" spans="4:10" x14ac:dyDescent="0.25">
      <c r="D439" s="21"/>
      <c r="E439" s="21"/>
      <c r="F439" s="21"/>
      <c r="G439" s="21"/>
      <c r="H439" s="21"/>
      <c r="I439" s="21"/>
      <c r="J439" s="21"/>
    </row>
    <row r="440" spans="4:10" x14ac:dyDescent="0.25">
      <c r="D440" s="21"/>
      <c r="E440" s="21"/>
      <c r="F440" s="21"/>
      <c r="G440" s="21"/>
      <c r="H440" s="21"/>
      <c r="I440" s="21"/>
      <c r="J440" s="21"/>
    </row>
    <row r="441" spans="4:10" x14ac:dyDescent="0.25">
      <c r="D441" s="21"/>
      <c r="E441" s="21"/>
      <c r="F441" s="21"/>
      <c r="G441" s="21"/>
      <c r="H441" s="21"/>
      <c r="I441" s="21"/>
      <c r="J441" s="21"/>
    </row>
    <row r="442" spans="4:10" x14ac:dyDescent="0.25">
      <c r="D442" s="21"/>
      <c r="E442" s="21"/>
      <c r="F442" s="21"/>
      <c r="G442" s="21"/>
      <c r="H442" s="21"/>
      <c r="I442" s="21"/>
      <c r="J442" s="21"/>
    </row>
    <row r="443" spans="4:10" x14ac:dyDescent="0.25">
      <c r="D443" s="21"/>
      <c r="E443" s="21"/>
      <c r="F443" s="21"/>
      <c r="G443" s="21"/>
      <c r="H443" s="21"/>
      <c r="I443" s="21"/>
      <c r="J443" s="21"/>
    </row>
    <row r="444" spans="4:10" x14ac:dyDescent="0.25">
      <c r="D444" s="21"/>
      <c r="E444" s="21"/>
      <c r="F444" s="21"/>
      <c r="G444" s="21"/>
      <c r="H444" s="21"/>
      <c r="I444" s="21"/>
      <c r="J444" s="21"/>
    </row>
    <row r="445" spans="4:10" x14ac:dyDescent="0.25">
      <c r="D445" s="21"/>
      <c r="E445" s="21"/>
      <c r="F445" s="21"/>
      <c r="G445" s="21"/>
      <c r="H445" s="21"/>
      <c r="I445" s="21"/>
      <c r="J445" s="21"/>
    </row>
    <row r="446" spans="4:10" x14ac:dyDescent="0.25">
      <c r="D446" s="21"/>
      <c r="E446" s="21"/>
      <c r="F446" s="21"/>
      <c r="G446" s="21"/>
      <c r="H446" s="21"/>
      <c r="I446" s="21"/>
      <c r="J446" s="21"/>
    </row>
    <row r="447" spans="4:10" x14ac:dyDescent="0.25">
      <c r="D447" s="21"/>
      <c r="E447" s="21"/>
      <c r="F447" s="21"/>
      <c r="G447" s="21"/>
      <c r="H447" s="21"/>
      <c r="I447" s="21"/>
      <c r="J447" s="21"/>
    </row>
    <row r="448" spans="4:10" x14ac:dyDescent="0.25">
      <c r="D448" s="21"/>
      <c r="E448" s="21"/>
      <c r="F448" s="21"/>
      <c r="G448" s="21"/>
      <c r="H448" s="21"/>
      <c r="I448" s="21"/>
      <c r="J448" s="21"/>
    </row>
    <row r="449" spans="4:10" x14ac:dyDescent="0.25">
      <c r="D449" s="21"/>
      <c r="E449" s="21"/>
      <c r="F449" s="21"/>
      <c r="G449" s="21"/>
      <c r="H449" s="21"/>
      <c r="I449" s="21"/>
      <c r="J449" s="21"/>
    </row>
    <row r="450" spans="4:10" x14ac:dyDescent="0.25">
      <c r="D450" s="21"/>
      <c r="E450" s="21"/>
      <c r="F450" s="21"/>
      <c r="G450" s="21"/>
      <c r="H450" s="21"/>
      <c r="I450" s="21"/>
      <c r="J450" s="21"/>
    </row>
    <row r="451" spans="4:10" x14ac:dyDescent="0.25">
      <c r="D451" s="21"/>
      <c r="E451" s="21"/>
      <c r="F451" s="21"/>
      <c r="G451" s="21"/>
      <c r="H451" s="21"/>
      <c r="I451" s="21"/>
      <c r="J451" s="21"/>
    </row>
    <row r="452" spans="4:10" x14ac:dyDescent="0.25">
      <c r="D452" s="21"/>
      <c r="E452" s="21"/>
      <c r="F452" s="21"/>
      <c r="G452" s="21"/>
      <c r="H452" s="21"/>
      <c r="I452" s="21"/>
      <c r="J452" s="21"/>
    </row>
    <row r="453" spans="4:10" x14ac:dyDescent="0.25">
      <c r="D453" s="21"/>
      <c r="E453" s="21"/>
      <c r="F453" s="21"/>
      <c r="G453" s="21"/>
      <c r="H453" s="21"/>
      <c r="I453" s="21"/>
      <c r="J453" s="21"/>
    </row>
    <row r="454" spans="4:10" x14ac:dyDescent="0.25">
      <c r="D454" s="21"/>
      <c r="E454" s="21"/>
      <c r="F454" s="21"/>
      <c r="G454" s="21"/>
      <c r="H454" s="21"/>
      <c r="I454" s="21"/>
      <c r="J454" s="21"/>
    </row>
    <row r="455" spans="4:10" x14ac:dyDescent="0.25">
      <c r="D455" s="21"/>
      <c r="E455" s="21"/>
      <c r="F455" s="21"/>
      <c r="G455" s="21"/>
      <c r="H455" s="21"/>
      <c r="I455" s="21"/>
      <c r="J455" s="21"/>
    </row>
    <row r="456" spans="4:10" x14ac:dyDescent="0.25">
      <c r="D456" s="21"/>
      <c r="E456" s="21"/>
      <c r="F456" s="21"/>
      <c r="G456" s="21"/>
      <c r="H456" s="21"/>
      <c r="I456" s="21"/>
      <c r="J456" s="21"/>
    </row>
    <row r="457" spans="4:10" x14ac:dyDescent="0.25">
      <c r="D457" s="21"/>
      <c r="E457" s="21"/>
      <c r="F457" s="21"/>
      <c r="G457" s="21"/>
      <c r="H457" s="21"/>
      <c r="I457" s="21"/>
      <c r="J457" s="21"/>
    </row>
    <row r="458" spans="4:10" x14ac:dyDescent="0.25">
      <c r="D458" s="21"/>
      <c r="E458" s="21"/>
      <c r="F458" s="21"/>
      <c r="G458" s="21"/>
      <c r="H458" s="21"/>
      <c r="I458" s="21"/>
      <c r="J458" s="21"/>
    </row>
    <row r="459" spans="4:10" x14ac:dyDescent="0.25">
      <c r="D459" s="21"/>
      <c r="E459" s="21"/>
      <c r="F459" s="21"/>
      <c r="G459" s="21"/>
      <c r="H459" s="21"/>
      <c r="I459" s="21"/>
      <c r="J459" s="21"/>
    </row>
    <row r="460" spans="4:10" x14ac:dyDescent="0.25">
      <c r="D460" s="21"/>
      <c r="E460" s="21"/>
      <c r="F460" s="21"/>
      <c r="G460" s="21"/>
      <c r="H460" s="21"/>
      <c r="I460" s="21"/>
      <c r="J460" s="21"/>
    </row>
    <row r="461" spans="4:10" x14ac:dyDescent="0.25">
      <c r="D461" s="21"/>
      <c r="E461" s="21"/>
      <c r="F461" s="21"/>
      <c r="G461" s="21"/>
      <c r="H461" s="21"/>
      <c r="I461" s="21"/>
      <c r="J461" s="21"/>
    </row>
    <row r="462" spans="4:10" x14ac:dyDescent="0.25">
      <c r="D462" s="21"/>
      <c r="E462" s="21"/>
      <c r="F462" s="21"/>
      <c r="G462" s="21"/>
      <c r="H462" s="21"/>
      <c r="I462" s="21"/>
      <c r="J462" s="21"/>
    </row>
    <row r="463" spans="4:10" x14ac:dyDescent="0.25">
      <c r="D463" s="21"/>
      <c r="E463" s="21"/>
      <c r="F463" s="21"/>
      <c r="G463" s="21"/>
      <c r="H463" s="21"/>
      <c r="I463" s="21"/>
      <c r="J463" s="21"/>
    </row>
    <row r="464" spans="4:10" x14ac:dyDescent="0.25">
      <c r="D464" s="21"/>
      <c r="E464" s="21"/>
      <c r="F464" s="21"/>
      <c r="G464" s="21"/>
      <c r="H464" s="21"/>
      <c r="I464" s="21"/>
      <c r="J464" s="21"/>
    </row>
    <row r="465" spans="4:10" x14ac:dyDescent="0.25">
      <c r="D465" s="21"/>
      <c r="E465" s="21"/>
      <c r="F465" s="21"/>
      <c r="G465" s="21"/>
      <c r="H465" s="21"/>
      <c r="I465" s="21"/>
      <c r="J465" s="21"/>
    </row>
    <row r="466" spans="4:10" x14ac:dyDescent="0.25">
      <c r="D466" s="21"/>
      <c r="E466" s="21"/>
      <c r="F466" s="21"/>
      <c r="G466" s="21"/>
      <c r="H466" s="21"/>
      <c r="I466" s="21"/>
      <c r="J466" s="21"/>
    </row>
    <row r="467" spans="4:10" x14ac:dyDescent="0.25">
      <c r="D467" s="21"/>
      <c r="E467" s="21"/>
      <c r="F467" s="21"/>
      <c r="G467" s="21"/>
      <c r="H467" s="21"/>
      <c r="I467" s="21"/>
      <c r="J467" s="21"/>
    </row>
    <row r="468" spans="4:10" x14ac:dyDescent="0.25">
      <c r="D468" s="21"/>
      <c r="E468" s="21"/>
      <c r="F468" s="21"/>
      <c r="G468" s="21"/>
      <c r="H468" s="21"/>
      <c r="I468" s="21"/>
      <c r="J468" s="21"/>
    </row>
    <row r="469" spans="4:10" x14ac:dyDescent="0.25">
      <c r="D469" s="21"/>
      <c r="E469" s="21"/>
      <c r="F469" s="21"/>
      <c r="G469" s="21"/>
      <c r="H469" s="21"/>
      <c r="I469" s="21"/>
      <c r="J469" s="21"/>
    </row>
    <row r="470" spans="4:10" x14ac:dyDescent="0.25">
      <c r="D470" s="21"/>
      <c r="E470" s="21"/>
      <c r="F470" s="21"/>
      <c r="G470" s="21"/>
      <c r="H470" s="21"/>
      <c r="I470" s="21"/>
      <c r="J470" s="21"/>
    </row>
    <row r="471" spans="4:10" x14ac:dyDescent="0.25">
      <c r="D471" s="21"/>
      <c r="E471" s="21"/>
      <c r="F471" s="21"/>
      <c r="G471" s="21"/>
      <c r="H471" s="21"/>
      <c r="I471" s="21"/>
      <c r="J471" s="21"/>
    </row>
    <row r="472" spans="4:10" x14ac:dyDescent="0.25">
      <c r="D472" s="21"/>
      <c r="E472" s="21"/>
      <c r="F472" s="21"/>
      <c r="G472" s="21"/>
      <c r="H472" s="21"/>
      <c r="I472" s="21"/>
      <c r="J472" s="21"/>
    </row>
    <row r="473" spans="4:10" x14ac:dyDescent="0.25">
      <c r="D473" s="21"/>
      <c r="E473" s="21"/>
      <c r="F473" s="21"/>
      <c r="G473" s="21"/>
      <c r="H473" s="21"/>
      <c r="I473" s="21"/>
      <c r="J473" s="21"/>
    </row>
    <row r="474" spans="4:10" x14ac:dyDescent="0.25">
      <c r="D474" s="21"/>
      <c r="E474" s="21"/>
      <c r="F474" s="21"/>
      <c r="G474" s="21"/>
      <c r="H474" s="21"/>
      <c r="I474" s="21"/>
      <c r="J474" s="21"/>
    </row>
    <row r="475" spans="4:10" x14ac:dyDescent="0.25">
      <c r="D475" s="21"/>
      <c r="E475" s="21"/>
      <c r="F475" s="21"/>
      <c r="G475" s="21"/>
      <c r="H475" s="21"/>
      <c r="I475" s="21"/>
      <c r="J475" s="21"/>
    </row>
    <row r="476" spans="4:10" x14ac:dyDescent="0.25">
      <c r="D476" s="21"/>
      <c r="E476" s="21"/>
      <c r="F476" s="21"/>
      <c r="G476" s="21"/>
      <c r="H476" s="21"/>
      <c r="I476" s="21"/>
      <c r="J476" s="21"/>
    </row>
    <row r="477" spans="4:10" x14ac:dyDescent="0.25">
      <c r="D477" s="21"/>
      <c r="E477" s="21"/>
      <c r="F477" s="21"/>
      <c r="G477" s="21"/>
      <c r="H477" s="21"/>
      <c r="I477" s="21"/>
      <c r="J477" s="21"/>
    </row>
    <row r="478" spans="4:10" x14ac:dyDescent="0.25">
      <c r="D478" s="21"/>
      <c r="E478" s="21"/>
      <c r="F478" s="21"/>
      <c r="G478" s="21"/>
      <c r="H478" s="21"/>
      <c r="I478" s="21"/>
      <c r="J478" s="21"/>
    </row>
    <row r="479" spans="4:10" x14ac:dyDescent="0.25">
      <c r="D479" s="21"/>
      <c r="E479" s="21"/>
      <c r="F479" s="21"/>
      <c r="G479" s="21"/>
      <c r="H479" s="21"/>
      <c r="I479" s="21"/>
      <c r="J479" s="21"/>
    </row>
    <row r="480" spans="4:10" x14ac:dyDescent="0.25">
      <c r="D480" s="21"/>
      <c r="E480" s="21"/>
      <c r="F480" s="21"/>
      <c r="G480" s="21"/>
      <c r="H480" s="21"/>
      <c r="I480" s="21"/>
      <c r="J480" s="21"/>
    </row>
    <row r="481" spans="4:10" x14ac:dyDescent="0.25">
      <c r="D481" s="21"/>
      <c r="E481" s="21"/>
      <c r="F481" s="21"/>
      <c r="G481" s="21"/>
      <c r="H481" s="21"/>
      <c r="I481" s="21"/>
      <c r="J481" s="21"/>
    </row>
    <row r="482" spans="4:10" x14ac:dyDescent="0.25">
      <c r="D482" s="21"/>
      <c r="E482" s="21"/>
      <c r="F482" s="21"/>
      <c r="G482" s="21"/>
      <c r="H482" s="21"/>
      <c r="I482" s="21"/>
      <c r="J482" s="21"/>
    </row>
    <row r="483" spans="4:10" x14ac:dyDescent="0.25">
      <c r="D483" s="21"/>
      <c r="E483" s="21"/>
      <c r="F483" s="21"/>
      <c r="G483" s="21"/>
      <c r="H483" s="21"/>
      <c r="I483" s="21"/>
      <c r="J483" s="21"/>
    </row>
    <row r="484" spans="4:10" x14ac:dyDescent="0.25">
      <c r="D484" s="21"/>
      <c r="E484" s="21"/>
      <c r="F484" s="21"/>
      <c r="G484" s="21"/>
      <c r="H484" s="21"/>
      <c r="I484" s="21"/>
      <c r="J484" s="21"/>
    </row>
    <row r="485" spans="4:10" x14ac:dyDescent="0.25">
      <c r="D485" s="21"/>
      <c r="E485" s="21"/>
      <c r="F485" s="21"/>
      <c r="G485" s="21"/>
      <c r="H485" s="21"/>
      <c r="I485" s="21"/>
      <c r="J485" s="21"/>
    </row>
    <row r="486" spans="4:10" x14ac:dyDescent="0.25">
      <c r="D486" s="21"/>
      <c r="E486" s="21"/>
      <c r="F486" s="21"/>
      <c r="G486" s="21"/>
      <c r="H486" s="21"/>
      <c r="I486" s="21"/>
      <c r="J486" s="21"/>
    </row>
  </sheetData>
  <conditionalFormatting sqref="D5:D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J1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D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1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G1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F1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:G1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D2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E2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G2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1:F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1:G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D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E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F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:F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86"/>
  <sheetViews>
    <sheetView tabSelected="1" topLeftCell="A16" zoomScale="130" zoomScaleNormal="130" workbookViewId="0">
      <selection activeCell="D38" sqref="D38:J38"/>
    </sheetView>
  </sheetViews>
  <sheetFormatPr defaultRowHeight="15" x14ac:dyDescent="0.25"/>
  <cols>
    <col min="3" max="3" width="27.85546875" customWidth="1"/>
    <col min="13" max="13" width="23.85546875" bestFit="1" customWidth="1"/>
    <col min="14" max="18" width="4.7109375" bestFit="1" customWidth="1"/>
    <col min="19" max="20" width="5.140625" bestFit="1" customWidth="1"/>
  </cols>
  <sheetData>
    <row r="2" spans="3:20" ht="15.75" thickBot="1" x14ac:dyDescent="0.3"/>
    <row r="3" spans="3:20" x14ac:dyDescent="0.25">
      <c r="C3" s="62" t="s">
        <v>34</v>
      </c>
      <c r="D3" s="58">
        <v>2</v>
      </c>
      <c r="E3" s="54">
        <v>4</v>
      </c>
      <c r="F3" s="54">
        <v>8</v>
      </c>
      <c r="G3" s="54">
        <v>16</v>
      </c>
      <c r="H3" s="54">
        <v>32</v>
      </c>
      <c r="I3" s="54">
        <v>64</v>
      </c>
      <c r="J3" s="55">
        <v>128</v>
      </c>
      <c r="M3" s="62" t="s">
        <v>34</v>
      </c>
      <c r="N3" s="70">
        <v>2</v>
      </c>
      <c r="O3" s="71">
        <v>4</v>
      </c>
      <c r="P3" s="71">
        <v>8</v>
      </c>
      <c r="Q3" s="71">
        <v>16</v>
      </c>
      <c r="R3" s="71">
        <v>32</v>
      </c>
      <c r="S3" s="71">
        <v>64</v>
      </c>
      <c r="T3" s="72">
        <v>128</v>
      </c>
    </row>
    <row r="4" spans="3:20" ht="15.75" thickBot="1" x14ac:dyDescent="0.3">
      <c r="C4" s="63" t="s">
        <v>37</v>
      </c>
      <c r="D4" s="59">
        <v>42</v>
      </c>
      <c r="E4" s="56">
        <v>84</v>
      </c>
      <c r="F4" s="56">
        <v>168</v>
      </c>
      <c r="G4" s="56">
        <v>336</v>
      </c>
      <c r="H4" s="56">
        <v>672</v>
      </c>
      <c r="I4" s="56">
        <v>1344</v>
      </c>
      <c r="J4" s="57">
        <v>2688</v>
      </c>
      <c r="M4" s="63" t="s">
        <v>37</v>
      </c>
      <c r="N4" s="89">
        <v>42</v>
      </c>
      <c r="O4" s="90">
        <v>84</v>
      </c>
      <c r="P4" s="90">
        <v>168</v>
      </c>
      <c r="Q4" s="90">
        <v>336</v>
      </c>
      <c r="R4" s="90">
        <v>672</v>
      </c>
      <c r="S4" s="90">
        <v>1344</v>
      </c>
      <c r="T4" s="91">
        <v>2688</v>
      </c>
    </row>
    <row r="5" spans="3:20" x14ac:dyDescent="0.25">
      <c r="C5" s="69" t="s">
        <v>38</v>
      </c>
      <c r="D5" s="60">
        <v>14.53428165029581</v>
      </c>
      <c r="E5" s="53">
        <v>14.742947543455179</v>
      </c>
      <c r="F5" s="53">
        <v>14.518772239933554</v>
      </c>
      <c r="G5" s="53">
        <v>14.565905136667791</v>
      </c>
      <c r="H5" s="53">
        <v>14.802014299185666</v>
      </c>
      <c r="I5" s="53">
        <v>15.030859748973787</v>
      </c>
      <c r="J5" s="64">
        <v>15.657086618097543</v>
      </c>
      <c r="M5" s="88" t="s">
        <v>38</v>
      </c>
      <c r="N5" s="60">
        <v>7.0908055832570387</v>
      </c>
      <c r="O5" s="53">
        <v>7.0305005117972676</v>
      </c>
      <c r="P5" s="53">
        <v>6.8192446639105615</v>
      </c>
      <c r="Q5" s="53">
        <v>6.8772192033944641</v>
      </c>
      <c r="R5" s="53">
        <v>8.0036312586795226</v>
      </c>
      <c r="S5" s="53">
        <v>6.7722446962961378</v>
      </c>
      <c r="T5" s="64">
        <v>7.1765932268790129</v>
      </c>
    </row>
    <row r="6" spans="3:20" x14ac:dyDescent="0.25">
      <c r="C6" s="69" t="s">
        <v>39</v>
      </c>
      <c r="D6" s="61">
        <v>15.630633090703355</v>
      </c>
      <c r="E6" s="52">
        <v>15.494683614143549</v>
      </c>
      <c r="F6" s="52">
        <v>15.064535259187739</v>
      </c>
      <c r="G6" s="52">
        <v>14.984986528177364</v>
      </c>
      <c r="H6" s="52">
        <v>14.881814014115575</v>
      </c>
      <c r="I6" s="52">
        <v>15.1816900532231</v>
      </c>
      <c r="J6" s="65">
        <v>15.922770972706745</v>
      </c>
      <c r="M6" s="69" t="s">
        <v>39</v>
      </c>
      <c r="N6" s="61">
        <v>7.5021447576101821</v>
      </c>
      <c r="O6" s="52">
        <v>7.251512261803156</v>
      </c>
      <c r="P6" s="52">
        <v>6.9723451173521322</v>
      </c>
      <c r="Q6" s="52">
        <v>6.9449166642801075</v>
      </c>
      <c r="R6" s="52">
        <v>8.12433143681268</v>
      </c>
      <c r="S6" s="52">
        <v>7.1569494660191779</v>
      </c>
      <c r="T6" s="65">
        <v>7.1323597236048855</v>
      </c>
    </row>
    <row r="7" spans="3:20" ht="30" x14ac:dyDescent="0.25">
      <c r="C7" s="69" t="s">
        <v>40</v>
      </c>
      <c r="D7" s="61">
        <v>14.627785891004915</v>
      </c>
      <c r="E7" s="52">
        <v>14.921165235820521</v>
      </c>
      <c r="F7" s="52">
        <v>14.853375715070857</v>
      </c>
      <c r="G7" s="52">
        <v>15.008913690912502</v>
      </c>
      <c r="H7" s="52">
        <v>14.85912472493845</v>
      </c>
      <c r="I7" s="52">
        <v>15.166801917489879</v>
      </c>
      <c r="J7" s="65">
        <v>15.99609533071353</v>
      </c>
      <c r="M7" s="69" t="s">
        <v>40</v>
      </c>
      <c r="N7" s="61">
        <v>7.0972838079165008</v>
      </c>
      <c r="O7" s="52">
        <v>6.9867110567769188</v>
      </c>
      <c r="P7" s="52">
        <v>6.8379880127270534</v>
      </c>
      <c r="Q7" s="52">
        <v>6.8537543025104544</v>
      </c>
      <c r="R7" s="52">
        <v>8.0259320141430415</v>
      </c>
      <c r="S7" s="52">
        <v>7.1018688329151116</v>
      </c>
      <c r="T7" s="65">
        <v>7.1112808931393827</v>
      </c>
    </row>
    <row r="8" spans="3:20" ht="30" x14ac:dyDescent="0.25">
      <c r="C8" s="69" t="s">
        <v>41</v>
      </c>
      <c r="D8" s="61"/>
      <c r="E8" s="52">
        <v>14.504279940822451</v>
      </c>
      <c r="F8" s="52">
        <v>14.424749031500463</v>
      </c>
      <c r="G8" s="52">
        <v>14.559635761992233</v>
      </c>
      <c r="H8" s="52">
        <v>14.464993885827996</v>
      </c>
      <c r="I8" s="52">
        <v>14.491350598995874</v>
      </c>
      <c r="J8" s="65">
        <v>15.368497729593006</v>
      </c>
      <c r="M8" s="69" t="s">
        <v>41</v>
      </c>
      <c r="N8" s="61"/>
      <c r="O8" s="52">
        <v>5.3774737822672085</v>
      </c>
      <c r="P8" s="52">
        <v>5.2974162004615053</v>
      </c>
      <c r="Q8" s="52">
        <v>5.4169876376210402</v>
      </c>
      <c r="R8" s="52">
        <v>6.5580667970009303</v>
      </c>
      <c r="S8" s="52">
        <v>6.4844296180162715</v>
      </c>
      <c r="T8" s="65">
        <v>6.405612036109682</v>
      </c>
    </row>
    <row r="9" spans="3:20" ht="45" x14ac:dyDescent="0.25">
      <c r="C9" s="69" t="s">
        <v>42</v>
      </c>
      <c r="D9" s="61"/>
      <c r="E9" s="52">
        <v>14.354502227663225</v>
      </c>
      <c r="F9" s="52">
        <v>14.424979488953337</v>
      </c>
      <c r="G9" s="52">
        <v>14.568367354270803</v>
      </c>
      <c r="H9" s="52">
        <v>14.428002717520032</v>
      </c>
      <c r="I9" s="52">
        <v>14.484914276656067</v>
      </c>
      <c r="J9" s="65">
        <v>15.363132792997972</v>
      </c>
      <c r="M9" s="69" t="s">
        <v>42</v>
      </c>
      <c r="N9" s="61"/>
      <c r="O9" s="52">
        <v>5.3970050046151741</v>
      </c>
      <c r="P9" s="52">
        <v>5.3324098509647344</v>
      </c>
      <c r="Q9" s="52">
        <v>5.4187196054835205</v>
      </c>
      <c r="R9" s="52">
        <v>6.5656937961846129</v>
      </c>
      <c r="S9" s="52">
        <v>6.4791977958217402</v>
      </c>
      <c r="T9" s="65">
        <v>6.2362372637059256</v>
      </c>
    </row>
    <row r="10" spans="3:20" ht="45.75" thickBot="1" x14ac:dyDescent="0.3">
      <c r="C10" s="69" t="s">
        <v>43</v>
      </c>
      <c r="D10" s="66">
        <v>14.470863128891372</v>
      </c>
      <c r="E10" s="67">
        <v>14.484248631800162</v>
      </c>
      <c r="F10" s="67">
        <v>14.388196551946795</v>
      </c>
      <c r="G10" s="67">
        <v>14.596135999915759</v>
      </c>
      <c r="H10" s="67">
        <v>14.750495604338154</v>
      </c>
      <c r="I10" s="67">
        <v>14.940656866135958</v>
      </c>
      <c r="J10" s="68">
        <v>15.774984235449701</v>
      </c>
      <c r="M10" s="87" t="s">
        <v>43</v>
      </c>
      <c r="N10" s="66">
        <v>5.5549882266642729</v>
      </c>
      <c r="O10" s="67">
        <v>5.4679325426865173</v>
      </c>
      <c r="P10" s="67">
        <v>5.4163407333108387</v>
      </c>
      <c r="Q10" s="67">
        <v>5.5235372823670712</v>
      </c>
      <c r="R10" s="67">
        <v>7.0022093261391456</v>
      </c>
      <c r="S10" s="67">
        <v>6.3783190914216625</v>
      </c>
      <c r="T10" s="68">
        <v>5.9653353174705224</v>
      </c>
    </row>
    <row r="11" spans="3:20" x14ac:dyDescent="0.25">
      <c r="D11" s="21"/>
      <c r="E11" s="21"/>
      <c r="F11" s="21"/>
      <c r="G11" s="21"/>
      <c r="H11" s="21"/>
      <c r="I11" s="21"/>
      <c r="J11" s="21"/>
    </row>
    <row r="12" spans="3:20" x14ac:dyDescent="0.25">
      <c r="C12" t="s">
        <v>2</v>
      </c>
      <c r="D12" s="21">
        <v>13.488689251998775</v>
      </c>
      <c r="E12" s="21">
        <v>13.233664920343726</v>
      </c>
      <c r="F12" s="21">
        <v>13.144580657391732</v>
      </c>
      <c r="G12" s="21">
        <v>13.565861169548683</v>
      </c>
      <c r="H12" s="21">
        <v>13.7621971539324</v>
      </c>
      <c r="I12" s="21">
        <v>13.519590195015224</v>
      </c>
      <c r="J12" s="21">
        <v>13.881868035149724</v>
      </c>
    </row>
    <row r="13" spans="3:20" x14ac:dyDescent="0.25">
      <c r="C13" t="s">
        <v>4</v>
      </c>
      <c r="D13" s="21">
        <v>14.709432416276016</v>
      </c>
      <c r="E13" s="21">
        <v>13.817210981699995</v>
      </c>
      <c r="F13" s="21">
        <v>13.469744271761336</v>
      </c>
      <c r="G13" s="21">
        <v>13.533619420617802</v>
      </c>
      <c r="H13" s="21">
        <v>13.655965335783328</v>
      </c>
      <c r="I13" s="21">
        <v>13.44544771950042</v>
      </c>
      <c r="J13" s="21">
        <v>14.101019007991594</v>
      </c>
    </row>
    <row r="14" spans="3:20" x14ac:dyDescent="0.25">
      <c r="C14" t="s">
        <v>5</v>
      </c>
      <c r="D14" s="21">
        <v>13.921695475523753</v>
      </c>
      <c r="E14" s="21">
        <v>13.384578563742195</v>
      </c>
      <c r="F14" s="21">
        <v>13.361315832765523</v>
      </c>
      <c r="G14" s="21">
        <v>13.598044770890825</v>
      </c>
      <c r="H14" s="21">
        <v>13.751032193294515</v>
      </c>
      <c r="I14" s="21">
        <v>13.619507456075898</v>
      </c>
      <c r="J14" s="21">
        <v>14.263893389899492</v>
      </c>
    </row>
    <row r="15" spans="3:20" x14ac:dyDescent="0.25">
      <c r="C15" t="s">
        <v>6</v>
      </c>
      <c r="D15" s="21"/>
      <c r="E15" s="21">
        <v>13.01456010511064</v>
      </c>
      <c r="F15" s="21">
        <v>12.987402996486029</v>
      </c>
      <c r="G15" s="21">
        <v>13.11459591698633</v>
      </c>
      <c r="H15" s="21">
        <v>13.405728500143171</v>
      </c>
      <c r="I15" s="21">
        <v>13.060142645172286</v>
      </c>
      <c r="J15" s="21">
        <v>13.789662001633074</v>
      </c>
    </row>
    <row r="16" spans="3:20" x14ac:dyDescent="0.25">
      <c r="C16" t="s">
        <v>7</v>
      </c>
      <c r="D16" s="21"/>
      <c r="E16" s="21">
        <v>12.999489846692125</v>
      </c>
      <c r="F16" s="21">
        <v>12.996860602744315</v>
      </c>
      <c r="G16" s="21">
        <v>13.132516662373394</v>
      </c>
      <c r="H16" s="21">
        <v>13.372632515442318</v>
      </c>
      <c r="I16" s="21">
        <v>13.068005190295684</v>
      </c>
      <c r="J16" s="21">
        <v>13.787305027909449</v>
      </c>
    </row>
    <row r="17" spans="3:10" x14ac:dyDescent="0.25">
      <c r="C17" t="s">
        <v>16</v>
      </c>
      <c r="D17" s="21">
        <v>14.046009785247058</v>
      </c>
      <c r="E17" s="21">
        <v>13.621529939575533</v>
      </c>
      <c r="F17" s="21">
        <v>13.46181324898258</v>
      </c>
      <c r="G17" s="21">
        <v>13.943879161821037</v>
      </c>
      <c r="H17" s="21">
        <v>13.531365336904301</v>
      </c>
      <c r="I17" s="21">
        <v>13.555710352648566</v>
      </c>
      <c r="J17" s="21">
        <v>14.195692953683901</v>
      </c>
    </row>
    <row r="18" spans="3:10" x14ac:dyDescent="0.25">
      <c r="D18" s="21"/>
      <c r="E18" s="21"/>
      <c r="F18" s="21"/>
      <c r="G18" s="21"/>
      <c r="H18" s="21"/>
      <c r="I18" s="21"/>
      <c r="J18" s="21"/>
    </row>
    <row r="19" spans="3:10" x14ac:dyDescent="0.25">
      <c r="C19" t="s">
        <v>2</v>
      </c>
      <c r="D19" s="21">
        <v>12.058183530257843</v>
      </c>
      <c r="E19" s="21">
        <v>12.159329964026197</v>
      </c>
      <c r="F19" s="21">
        <v>15.784538430395006</v>
      </c>
      <c r="G19" s="21">
        <v>12.330575602226945</v>
      </c>
      <c r="H19" s="21">
        <v>12.780950519946227</v>
      </c>
      <c r="I19" s="21">
        <v>11.930765556962001</v>
      </c>
      <c r="J19" s="21">
        <v>12.125268677791301</v>
      </c>
    </row>
    <row r="20" spans="3:10" x14ac:dyDescent="0.25">
      <c r="C20" t="s">
        <v>4</v>
      </c>
      <c r="D20" s="21">
        <v>12.914742092181127</v>
      </c>
      <c r="E20" s="21">
        <v>12.549790329464892</v>
      </c>
      <c r="F20" s="21">
        <v>16.210475111621356</v>
      </c>
      <c r="G20" s="21">
        <v>12.504401272919216</v>
      </c>
      <c r="H20" s="21">
        <v>12.953668705019677</v>
      </c>
      <c r="I20" s="21">
        <v>11.97967203350675</v>
      </c>
      <c r="J20" s="21">
        <v>12.254930425571642</v>
      </c>
    </row>
    <row r="21" spans="3:10" x14ac:dyDescent="0.25">
      <c r="C21" t="s">
        <v>5</v>
      </c>
      <c r="D21" s="21">
        <v>11.895545306067278</v>
      </c>
      <c r="E21" s="21">
        <v>12.020309137446862</v>
      </c>
      <c r="F21" s="21">
        <v>15.804530087343254</v>
      </c>
      <c r="G21" s="21">
        <v>12.384312253423527</v>
      </c>
      <c r="H21" s="21">
        <v>12.922283648795208</v>
      </c>
      <c r="I21" s="21">
        <v>12.043598559765968</v>
      </c>
      <c r="J21" s="21">
        <v>12.395528081228806</v>
      </c>
    </row>
    <row r="22" spans="3:10" x14ac:dyDescent="0.25">
      <c r="C22" t="s">
        <v>6</v>
      </c>
      <c r="D22" s="21"/>
      <c r="E22" s="21">
        <v>11.775790355875248</v>
      </c>
      <c r="F22" s="21">
        <v>15.577606150427609</v>
      </c>
      <c r="G22" s="21">
        <v>12.24698157133286</v>
      </c>
      <c r="H22" s="21">
        <v>12.732154981749575</v>
      </c>
      <c r="I22" s="21">
        <v>11.97223229136821</v>
      </c>
      <c r="J22" s="21">
        <v>12.332737985540376</v>
      </c>
    </row>
    <row r="23" spans="3:10" x14ac:dyDescent="0.25">
      <c r="C23" t="s">
        <v>7</v>
      </c>
      <c r="D23" s="21"/>
      <c r="E23" s="21">
        <v>11.804969935685712</v>
      </c>
      <c r="F23" s="21">
        <v>15.56734248605477</v>
      </c>
      <c r="G23" s="21">
        <v>12.2501317771505</v>
      </c>
      <c r="H23" s="21">
        <v>12.72024360605513</v>
      </c>
      <c r="I23" s="21">
        <v>11.971240524910977</v>
      </c>
      <c r="J23" s="21">
        <v>12.332525964344015</v>
      </c>
    </row>
    <row r="24" spans="3:10" x14ac:dyDescent="0.25">
      <c r="C24" t="s">
        <v>16</v>
      </c>
      <c r="D24" s="21">
        <v>11.821900371127251</v>
      </c>
      <c r="E24" s="21">
        <v>12.453278579695647</v>
      </c>
      <c r="F24" s="21">
        <v>16.358656100673272</v>
      </c>
      <c r="G24" s="21">
        <v>12.8946551536801</v>
      </c>
      <c r="H24" s="21">
        <v>13.444226862671179</v>
      </c>
      <c r="I24" s="21">
        <v>12.641834873106339</v>
      </c>
      <c r="J24" s="21">
        <v>13.1</v>
      </c>
    </row>
    <row r="25" spans="3:10" x14ac:dyDescent="0.25">
      <c r="D25" s="21"/>
      <c r="E25" s="21"/>
      <c r="F25" s="21"/>
      <c r="G25" s="21"/>
      <c r="H25" s="21"/>
      <c r="I25" s="21"/>
      <c r="J25" s="21"/>
    </row>
    <row r="26" spans="3:10" x14ac:dyDescent="0.25">
      <c r="C26" t="s">
        <v>2</v>
      </c>
      <c r="D26" s="21">
        <v>11.898648448495283</v>
      </c>
      <c r="E26" s="21">
        <v>12.20297172756055</v>
      </c>
      <c r="F26" s="21">
        <v>12.161523990134619</v>
      </c>
      <c r="G26" s="21">
        <v>12.161290046621225</v>
      </c>
      <c r="H26" s="21">
        <v>11.988786822710042</v>
      </c>
      <c r="I26" s="21">
        <v>12.27610765381775</v>
      </c>
      <c r="J26" s="21">
        <v>12.168533486659513</v>
      </c>
    </row>
    <row r="27" spans="3:10" x14ac:dyDescent="0.25">
      <c r="C27" t="s">
        <v>4</v>
      </c>
      <c r="D27" s="21">
        <v>12.522805135565518</v>
      </c>
      <c r="E27" s="21">
        <v>12.666325349399797</v>
      </c>
      <c r="F27" s="21">
        <v>12.428722498604687</v>
      </c>
      <c r="G27" s="21">
        <v>12.068474238576121</v>
      </c>
      <c r="H27" s="21">
        <v>11.765758345867667</v>
      </c>
      <c r="I27" s="21">
        <v>12.168237382671395</v>
      </c>
      <c r="J27" s="21">
        <v>12.2156309948992</v>
      </c>
    </row>
    <row r="28" spans="3:10" x14ac:dyDescent="0.25">
      <c r="C28" t="s">
        <v>5</v>
      </c>
      <c r="D28" s="21">
        <v>11.843060105059831</v>
      </c>
      <c r="E28" s="21">
        <v>12.1476576713764</v>
      </c>
      <c r="F28" s="21">
        <v>12.18763776624615</v>
      </c>
      <c r="G28" s="21">
        <v>11.97343658121542</v>
      </c>
      <c r="H28" s="21">
        <v>12.339088964738705</v>
      </c>
      <c r="I28" s="21">
        <v>12.491908727437815</v>
      </c>
      <c r="J28" s="21">
        <v>12.150986805198217</v>
      </c>
    </row>
    <row r="29" spans="3:10" x14ac:dyDescent="0.25">
      <c r="C29" t="s">
        <v>6</v>
      </c>
      <c r="D29" s="21"/>
      <c r="E29" s="21">
        <v>11.646125376081645</v>
      </c>
      <c r="F29" s="21">
        <v>11.791033769964903</v>
      </c>
      <c r="G29" s="21">
        <v>11.611333730668781</v>
      </c>
      <c r="H29" s="21">
        <v>12.359729999691766</v>
      </c>
      <c r="I29" s="21">
        <v>12.423242679972157</v>
      </c>
      <c r="J29" s="21">
        <v>11.509244898795012</v>
      </c>
    </row>
    <row r="30" spans="3:10" x14ac:dyDescent="0.25">
      <c r="C30" t="s">
        <v>7</v>
      </c>
      <c r="D30" s="21"/>
      <c r="E30" s="21">
        <v>11.631642694762933</v>
      </c>
      <c r="F30" s="21">
        <v>11.717524095911303</v>
      </c>
      <c r="G30" s="21">
        <v>11.623149221810747</v>
      </c>
      <c r="H30" s="21">
        <v>12.047250764062603</v>
      </c>
      <c r="I30" s="21">
        <v>12.425263361592611</v>
      </c>
      <c r="J30" s="21">
        <v>12.199688371716668</v>
      </c>
    </row>
    <row r="31" spans="3:10" x14ac:dyDescent="0.25">
      <c r="C31" t="s">
        <v>16</v>
      </c>
      <c r="D31" s="21">
        <v>10.264581996776469</v>
      </c>
      <c r="E31" s="21">
        <v>11.401322761836045</v>
      </c>
      <c r="F31" s="21">
        <v>11.69221032402497</v>
      </c>
      <c r="G31" s="21">
        <v>11.982197416459922</v>
      </c>
      <c r="H31" s="21">
        <v>11.884575242951954</v>
      </c>
      <c r="I31" s="21">
        <v>12.573580519277028</v>
      </c>
      <c r="J31" s="21">
        <v>12.998158186346108</v>
      </c>
    </row>
    <row r="32" spans="3:10" x14ac:dyDescent="0.25">
      <c r="D32" s="21"/>
      <c r="E32" s="21"/>
      <c r="F32" s="21"/>
      <c r="G32" s="21"/>
      <c r="H32" s="21"/>
      <c r="I32" s="21"/>
      <c r="J32" s="21"/>
    </row>
    <row r="33" spans="3:10" x14ac:dyDescent="0.25">
      <c r="C33" t="s">
        <v>2</v>
      </c>
      <c r="D33" s="21">
        <v>7.0908055832570387</v>
      </c>
      <c r="E33" s="21">
        <v>7.0305005117972676</v>
      </c>
      <c r="F33" s="21">
        <v>6.8192446639105615</v>
      </c>
      <c r="G33" s="21">
        <v>6.8772192033944641</v>
      </c>
      <c r="H33" s="21">
        <v>8.0036312586795226</v>
      </c>
      <c r="I33" s="21">
        <v>6.7722446962961378</v>
      </c>
      <c r="J33" s="21">
        <v>7.1765932268790129</v>
      </c>
    </row>
    <row r="34" spans="3:10" x14ac:dyDescent="0.25">
      <c r="C34" t="s">
        <v>4</v>
      </c>
      <c r="D34" s="21">
        <v>7.5021447576101821</v>
      </c>
      <c r="E34" s="21">
        <v>7.251512261803156</v>
      </c>
      <c r="F34" s="21">
        <v>6.9723451173521322</v>
      </c>
      <c r="G34" s="21">
        <v>6.9449166642801075</v>
      </c>
      <c r="H34" s="21">
        <v>8.12433143681268</v>
      </c>
      <c r="I34" s="21">
        <v>7.1569494660191779</v>
      </c>
      <c r="J34" s="21">
        <v>7.1323597236048855</v>
      </c>
    </row>
    <row r="35" spans="3:10" x14ac:dyDescent="0.25">
      <c r="C35" t="s">
        <v>5</v>
      </c>
      <c r="D35" s="21">
        <v>7.0972838079165008</v>
      </c>
      <c r="E35" s="21">
        <v>6.9867110567769188</v>
      </c>
      <c r="F35" s="21">
        <v>6.8379880127270534</v>
      </c>
      <c r="G35" s="21">
        <v>6.8537543025104544</v>
      </c>
      <c r="H35" s="21">
        <v>8.0259320141430415</v>
      </c>
      <c r="I35" s="21">
        <v>7.1018688329151116</v>
      </c>
      <c r="J35" s="21">
        <v>7.1112808931393827</v>
      </c>
    </row>
    <row r="36" spans="3:10" x14ac:dyDescent="0.25">
      <c r="C36" t="s">
        <v>6</v>
      </c>
      <c r="D36" s="21"/>
      <c r="E36" s="21">
        <v>5.3774737822672085</v>
      </c>
      <c r="F36" s="21">
        <v>5.2974162004615053</v>
      </c>
      <c r="G36" s="21">
        <v>5.4169876376210402</v>
      </c>
      <c r="H36" s="21">
        <v>6.5580667970009303</v>
      </c>
      <c r="I36" s="21">
        <v>6.4844296180162715</v>
      </c>
      <c r="J36" s="21">
        <v>6.405612036109682</v>
      </c>
    </row>
    <row r="37" spans="3:10" x14ac:dyDescent="0.25">
      <c r="C37" t="s">
        <v>7</v>
      </c>
      <c r="D37" s="21"/>
      <c r="E37" s="21">
        <v>5.3970050046151741</v>
      </c>
      <c r="F37" s="21">
        <v>5.3324098509647344</v>
      </c>
      <c r="G37" s="21">
        <v>5.4187196054835205</v>
      </c>
      <c r="H37" s="21">
        <v>6.5656937961846129</v>
      </c>
      <c r="I37" s="21">
        <v>6.4791977958217402</v>
      </c>
      <c r="J37" s="21">
        <v>6.2362372637059256</v>
      </c>
    </row>
    <row r="38" spans="3:10" x14ac:dyDescent="0.25">
      <c r="C38" t="s">
        <v>16</v>
      </c>
      <c r="D38" s="21">
        <v>5.5549882266642729</v>
      </c>
      <c r="E38" s="21">
        <v>5.4679325426865173</v>
      </c>
      <c r="F38" s="21">
        <v>5.4163407333108387</v>
      </c>
      <c r="G38" s="21">
        <v>5.5235372823670712</v>
      </c>
      <c r="H38" s="21">
        <v>7.0022093261391456</v>
      </c>
      <c r="I38" s="21">
        <v>6.3783190914216625</v>
      </c>
      <c r="J38" s="21">
        <v>5.9653353174705224</v>
      </c>
    </row>
    <row r="39" spans="3:10" x14ac:dyDescent="0.25">
      <c r="D39" s="21"/>
      <c r="E39" s="21"/>
      <c r="F39" s="21"/>
      <c r="G39" s="21"/>
      <c r="H39" s="21"/>
      <c r="I39" s="21"/>
      <c r="J39" s="21"/>
    </row>
    <row r="40" spans="3:10" x14ac:dyDescent="0.25">
      <c r="D40" s="21"/>
      <c r="E40" s="21"/>
      <c r="F40" s="21"/>
      <c r="G40" s="21"/>
      <c r="H40" s="21"/>
      <c r="I40" s="21"/>
      <c r="J40" s="21"/>
    </row>
    <row r="41" spans="3:10" x14ac:dyDescent="0.25">
      <c r="D41" s="21"/>
      <c r="E41" s="21"/>
      <c r="F41" s="21"/>
      <c r="G41" s="21"/>
      <c r="H41" s="21"/>
      <c r="I41" s="21"/>
      <c r="J41" s="21"/>
    </row>
    <row r="42" spans="3:10" x14ac:dyDescent="0.25">
      <c r="D42" s="21"/>
      <c r="E42" s="21"/>
      <c r="F42" s="21"/>
      <c r="G42" s="21"/>
      <c r="H42" s="21"/>
      <c r="I42" s="21"/>
      <c r="J42" s="21"/>
    </row>
    <row r="43" spans="3:10" x14ac:dyDescent="0.25">
      <c r="D43" s="21"/>
      <c r="E43" s="21"/>
      <c r="F43" s="21"/>
      <c r="G43" s="21"/>
      <c r="H43" s="21"/>
      <c r="I43" s="21"/>
      <c r="J43" s="21"/>
    </row>
    <row r="44" spans="3:10" x14ac:dyDescent="0.25">
      <c r="D44" s="21"/>
      <c r="E44" s="21"/>
      <c r="F44" s="21"/>
      <c r="G44" s="21"/>
      <c r="H44" s="21"/>
      <c r="I44" s="21"/>
      <c r="J44" s="21"/>
    </row>
    <row r="45" spans="3:10" x14ac:dyDescent="0.25">
      <c r="D45" s="21"/>
      <c r="E45" s="21"/>
      <c r="F45" s="21"/>
      <c r="G45" s="21"/>
      <c r="H45" s="21"/>
      <c r="I45" s="21"/>
      <c r="J45" s="21"/>
    </row>
    <row r="46" spans="3:10" x14ac:dyDescent="0.25">
      <c r="D46" s="21"/>
      <c r="E46" s="21"/>
      <c r="F46" s="21"/>
      <c r="G46" s="21"/>
      <c r="H46" s="21"/>
      <c r="I46" s="21"/>
      <c r="J46" s="21"/>
    </row>
    <row r="47" spans="3:10" x14ac:dyDescent="0.25">
      <c r="D47" s="21"/>
      <c r="E47" s="21"/>
      <c r="F47" s="21"/>
      <c r="G47" s="21"/>
      <c r="H47" s="21"/>
      <c r="I47" s="21"/>
      <c r="J47" s="21"/>
    </row>
    <row r="48" spans="3:10" x14ac:dyDescent="0.25">
      <c r="D48" s="21"/>
      <c r="E48" s="21"/>
      <c r="F48" s="21"/>
      <c r="G48" s="21"/>
      <c r="H48" s="21"/>
      <c r="I48" s="21"/>
      <c r="J48" s="21"/>
    </row>
    <row r="49" spans="4:10" x14ac:dyDescent="0.25">
      <c r="D49" s="21"/>
      <c r="E49" s="21"/>
      <c r="F49" s="21"/>
      <c r="G49" s="21"/>
      <c r="H49" s="21"/>
      <c r="I49" s="21"/>
      <c r="J49" s="21"/>
    </row>
    <row r="50" spans="4:10" x14ac:dyDescent="0.25">
      <c r="D50" s="21"/>
      <c r="E50" s="21"/>
      <c r="F50" s="21"/>
      <c r="G50" s="21"/>
      <c r="H50" s="21"/>
      <c r="I50" s="21"/>
      <c r="J50" s="21"/>
    </row>
    <row r="51" spans="4:10" x14ac:dyDescent="0.25">
      <c r="D51" s="21"/>
      <c r="E51" s="21"/>
      <c r="F51" s="21"/>
      <c r="G51" s="21"/>
      <c r="H51" s="21"/>
      <c r="I51" s="21"/>
      <c r="J51" s="21"/>
    </row>
    <row r="52" spans="4:10" x14ac:dyDescent="0.25">
      <c r="D52" s="21"/>
      <c r="E52" s="21"/>
      <c r="F52" s="21"/>
      <c r="G52" s="21"/>
      <c r="H52" s="21"/>
      <c r="I52" s="21"/>
      <c r="J52" s="21"/>
    </row>
    <row r="53" spans="4:10" x14ac:dyDescent="0.25">
      <c r="D53" s="21"/>
      <c r="E53" s="21"/>
      <c r="F53" s="21"/>
      <c r="G53" s="21"/>
      <c r="H53" s="21"/>
      <c r="I53" s="21"/>
      <c r="J53" s="21"/>
    </row>
    <row r="54" spans="4:10" x14ac:dyDescent="0.25">
      <c r="D54" s="21"/>
      <c r="E54" s="21"/>
      <c r="F54" s="21"/>
      <c r="G54" s="21"/>
      <c r="H54" s="21"/>
      <c r="I54" s="21"/>
      <c r="J54" s="21"/>
    </row>
    <row r="55" spans="4:10" x14ac:dyDescent="0.25">
      <c r="D55" s="21"/>
      <c r="E55" s="21"/>
      <c r="F55" s="21"/>
      <c r="G55" s="21"/>
      <c r="H55" s="21"/>
      <c r="I55" s="21"/>
      <c r="J55" s="21"/>
    </row>
    <row r="56" spans="4:10" x14ac:dyDescent="0.25">
      <c r="D56" s="21"/>
      <c r="E56" s="21"/>
      <c r="F56" s="21"/>
      <c r="G56" s="21"/>
      <c r="H56" s="21"/>
      <c r="I56" s="21"/>
      <c r="J56" s="21"/>
    </row>
    <row r="57" spans="4:10" x14ac:dyDescent="0.25">
      <c r="D57" s="21"/>
      <c r="E57" s="21"/>
      <c r="F57" s="21"/>
      <c r="G57" s="21"/>
      <c r="H57" s="21"/>
      <c r="I57" s="21"/>
      <c r="J57" s="21"/>
    </row>
    <row r="58" spans="4:10" x14ac:dyDescent="0.25">
      <c r="D58" s="21"/>
      <c r="E58" s="21"/>
      <c r="F58" s="21"/>
      <c r="G58" s="21"/>
      <c r="H58" s="21"/>
      <c r="I58" s="21"/>
      <c r="J58" s="21"/>
    </row>
    <row r="59" spans="4:10" x14ac:dyDescent="0.25">
      <c r="D59" s="21"/>
      <c r="E59" s="21"/>
      <c r="F59" s="21"/>
      <c r="G59" s="21"/>
      <c r="H59" s="21"/>
      <c r="I59" s="21"/>
      <c r="J59" s="21"/>
    </row>
    <row r="60" spans="4:10" x14ac:dyDescent="0.25">
      <c r="D60" s="21"/>
      <c r="E60" s="21"/>
      <c r="F60" s="21"/>
      <c r="G60" s="21"/>
      <c r="H60" s="21"/>
      <c r="I60" s="21"/>
      <c r="J60" s="21"/>
    </row>
    <row r="61" spans="4:10" x14ac:dyDescent="0.25">
      <c r="D61" s="21"/>
      <c r="E61" s="21"/>
      <c r="F61" s="21"/>
      <c r="G61" s="21"/>
      <c r="H61" s="21"/>
      <c r="I61" s="21"/>
      <c r="J61" s="21"/>
    </row>
    <row r="62" spans="4:10" x14ac:dyDescent="0.25">
      <c r="D62" s="21"/>
      <c r="E62" s="21"/>
      <c r="F62" s="21"/>
      <c r="G62" s="21"/>
      <c r="H62" s="21"/>
      <c r="I62" s="21"/>
      <c r="J62" s="21"/>
    </row>
    <row r="63" spans="4:10" x14ac:dyDescent="0.25">
      <c r="D63" s="21"/>
      <c r="E63" s="21"/>
      <c r="F63" s="21"/>
      <c r="G63" s="21"/>
      <c r="H63" s="21"/>
      <c r="I63" s="21"/>
      <c r="J63" s="21"/>
    </row>
    <row r="64" spans="4:10" x14ac:dyDescent="0.25">
      <c r="D64" s="21"/>
      <c r="E64" s="21"/>
      <c r="F64" s="21"/>
      <c r="G64" s="21"/>
      <c r="H64" s="21"/>
      <c r="I64" s="21"/>
      <c r="J64" s="21"/>
    </row>
    <row r="65" spans="4:10" x14ac:dyDescent="0.25">
      <c r="D65" s="21"/>
      <c r="E65" s="21"/>
      <c r="F65" s="21"/>
      <c r="G65" s="21"/>
      <c r="H65" s="21"/>
      <c r="I65" s="21"/>
      <c r="J65" s="21"/>
    </row>
    <row r="66" spans="4:10" x14ac:dyDescent="0.25">
      <c r="D66" s="21"/>
      <c r="E66" s="21"/>
      <c r="F66" s="21"/>
      <c r="G66" s="21"/>
      <c r="H66" s="21"/>
      <c r="I66" s="21"/>
      <c r="J66" s="21"/>
    </row>
    <row r="67" spans="4:10" x14ac:dyDescent="0.25">
      <c r="D67" s="21"/>
      <c r="E67" s="21"/>
      <c r="F67" s="21"/>
      <c r="G67" s="21"/>
      <c r="H67" s="21"/>
      <c r="I67" s="21"/>
      <c r="J67" s="21"/>
    </row>
    <row r="68" spans="4:10" x14ac:dyDescent="0.25">
      <c r="D68" s="21"/>
      <c r="E68" s="21"/>
      <c r="F68" s="21"/>
      <c r="G68" s="21"/>
      <c r="H68" s="21"/>
      <c r="I68" s="21"/>
      <c r="J68" s="21"/>
    </row>
    <row r="69" spans="4:10" x14ac:dyDescent="0.25">
      <c r="D69" s="21"/>
      <c r="E69" s="21"/>
      <c r="F69" s="21"/>
      <c r="G69" s="21"/>
      <c r="H69" s="21"/>
      <c r="I69" s="21"/>
      <c r="J69" s="21"/>
    </row>
    <row r="70" spans="4:10" x14ac:dyDescent="0.25">
      <c r="D70" s="21"/>
      <c r="E70" s="21"/>
      <c r="F70" s="21"/>
      <c r="G70" s="21"/>
      <c r="H70" s="21"/>
      <c r="I70" s="21"/>
      <c r="J70" s="21"/>
    </row>
    <row r="71" spans="4:10" x14ac:dyDescent="0.25">
      <c r="D71" s="21"/>
      <c r="E71" s="21"/>
      <c r="F71" s="21"/>
      <c r="G71" s="21"/>
      <c r="H71" s="21"/>
      <c r="I71" s="21"/>
      <c r="J71" s="21"/>
    </row>
    <row r="72" spans="4:10" x14ac:dyDescent="0.25">
      <c r="D72" s="21"/>
      <c r="E72" s="21"/>
      <c r="F72" s="21"/>
      <c r="G72" s="21"/>
      <c r="H72" s="21"/>
      <c r="I72" s="21"/>
      <c r="J72" s="21"/>
    </row>
    <row r="73" spans="4:10" x14ac:dyDescent="0.25">
      <c r="D73" s="21"/>
      <c r="E73" s="21"/>
      <c r="F73" s="21"/>
      <c r="G73" s="21"/>
      <c r="H73" s="21"/>
      <c r="I73" s="21"/>
      <c r="J73" s="21"/>
    </row>
    <row r="74" spans="4:10" x14ac:dyDescent="0.25">
      <c r="D74" s="21"/>
      <c r="E74" s="21"/>
      <c r="F74" s="21"/>
      <c r="G74" s="21"/>
      <c r="H74" s="21"/>
      <c r="I74" s="21"/>
      <c r="J74" s="21"/>
    </row>
    <row r="75" spans="4:10" x14ac:dyDescent="0.25">
      <c r="D75" s="21"/>
      <c r="E75" s="21"/>
      <c r="F75" s="21"/>
      <c r="G75" s="21"/>
      <c r="H75" s="21"/>
      <c r="I75" s="21"/>
      <c r="J75" s="21"/>
    </row>
    <row r="76" spans="4:10" x14ac:dyDescent="0.25">
      <c r="D76" s="21"/>
      <c r="E76" s="21"/>
      <c r="F76" s="21"/>
      <c r="G76" s="21"/>
      <c r="H76" s="21"/>
      <c r="I76" s="21"/>
      <c r="J76" s="21"/>
    </row>
    <row r="77" spans="4:10" x14ac:dyDescent="0.25">
      <c r="D77" s="21"/>
      <c r="E77" s="21"/>
      <c r="F77" s="21"/>
      <c r="G77" s="21"/>
      <c r="H77" s="21"/>
      <c r="I77" s="21"/>
      <c r="J77" s="21"/>
    </row>
    <row r="78" spans="4:10" x14ac:dyDescent="0.25">
      <c r="D78" s="21"/>
      <c r="E78" s="21"/>
      <c r="F78" s="21"/>
      <c r="G78" s="21"/>
      <c r="H78" s="21"/>
      <c r="I78" s="21"/>
      <c r="J78" s="21"/>
    </row>
    <row r="79" spans="4:10" x14ac:dyDescent="0.25">
      <c r="D79" s="21"/>
      <c r="E79" s="21"/>
      <c r="F79" s="21"/>
      <c r="G79" s="21"/>
      <c r="H79" s="21"/>
      <c r="I79" s="21"/>
      <c r="J79" s="21"/>
    </row>
    <row r="80" spans="4:10" x14ac:dyDescent="0.25">
      <c r="D80" s="21"/>
      <c r="E80" s="21"/>
      <c r="F80" s="21"/>
      <c r="G80" s="21"/>
      <c r="H80" s="21"/>
      <c r="I80" s="21"/>
      <c r="J80" s="21"/>
    </row>
    <row r="81" spans="4:10" x14ac:dyDescent="0.25">
      <c r="D81" s="21"/>
      <c r="E81" s="21"/>
      <c r="F81" s="21"/>
      <c r="G81" s="21"/>
      <c r="H81" s="21"/>
      <c r="I81" s="21"/>
      <c r="J81" s="21"/>
    </row>
    <row r="82" spans="4:10" x14ac:dyDescent="0.25">
      <c r="D82" s="21"/>
      <c r="E82" s="21"/>
      <c r="F82" s="21"/>
      <c r="G82" s="21"/>
      <c r="H82" s="21"/>
      <c r="I82" s="21"/>
      <c r="J82" s="21"/>
    </row>
    <row r="83" spans="4:10" x14ac:dyDescent="0.25">
      <c r="D83" s="21"/>
      <c r="E83" s="21"/>
      <c r="F83" s="21"/>
      <c r="G83" s="21"/>
      <c r="H83" s="21"/>
      <c r="I83" s="21"/>
      <c r="J83" s="21"/>
    </row>
    <row r="84" spans="4:10" x14ac:dyDescent="0.25">
      <c r="D84" s="21"/>
      <c r="E84" s="21"/>
      <c r="F84" s="21"/>
      <c r="G84" s="21"/>
      <c r="H84" s="21"/>
      <c r="I84" s="21"/>
      <c r="J84" s="21"/>
    </row>
    <row r="85" spans="4:10" x14ac:dyDescent="0.25">
      <c r="D85" s="21"/>
      <c r="E85" s="21"/>
      <c r="F85" s="21"/>
      <c r="G85" s="21"/>
      <c r="H85" s="21"/>
      <c r="I85" s="21"/>
      <c r="J85" s="21"/>
    </row>
    <row r="86" spans="4:10" x14ac:dyDescent="0.25">
      <c r="D86" s="21"/>
      <c r="E86" s="21"/>
      <c r="F86" s="21"/>
      <c r="G86" s="21"/>
      <c r="H86" s="21"/>
      <c r="I86" s="21"/>
      <c r="J86" s="21"/>
    </row>
    <row r="87" spans="4:10" x14ac:dyDescent="0.25">
      <c r="D87" s="21"/>
      <c r="E87" s="21"/>
      <c r="F87" s="21"/>
      <c r="G87" s="21"/>
      <c r="H87" s="21"/>
      <c r="I87" s="21"/>
      <c r="J87" s="21"/>
    </row>
    <row r="88" spans="4:10" x14ac:dyDescent="0.25">
      <c r="D88" s="21"/>
      <c r="E88" s="21"/>
      <c r="F88" s="21"/>
      <c r="G88" s="21"/>
      <c r="H88" s="21"/>
      <c r="I88" s="21"/>
      <c r="J88" s="21"/>
    </row>
    <row r="89" spans="4:10" x14ac:dyDescent="0.25">
      <c r="D89" s="21"/>
      <c r="E89" s="21"/>
      <c r="F89" s="21"/>
      <c r="G89" s="21"/>
      <c r="H89" s="21"/>
      <c r="I89" s="21"/>
      <c r="J89" s="21"/>
    </row>
    <row r="90" spans="4:10" x14ac:dyDescent="0.25">
      <c r="D90" s="21"/>
      <c r="E90" s="21"/>
      <c r="F90" s="21"/>
      <c r="G90" s="21"/>
      <c r="H90" s="21"/>
      <c r="I90" s="21"/>
      <c r="J90" s="21"/>
    </row>
    <row r="91" spans="4:10" x14ac:dyDescent="0.25">
      <c r="D91" s="21"/>
      <c r="E91" s="21"/>
      <c r="F91" s="21"/>
      <c r="G91" s="21"/>
      <c r="H91" s="21"/>
      <c r="I91" s="21"/>
      <c r="J91" s="21"/>
    </row>
    <row r="92" spans="4:10" x14ac:dyDescent="0.25">
      <c r="D92" s="21"/>
      <c r="E92" s="21"/>
      <c r="F92" s="21"/>
      <c r="G92" s="21"/>
      <c r="H92" s="21"/>
      <c r="I92" s="21"/>
      <c r="J92" s="21"/>
    </row>
    <row r="93" spans="4:10" x14ac:dyDescent="0.25">
      <c r="D93" s="21"/>
      <c r="E93" s="21"/>
      <c r="F93" s="21"/>
      <c r="G93" s="21"/>
      <c r="H93" s="21"/>
      <c r="I93" s="21"/>
      <c r="J93" s="21"/>
    </row>
    <row r="94" spans="4:10" x14ac:dyDescent="0.25">
      <c r="D94" s="21"/>
      <c r="E94" s="21"/>
      <c r="F94" s="21"/>
      <c r="G94" s="21"/>
      <c r="H94" s="21"/>
      <c r="I94" s="21"/>
      <c r="J94" s="21"/>
    </row>
    <row r="95" spans="4:10" x14ac:dyDescent="0.25">
      <c r="D95" s="21"/>
      <c r="E95" s="21"/>
      <c r="F95" s="21"/>
      <c r="G95" s="21"/>
      <c r="H95" s="21"/>
      <c r="I95" s="21"/>
      <c r="J95" s="21"/>
    </row>
    <row r="96" spans="4:10" x14ac:dyDescent="0.25">
      <c r="D96" s="21"/>
      <c r="E96" s="21"/>
      <c r="F96" s="21"/>
      <c r="G96" s="21"/>
      <c r="H96" s="21"/>
      <c r="I96" s="21"/>
      <c r="J96" s="21"/>
    </row>
    <row r="97" spans="4:10" x14ac:dyDescent="0.25">
      <c r="D97" s="21"/>
      <c r="E97" s="21"/>
      <c r="F97" s="21"/>
      <c r="G97" s="21"/>
      <c r="H97" s="21"/>
      <c r="I97" s="21"/>
      <c r="J97" s="21"/>
    </row>
    <row r="98" spans="4:10" x14ac:dyDescent="0.25">
      <c r="D98" s="21"/>
      <c r="E98" s="21"/>
      <c r="F98" s="21"/>
      <c r="G98" s="21"/>
      <c r="H98" s="21"/>
      <c r="I98" s="21"/>
      <c r="J98" s="21"/>
    </row>
    <row r="99" spans="4:10" x14ac:dyDescent="0.25">
      <c r="D99" s="21"/>
      <c r="E99" s="21"/>
      <c r="F99" s="21"/>
      <c r="G99" s="21"/>
      <c r="H99" s="21"/>
      <c r="I99" s="21"/>
      <c r="J99" s="21"/>
    </row>
    <row r="100" spans="4:10" x14ac:dyDescent="0.25">
      <c r="D100" s="21"/>
      <c r="E100" s="21"/>
      <c r="F100" s="21"/>
      <c r="G100" s="21"/>
      <c r="H100" s="21"/>
      <c r="I100" s="21"/>
      <c r="J100" s="21"/>
    </row>
    <row r="101" spans="4:10" x14ac:dyDescent="0.25">
      <c r="D101" s="21"/>
      <c r="E101" s="21"/>
      <c r="F101" s="21"/>
      <c r="G101" s="21"/>
      <c r="H101" s="21"/>
      <c r="I101" s="21"/>
      <c r="J101" s="21"/>
    </row>
    <row r="102" spans="4:10" x14ac:dyDescent="0.25">
      <c r="D102" s="21"/>
      <c r="E102" s="21"/>
      <c r="F102" s="21"/>
      <c r="G102" s="21"/>
      <c r="H102" s="21"/>
      <c r="I102" s="21"/>
      <c r="J102" s="21"/>
    </row>
    <row r="103" spans="4:10" x14ac:dyDescent="0.25">
      <c r="D103" s="21"/>
      <c r="E103" s="21"/>
      <c r="F103" s="21"/>
      <c r="G103" s="21"/>
      <c r="H103" s="21"/>
      <c r="I103" s="21"/>
      <c r="J103" s="21"/>
    </row>
    <row r="104" spans="4:10" x14ac:dyDescent="0.25">
      <c r="D104" s="21"/>
      <c r="E104" s="21"/>
      <c r="F104" s="21"/>
      <c r="G104" s="21"/>
      <c r="H104" s="21"/>
      <c r="I104" s="21"/>
      <c r="J104" s="21"/>
    </row>
    <row r="105" spans="4:10" x14ac:dyDescent="0.25">
      <c r="D105" s="21"/>
      <c r="E105" s="21"/>
      <c r="F105" s="21"/>
      <c r="G105" s="21"/>
      <c r="H105" s="21"/>
      <c r="I105" s="21"/>
      <c r="J105" s="21"/>
    </row>
    <row r="106" spans="4:10" x14ac:dyDescent="0.25">
      <c r="D106" s="21"/>
      <c r="E106" s="21"/>
      <c r="F106" s="21"/>
      <c r="G106" s="21"/>
      <c r="H106" s="21"/>
      <c r="I106" s="21"/>
      <c r="J106" s="21"/>
    </row>
    <row r="107" spans="4:10" x14ac:dyDescent="0.25">
      <c r="D107" s="21"/>
      <c r="E107" s="21"/>
      <c r="F107" s="21"/>
      <c r="G107" s="21"/>
      <c r="H107" s="21"/>
      <c r="I107" s="21"/>
      <c r="J107" s="21"/>
    </row>
    <row r="108" spans="4:10" x14ac:dyDescent="0.25">
      <c r="D108" s="21"/>
      <c r="E108" s="21"/>
      <c r="F108" s="21"/>
      <c r="G108" s="21"/>
      <c r="H108" s="21"/>
      <c r="I108" s="21"/>
      <c r="J108" s="21"/>
    </row>
    <row r="109" spans="4:10" x14ac:dyDescent="0.25">
      <c r="D109" s="21"/>
      <c r="E109" s="21"/>
      <c r="F109" s="21"/>
      <c r="G109" s="21"/>
      <c r="H109" s="21"/>
      <c r="I109" s="21"/>
      <c r="J109" s="21"/>
    </row>
    <row r="110" spans="4:10" x14ac:dyDescent="0.25">
      <c r="D110" s="21"/>
      <c r="E110" s="21"/>
      <c r="F110" s="21"/>
      <c r="G110" s="21"/>
      <c r="H110" s="21"/>
      <c r="I110" s="21"/>
      <c r="J110" s="21"/>
    </row>
    <row r="111" spans="4:10" x14ac:dyDescent="0.25">
      <c r="D111" s="21"/>
      <c r="E111" s="21"/>
      <c r="F111" s="21"/>
      <c r="G111" s="21"/>
      <c r="H111" s="21"/>
      <c r="I111" s="21"/>
      <c r="J111" s="21"/>
    </row>
    <row r="112" spans="4:10" x14ac:dyDescent="0.25">
      <c r="D112" s="21"/>
      <c r="E112" s="21"/>
      <c r="F112" s="21"/>
      <c r="G112" s="21"/>
      <c r="H112" s="21"/>
      <c r="I112" s="21"/>
      <c r="J112" s="21"/>
    </row>
    <row r="113" spans="4:10" x14ac:dyDescent="0.25">
      <c r="D113" s="21"/>
      <c r="E113" s="21"/>
      <c r="F113" s="21"/>
      <c r="G113" s="21"/>
      <c r="H113" s="21"/>
      <c r="I113" s="21"/>
      <c r="J113" s="21"/>
    </row>
    <row r="114" spans="4:10" x14ac:dyDescent="0.25">
      <c r="D114" s="21"/>
      <c r="E114" s="21"/>
      <c r="F114" s="21"/>
      <c r="G114" s="21"/>
      <c r="H114" s="21"/>
      <c r="I114" s="21"/>
      <c r="J114" s="21"/>
    </row>
    <row r="115" spans="4:10" x14ac:dyDescent="0.25">
      <c r="D115" s="21"/>
      <c r="E115" s="21"/>
      <c r="F115" s="21"/>
      <c r="G115" s="21"/>
      <c r="H115" s="21"/>
      <c r="I115" s="21"/>
      <c r="J115" s="21"/>
    </row>
    <row r="116" spans="4:10" x14ac:dyDescent="0.25">
      <c r="D116" s="21"/>
      <c r="E116" s="21"/>
      <c r="F116" s="21"/>
      <c r="G116" s="21"/>
      <c r="H116" s="21"/>
      <c r="I116" s="21"/>
      <c r="J116" s="21"/>
    </row>
    <row r="117" spans="4:10" x14ac:dyDescent="0.25">
      <c r="D117" s="21"/>
      <c r="E117" s="21"/>
      <c r="F117" s="21"/>
      <c r="G117" s="21"/>
      <c r="H117" s="21"/>
      <c r="I117" s="21"/>
      <c r="J117" s="21"/>
    </row>
    <row r="118" spans="4:10" x14ac:dyDescent="0.25">
      <c r="D118" s="21"/>
      <c r="E118" s="21"/>
      <c r="F118" s="21"/>
      <c r="G118" s="21"/>
      <c r="H118" s="21"/>
      <c r="I118" s="21"/>
      <c r="J118" s="21"/>
    </row>
    <row r="119" spans="4:10" x14ac:dyDescent="0.25">
      <c r="D119" s="21"/>
      <c r="E119" s="21"/>
      <c r="F119" s="21"/>
      <c r="G119" s="21"/>
      <c r="H119" s="21"/>
      <c r="I119" s="21"/>
      <c r="J119" s="21"/>
    </row>
    <row r="120" spans="4:10" x14ac:dyDescent="0.25">
      <c r="D120" s="21"/>
      <c r="E120" s="21"/>
      <c r="F120" s="21"/>
      <c r="G120" s="21"/>
      <c r="H120" s="21"/>
      <c r="I120" s="21"/>
      <c r="J120" s="21"/>
    </row>
    <row r="121" spans="4:10" x14ac:dyDescent="0.25">
      <c r="D121" s="21"/>
      <c r="E121" s="21"/>
      <c r="F121" s="21"/>
      <c r="G121" s="21"/>
      <c r="H121" s="21"/>
      <c r="I121" s="21"/>
      <c r="J121" s="21"/>
    </row>
    <row r="122" spans="4:10" x14ac:dyDescent="0.25">
      <c r="D122" s="21"/>
      <c r="E122" s="21"/>
      <c r="F122" s="21"/>
      <c r="G122" s="21"/>
      <c r="H122" s="21"/>
      <c r="I122" s="21"/>
      <c r="J122" s="21"/>
    </row>
    <row r="123" spans="4:10" x14ac:dyDescent="0.25">
      <c r="D123" s="21"/>
      <c r="E123" s="21"/>
      <c r="F123" s="21"/>
      <c r="G123" s="21"/>
      <c r="H123" s="21"/>
      <c r="I123" s="21"/>
      <c r="J123" s="21"/>
    </row>
    <row r="124" spans="4:10" x14ac:dyDescent="0.25">
      <c r="D124" s="21"/>
      <c r="E124" s="21"/>
      <c r="F124" s="21"/>
      <c r="G124" s="21"/>
      <c r="H124" s="21"/>
      <c r="I124" s="21"/>
      <c r="J124" s="21"/>
    </row>
    <row r="125" spans="4:10" x14ac:dyDescent="0.25">
      <c r="D125" s="21"/>
      <c r="E125" s="21"/>
      <c r="F125" s="21"/>
      <c r="G125" s="21"/>
      <c r="H125" s="21"/>
      <c r="I125" s="21"/>
      <c r="J125" s="21"/>
    </row>
    <row r="126" spans="4:10" x14ac:dyDescent="0.25">
      <c r="D126" s="21"/>
      <c r="E126" s="21"/>
      <c r="F126" s="21"/>
      <c r="G126" s="21"/>
      <c r="H126" s="21"/>
      <c r="I126" s="21"/>
      <c r="J126" s="21"/>
    </row>
    <row r="127" spans="4:10" x14ac:dyDescent="0.25">
      <c r="D127" s="21"/>
      <c r="E127" s="21"/>
      <c r="F127" s="21"/>
      <c r="G127" s="21"/>
      <c r="H127" s="21"/>
      <c r="I127" s="21"/>
      <c r="J127" s="21"/>
    </row>
    <row r="128" spans="4:10" x14ac:dyDescent="0.25">
      <c r="D128" s="21"/>
      <c r="E128" s="21"/>
      <c r="F128" s="21"/>
      <c r="G128" s="21"/>
      <c r="H128" s="21"/>
      <c r="I128" s="21"/>
      <c r="J128" s="21"/>
    </row>
    <row r="129" spans="4:10" x14ac:dyDescent="0.25">
      <c r="D129" s="21"/>
      <c r="E129" s="21"/>
      <c r="F129" s="21"/>
      <c r="G129" s="21"/>
      <c r="H129" s="21"/>
      <c r="I129" s="21"/>
      <c r="J129" s="21"/>
    </row>
    <row r="130" spans="4:10" x14ac:dyDescent="0.25">
      <c r="D130" s="21"/>
      <c r="E130" s="21"/>
      <c r="F130" s="21"/>
      <c r="G130" s="21"/>
      <c r="H130" s="21"/>
      <c r="I130" s="21"/>
      <c r="J130" s="21"/>
    </row>
    <row r="131" spans="4:10" x14ac:dyDescent="0.25">
      <c r="D131" s="21"/>
      <c r="E131" s="21"/>
      <c r="F131" s="21"/>
      <c r="G131" s="21"/>
      <c r="H131" s="21"/>
      <c r="I131" s="21"/>
      <c r="J131" s="21"/>
    </row>
    <row r="132" spans="4:10" x14ac:dyDescent="0.25">
      <c r="D132" s="21"/>
      <c r="E132" s="21"/>
      <c r="F132" s="21"/>
      <c r="G132" s="21"/>
      <c r="H132" s="21"/>
      <c r="I132" s="21"/>
      <c r="J132" s="21"/>
    </row>
    <row r="133" spans="4:10" x14ac:dyDescent="0.25">
      <c r="D133" s="21"/>
      <c r="E133" s="21"/>
      <c r="F133" s="21"/>
      <c r="G133" s="21"/>
      <c r="H133" s="21"/>
      <c r="I133" s="21"/>
      <c r="J133" s="21"/>
    </row>
    <row r="134" spans="4:10" x14ac:dyDescent="0.25">
      <c r="D134" s="21"/>
      <c r="E134" s="21"/>
      <c r="F134" s="21"/>
      <c r="G134" s="21"/>
      <c r="H134" s="21"/>
      <c r="I134" s="21"/>
      <c r="J134" s="21"/>
    </row>
    <row r="135" spans="4:10" x14ac:dyDescent="0.25">
      <c r="D135" s="21"/>
      <c r="E135" s="21"/>
      <c r="F135" s="21"/>
      <c r="G135" s="21"/>
      <c r="H135" s="21"/>
      <c r="I135" s="21"/>
      <c r="J135" s="21"/>
    </row>
    <row r="136" spans="4:10" x14ac:dyDescent="0.25">
      <c r="D136" s="21"/>
      <c r="E136" s="21"/>
      <c r="F136" s="21"/>
      <c r="G136" s="21"/>
      <c r="H136" s="21"/>
      <c r="I136" s="21"/>
      <c r="J136" s="21"/>
    </row>
    <row r="137" spans="4:10" x14ac:dyDescent="0.25">
      <c r="D137" s="21"/>
      <c r="E137" s="21"/>
      <c r="F137" s="21"/>
      <c r="G137" s="21"/>
      <c r="H137" s="21"/>
      <c r="I137" s="21"/>
      <c r="J137" s="21"/>
    </row>
    <row r="138" spans="4:10" x14ac:dyDescent="0.25">
      <c r="D138" s="21"/>
      <c r="E138" s="21"/>
      <c r="F138" s="21"/>
      <c r="G138" s="21"/>
      <c r="H138" s="21"/>
      <c r="I138" s="21"/>
      <c r="J138" s="21"/>
    </row>
    <row r="139" spans="4:10" x14ac:dyDescent="0.25">
      <c r="D139" s="21"/>
      <c r="E139" s="21"/>
      <c r="F139" s="21"/>
      <c r="G139" s="21"/>
      <c r="H139" s="21"/>
      <c r="I139" s="21"/>
      <c r="J139" s="21"/>
    </row>
    <row r="140" spans="4:10" x14ac:dyDescent="0.25">
      <c r="D140" s="21"/>
      <c r="E140" s="21"/>
      <c r="F140" s="21"/>
      <c r="G140" s="21"/>
      <c r="H140" s="21"/>
      <c r="I140" s="21"/>
      <c r="J140" s="21"/>
    </row>
    <row r="141" spans="4:10" x14ac:dyDescent="0.25">
      <c r="D141" s="21"/>
      <c r="E141" s="21"/>
      <c r="F141" s="21"/>
      <c r="G141" s="21"/>
      <c r="H141" s="21"/>
      <c r="I141" s="21"/>
      <c r="J141" s="21"/>
    </row>
    <row r="142" spans="4:10" x14ac:dyDescent="0.25">
      <c r="D142" s="21"/>
      <c r="E142" s="21"/>
      <c r="F142" s="21"/>
      <c r="G142" s="21"/>
      <c r="H142" s="21"/>
      <c r="I142" s="21"/>
      <c r="J142" s="21"/>
    </row>
    <row r="143" spans="4:10" x14ac:dyDescent="0.25">
      <c r="D143" s="21"/>
      <c r="E143" s="21"/>
      <c r="F143" s="21"/>
      <c r="G143" s="21"/>
      <c r="H143" s="21"/>
      <c r="I143" s="21"/>
      <c r="J143" s="21"/>
    </row>
    <row r="144" spans="4:10" x14ac:dyDescent="0.25">
      <c r="D144" s="21"/>
      <c r="E144" s="21"/>
      <c r="F144" s="21"/>
      <c r="G144" s="21"/>
      <c r="H144" s="21"/>
      <c r="I144" s="21"/>
      <c r="J144" s="21"/>
    </row>
    <row r="145" spans="4:10" x14ac:dyDescent="0.25">
      <c r="D145" s="21"/>
      <c r="E145" s="21"/>
      <c r="F145" s="21"/>
      <c r="G145" s="21"/>
      <c r="H145" s="21"/>
      <c r="I145" s="21"/>
      <c r="J145" s="21"/>
    </row>
    <row r="146" spans="4:10" x14ac:dyDescent="0.25">
      <c r="D146" s="21"/>
      <c r="E146" s="21"/>
      <c r="F146" s="21"/>
      <c r="G146" s="21"/>
      <c r="H146" s="21"/>
      <c r="I146" s="21"/>
      <c r="J146" s="21"/>
    </row>
    <row r="147" spans="4:10" x14ac:dyDescent="0.25">
      <c r="D147" s="21"/>
      <c r="E147" s="21"/>
      <c r="F147" s="21"/>
      <c r="G147" s="21"/>
      <c r="H147" s="21"/>
      <c r="I147" s="21"/>
      <c r="J147" s="21"/>
    </row>
    <row r="148" spans="4:10" x14ac:dyDescent="0.25">
      <c r="D148" s="21"/>
      <c r="E148" s="21"/>
      <c r="F148" s="21"/>
      <c r="G148" s="21"/>
      <c r="H148" s="21"/>
      <c r="I148" s="21"/>
      <c r="J148" s="21"/>
    </row>
    <row r="149" spans="4:10" x14ac:dyDescent="0.25">
      <c r="D149" s="21"/>
      <c r="E149" s="21"/>
      <c r="F149" s="21"/>
      <c r="G149" s="21"/>
      <c r="H149" s="21"/>
      <c r="I149" s="21"/>
      <c r="J149" s="21"/>
    </row>
    <row r="150" spans="4:10" x14ac:dyDescent="0.25">
      <c r="D150" s="21"/>
      <c r="E150" s="21"/>
      <c r="F150" s="21"/>
      <c r="G150" s="21"/>
      <c r="H150" s="21"/>
      <c r="I150" s="21"/>
      <c r="J150" s="21"/>
    </row>
    <row r="151" spans="4:10" x14ac:dyDescent="0.25">
      <c r="D151" s="21"/>
      <c r="E151" s="21"/>
      <c r="F151" s="21"/>
      <c r="G151" s="21"/>
      <c r="H151" s="21"/>
      <c r="I151" s="21"/>
      <c r="J151" s="21"/>
    </row>
    <row r="152" spans="4:10" x14ac:dyDescent="0.25">
      <c r="D152" s="21"/>
      <c r="E152" s="21"/>
      <c r="F152" s="21"/>
      <c r="G152" s="21"/>
      <c r="H152" s="21"/>
      <c r="I152" s="21"/>
      <c r="J152" s="21"/>
    </row>
    <row r="153" spans="4:10" x14ac:dyDescent="0.25">
      <c r="D153" s="21"/>
      <c r="E153" s="21"/>
      <c r="F153" s="21"/>
      <c r="G153" s="21"/>
      <c r="H153" s="21"/>
      <c r="I153" s="21"/>
      <c r="J153" s="21"/>
    </row>
    <row r="154" spans="4:10" x14ac:dyDescent="0.25">
      <c r="D154" s="21"/>
      <c r="E154" s="21"/>
      <c r="F154" s="21"/>
      <c r="G154" s="21"/>
      <c r="H154" s="21"/>
      <c r="I154" s="21"/>
      <c r="J154" s="21"/>
    </row>
    <row r="155" spans="4:10" x14ac:dyDescent="0.25">
      <c r="D155" s="21"/>
      <c r="E155" s="21"/>
      <c r="F155" s="21"/>
      <c r="G155" s="21"/>
      <c r="H155" s="21"/>
      <c r="I155" s="21"/>
      <c r="J155" s="21"/>
    </row>
    <row r="156" spans="4:10" x14ac:dyDescent="0.25">
      <c r="D156" s="21"/>
      <c r="E156" s="21"/>
      <c r="F156" s="21"/>
      <c r="G156" s="21"/>
      <c r="H156" s="21"/>
      <c r="I156" s="21"/>
      <c r="J156" s="21"/>
    </row>
    <row r="157" spans="4:10" x14ac:dyDescent="0.25">
      <c r="D157" s="21"/>
      <c r="E157" s="21"/>
      <c r="F157" s="21"/>
      <c r="G157" s="21"/>
      <c r="H157" s="21"/>
      <c r="I157" s="21"/>
      <c r="J157" s="21"/>
    </row>
    <row r="158" spans="4:10" x14ac:dyDescent="0.25">
      <c r="D158" s="21"/>
      <c r="E158" s="21"/>
      <c r="F158" s="21"/>
      <c r="G158" s="21"/>
      <c r="H158" s="21"/>
      <c r="I158" s="21"/>
      <c r="J158" s="21"/>
    </row>
    <row r="159" spans="4:10" x14ac:dyDescent="0.25">
      <c r="D159" s="21"/>
      <c r="E159" s="21"/>
      <c r="F159" s="21"/>
      <c r="G159" s="21"/>
      <c r="H159" s="21"/>
      <c r="I159" s="21"/>
      <c r="J159" s="21"/>
    </row>
    <row r="160" spans="4:10" x14ac:dyDescent="0.25">
      <c r="D160" s="21"/>
      <c r="E160" s="21"/>
      <c r="F160" s="21"/>
      <c r="G160" s="21"/>
      <c r="H160" s="21"/>
      <c r="I160" s="21"/>
      <c r="J160" s="21"/>
    </row>
    <row r="161" spans="4:10" x14ac:dyDescent="0.25">
      <c r="D161" s="21"/>
      <c r="E161" s="21"/>
      <c r="F161" s="21"/>
      <c r="G161" s="21"/>
      <c r="H161" s="21"/>
      <c r="I161" s="21"/>
      <c r="J161" s="21"/>
    </row>
    <row r="162" spans="4:10" x14ac:dyDescent="0.25">
      <c r="D162" s="21"/>
      <c r="E162" s="21"/>
      <c r="F162" s="21"/>
      <c r="G162" s="21"/>
      <c r="H162" s="21"/>
      <c r="I162" s="21"/>
      <c r="J162" s="21"/>
    </row>
    <row r="163" spans="4:10" x14ac:dyDescent="0.25">
      <c r="D163" s="21"/>
      <c r="E163" s="21"/>
      <c r="F163" s="21"/>
      <c r="G163" s="21"/>
      <c r="H163" s="21"/>
      <c r="I163" s="21"/>
      <c r="J163" s="21"/>
    </row>
    <row r="164" spans="4:10" x14ac:dyDescent="0.25">
      <c r="D164" s="21"/>
      <c r="E164" s="21"/>
      <c r="F164" s="21"/>
      <c r="G164" s="21"/>
      <c r="H164" s="21"/>
      <c r="I164" s="21"/>
      <c r="J164" s="21"/>
    </row>
    <row r="165" spans="4:10" x14ac:dyDescent="0.25">
      <c r="D165" s="21"/>
      <c r="E165" s="21"/>
      <c r="F165" s="21"/>
      <c r="G165" s="21"/>
      <c r="H165" s="21"/>
      <c r="I165" s="21"/>
      <c r="J165" s="21"/>
    </row>
    <row r="166" spans="4:10" x14ac:dyDescent="0.25">
      <c r="D166" s="21"/>
      <c r="E166" s="21"/>
      <c r="F166" s="21"/>
      <c r="G166" s="21"/>
      <c r="H166" s="21"/>
      <c r="I166" s="21"/>
      <c r="J166" s="21"/>
    </row>
    <row r="167" spans="4:10" x14ac:dyDescent="0.25">
      <c r="D167" s="21"/>
      <c r="E167" s="21"/>
      <c r="F167" s="21"/>
      <c r="G167" s="21"/>
      <c r="H167" s="21"/>
      <c r="I167" s="21"/>
      <c r="J167" s="21"/>
    </row>
    <row r="168" spans="4:10" x14ac:dyDescent="0.25">
      <c r="D168" s="21"/>
      <c r="E168" s="21"/>
      <c r="F168" s="21"/>
      <c r="G168" s="21"/>
      <c r="H168" s="21"/>
      <c r="I168" s="21"/>
      <c r="J168" s="21"/>
    </row>
    <row r="169" spans="4:10" x14ac:dyDescent="0.25">
      <c r="D169" s="21"/>
      <c r="E169" s="21"/>
      <c r="F169" s="21"/>
      <c r="G169" s="21"/>
      <c r="H169" s="21"/>
      <c r="I169" s="21"/>
      <c r="J169" s="21"/>
    </row>
    <row r="170" spans="4:10" x14ac:dyDescent="0.25">
      <c r="D170" s="21"/>
      <c r="E170" s="21"/>
      <c r="F170" s="21"/>
      <c r="G170" s="21"/>
      <c r="H170" s="21"/>
      <c r="I170" s="21"/>
      <c r="J170" s="21"/>
    </row>
    <row r="171" spans="4:10" x14ac:dyDescent="0.25">
      <c r="D171" s="21"/>
      <c r="E171" s="21"/>
      <c r="F171" s="21"/>
      <c r="G171" s="21"/>
      <c r="H171" s="21"/>
      <c r="I171" s="21"/>
      <c r="J171" s="21"/>
    </row>
    <row r="172" spans="4:10" x14ac:dyDescent="0.25">
      <c r="D172" s="21"/>
      <c r="E172" s="21"/>
      <c r="F172" s="21"/>
      <c r="G172" s="21"/>
      <c r="H172" s="21"/>
      <c r="I172" s="21"/>
      <c r="J172" s="21"/>
    </row>
    <row r="173" spans="4:10" x14ac:dyDescent="0.25">
      <c r="D173" s="21"/>
      <c r="E173" s="21"/>
      <c r="F173" s="21"/>
      <c r="G173" s="21"/>
      <c r="H173" s="21"/>
      <c r="I173" s="21"/>
      <c r="J173" s="21"/>
    </row>
    <row r="174" spans="4:10" x14ac:dyDescent="0.25">
      <c r="D174" s="21"/>
      <c r="E174" s="21"/>
      <c r="F174" s="21"/>
      <c r="G174" s="21"/>
      <c r="H174" s="21"/>
      <c r="I174" s="21"/>
      <c r="J174" s="21"/>
    </row>
    <row r="175" spans="4:10" x14ac:dyDescent="0.25">
      <c r="D175" s="21"/>
      <c r="E175" s="21"/>
      <c r="F175" s="21"/>
      <c r="G175" s="21"/>
      <c r="H175" s="21"/>
      <c r="I175" s="21"/>
      <c r="J175" s="21"/>
    </row>
    <row r="176" spans="4:10" x14ac:dyDescent="0.25">
      <c r="D176" s="21"/>
      <c r="E176" s="21"/>
      <c r="F176" s="21"/>
      <c r="G176" s="21"/>
      <c r="H176" s="21"/>
      <c r="I176" s="21"/>
      <c r="J176" s="21"/>
    </row>
    <row r="177" spans="4:10" x14ac:dyDescent="0.25">
      <c r="D177" s="21"/>
      <c r="E177" s="21"/>
      <c r="F177" s="21"/>
      <c r="G177" s="21"/>
      <c r="H177" s="21"/>
      <c r="I177" s="21"/>
      <c r="J177" s="21"/>
    </row>
    <row r="178" spans="4:10" x14ac:dyDescent="0.25">
      <c r="D178" s="21"/>
      <c r="E178" s="21"/>
      <c r="F178" s="21"/>
      <c r="G178" s="21"/>
      <c r="H178" s="21"/>
      <c r="I178" s="21"/>
      <c r="J178" s="21"/>
    </row>
    <row r="179" spans="4:10" x14ac:dyDescent="0.25">
      <c r="D179" s="21"/>
      <c r="E179" s="21"/>
      <c r="F179" s="21"/>
      <c r="G179" s="21"/>
      <c r="H179" s="21"/>
      <c r="I179" s="21"/>
      <c r="J179" s="21"/>
    </row>
    <row r="180" spans="4:10" x14ac:dyDescent="0.25">
      <c r="D180" s="21"/>
      <c r="E180" s="21"/>
      <c r="F180" s="21"/>
      <c r="G180" s="21"/>
      <c r="H180" s="21"/>
      <c r="I180" s="21"/>
      <c r="J180" s="21"/>
    </row>
    <row r="181" spans="4:10" x14ac:dyDescent="0.25">
      <c r="D181" s="21"/>
      <c r="E181" s="21"/>
      <c r="F181" s="21"/>
      <c r="G181" s="21"/>
      <c r="H181" s="21"/>
      <c r="I181" s="21"/>
      <c r="J181" s="21"/>
    </row>
    <row r="182" spans="4:10" x14ac:dyDescent="0.25">
      <c r="D182" s="21"/>
      <c r="E182" s="21"/>
      <c r="F182" s="21"/>
      <c r="G182" s="21"/>
      <c r="H182" s="21"/>
      <c r="I182" s="21"/>
      <c r="J182" s="21"/>
    </row>
    <row r="183" spans="4:10" x14ac:dyDescent="0.25">
      <c r="D183" s="21"/>
      <c r="E183" s="21"/>
      <c r="F183" s="21"/>
      <c r="G183" s="21"/>
      <c r="H183" s="21"/>
      <c r="I183" s="21"/>
      <c r="J183" s="21"/>
    </row>
    <row r="184" spans="4:10" x14ac:dyDescent="0.25">
      <c r="D184" s="21"/>
      <c r="E184" s="21"/>
      <c r="F184" s="21"/>
      <c r="G184" s="21"/>
      <c r="H184" s="21"/>
      <c r="I184" s="21"/>
      <c r="J184" s="21"/>
    </row>
    <row r="185" spans="4:10" x14ac:dyDescent="0.25">
      <c r="D185" s="21"/>
      <c r="E185" s="21"/>
      <c r="F185" s="21"/>
      <c r="G185" s="21"/>
      <c r="H185" s="21"/>
      <c r="I185" s="21"/>
      <c r="J185" s="21"/>
    </row>
    <row r="186" spans="4:10" x14ac:dyDescent="0.25">
      <c r="D186" s="21"/>
      <c r="E186" s="21"/>
      <c r="F186" s="21"/>
      <c r="G186" s="21"/>
      <c r="H186" s="21"/>
      <c r="I186" s="21"/>
      <c r="J186" s="21"/>
    </row>
    <row r="187" spans="4:10" x14ac:dyDescent="0.25">
      <c r="D187" s="21"/>
      <c r="E187" s="21"/>
      <c r="F187" s="21"/>
      <c r="G187" s="21"/>
      <c r="H187" s="21"/>
      <c r="I187" s="21"/>
      <c r="J187" s="21"/>
    </row>
    <row r="188" spans="4:10" x14ac:dyDescent="0.25">
      <c r="D188" s="21"/>
      <c r="E188" s="21"/>
      <c r="F188" s="21"/>
      <c r="G188" s="21"/>
      <c r="H188" s="21"/>
      <c r="I188" s="21"/>
      <c r="J188" s="21"/>
    </row>
    <row r="189" spans="4:10" x14ac:dyDescent="0.25">
      <c r="D189" s="21"/>
      <c r="E189" s="21"/>
      <c r="F189" s="21"/>
      <c r="G189" s="21"/>
      <c r="H189" s="21"/>
      <c r="I189" s="21"/>
      <c r="J189" s="21"/>
    </row>
    <row r="190" spans="4:10" x14ac:dyDescent="0.25">
      <c r="D190" s="21"/>
      <c r="E190" s="21"/>
      <c r="F190" s="21"/>
      <c r="G190" s="21"/>
      <c r="H190" s="21"/>
      <c r="I190" s="21"/>
      <c r="J190" s="21"/>
    </row>
    <row r="191" spans="4:10" x14ac:dyDescent="0.25">
      <c r="D191" s="21"/>
      <c r="E191" s="21"/>
      <c r="F191" s="21"/>
      <c r="G191" s="21"/>
      <c r="H191" s="21"/>
      <c r="I191" s="21"/>
      <c r="J191" s="21"/>
    </row>
    <row r="192" spans="4:10" x14ac:dyDescent="0.25">
      <c r="D192" s="21"/>
      <c r="E192" s="21"/>
      <c r="F192" s="21"/>
      <c r="G192" s="21"/>
      <c r="H192" s="21"/>
      <c r="I192" s="21"/>
      <c r="J192" s="21"/>
    </row>
    <row r="193" spans="4:10" x14ac:dyDescent="0.25">
      <c r="D193" s="21"/>
      <c r="E193" s="21"/>
      <c r="F193" s="21"/>
      <c r="G193" s="21"/>
      <c r="H193" s="21"/>
      <c r="I193" s="21"/>
      <c r="J193" s="21"/>
    </row>
    <row r="194" spans="4:10" x14ac:dyDescent="0.25">
      <c r="D194" s="21"/>
      <c r="E194" s="21"/>
      <c r="F194" s="21"/>
      <c r="G194" s="21"/>
      <c r="H194" s="21"/>
      <c r="I194" s="21"/>
      <c r="J194" s="21"/>
    </row>
    <row r="195" spans="4:10" x14ac:dyDescent="0.25">
      <c r="D195" s="21"/>
      <c r="E195" s="21"/>
      <c r="F195" s="21"/>
      <c r="G195" s="21"/>
      <c r="H195" s="21"/>
      <c r="I195" s="21"/>
      <c r="J195" s="21"/>
    </row>
    <row r="196" spans="4:10" x14ac:dyDescent="0.25">
      <c r="D196" s="21"/>
      <c r="E196" s="21"/>
      <c r="F196" s="21"/>
      <c r="G196" s="21"/>
      <c r="H196" s="21"/>
      <c r="I196" s="21"/>
      <c r="J196" s="21"/>
    </row>
    <row r="197" spans="4:10" x14ac:dyDescent="0.25">
      <c r="D197" s="21"/>
      <c r="E197" s="21"/>
      <c r="F197" s="21"/>
      <c r="G197" s="21"/>
      <c r="H197" s="21"/>
      <c r="I197" s="21"/>
      <c r="J197" s="21"/>
    </row>
    <row r="198" spans="4:10" x14ac:dyDescent="0.25">
      <c r="D198" s="21"/>
      <c r="E198" s="21"/>
      <c r="F198" s="21"/>
      <c r="G198" s="21"/>
      <c r="H198" s="21"/>
      <c r="I198" s="21"/>
      <c r="J198" s="21"/>
    </row>
    <row r="199" spans="4:10" x14ac:dyDescent="0.25">
      <c r="D199" s="21"/>
      <c r="E199" s="21"/>
      <c r="F199" s="21"/>
      <c r="G199" s="21"/>
      <c r="H199" s="21"/>
      <c r="I199" s="21"/>
      <c r="J199" s="21"/>
    </row>
    <row r="200" spans="4:10" x14ac:dyDescent="0.25">
      <c r="D200" s="21"/>
      <c r="E200" s="21"/>
      <c r="F200" s="21"/>
      <c r="G200" s="21"/>
      <c r="H200" s="21"/>
      <c r="I200" s="21"/>
      <c r="J200" s="21"/>
    </row>
    <row r="201" spans="4:10" x14ac:dyDescent="0.25">
      <c r="D201" s="21"/>
      <c r="E201" s="21"/>
      <c r="F201" s="21"/>
      <c r="G201" s="21"/>
      <c r="H201" s="21"/>
      <c r="I201" s="21"/>
      <c r="J201" s="21"/>
    </row>
    <row r="202" spans="4:10" x14ac:dyDescent="0.25">
      <c r="D202" s="21"/>
      <c r="E202" s="21"/>
      <c r="F202" s="21"/>
      <c r="G202" s="21"/>
      <c r="H202" s="21"/>
      <c r="I202" s="21"/>
      <c r="J202" s="21"/>
    </row>
    <row r="203" spans="4:10" x14ac:dyDescent="0.25">
      <c r="D203" s="21"/>
      <c r="E203" s="21"/>
      <c r="F203" s="21"/>
      <c r="G203" s="21"/>
      <c r="H203" s="21"/>
      <c r="I203" s="21"/>
      <c r="J203" s="21"/>
    </row>
    <row r="204" spans="4:10" x14ac:dyDescent="0.25">
      <c r="D204" s="21"/>
      <c r="E204" s="21"/>
      <c r="F204" s="21"/>
      <c r="G204" s="21"/>
      <c r="H204" s="21"/>
      <c r="I204" s="21"/>
      <c r="J204" s="21"/>
    </row>
    <row r="205" spans="4:10" x14ac:dyDescent="0.25">
      <c r="D205" s="21"/>
      <c r="E205" s="21"/>
      <c r="F205" s="21"/>
      <c r="G205" s="21"/>
      <c r="H205" s="21"/>
      <c r="I205" s="21"/>
      <c r="J205" s="21"/>
    </row>
    <row r="206" spans="4:10" x14ac:dyDescent="0.25">
      <c r="D206" s="21"/>
      <c r="E206" s="21"/>
      <c r="F206" s="21"/>
      <c r="G206" s="21"/>
      <c r="H206" s="21"/>
      <c r="I206" s="21"/>
      <c r="J206" s="21"/>
    </row>
    <row r="207" spans="4:10" x14ac:dyDescent="0.25">
      <c r="D207" s="21"/>
      <c r="E207" s="21"/>
      <c r="F207" s="21"/>
      <c r="G207" s="21"/>
      <c r="H207" s="21"/>
      <c r="I207" s="21"/>
      <c r="J207" s="21"/>
    </row>
    <row r="208" spans="4:10" x14ac:dyDescent="0.25">
      <c r="D208" s="21"/>
      <c r="E208" s="21"/>
      <c r="F208" s="21"/>
      <c r="G208" s="21"/>
      <c r="H208" s="21"/>
      <c r="I208" s="21"/>
      <c r="J208" s="21"/>
    </row>
    <row r="209" spans="4:10" x14ac:dyDescent="0.25">
      <c r="D209" s="21"/>
      <c r="E209" s="21"/>
      <c r="F209" s="21"/>
      <c r="G209" s="21"/>
      <c r="H209" s="21"/>
      <c r="I209" s="21"/>
      <c r="J209" s="21"/>
    </row>
    <row r="210" spans="4:10" x14ac:dyDescent="0.25">
      <c r="D210" s="21"/>
      <c r="E210" s="21"/>
      <c r="F210" s="21"/>
      <c r="G210" s="21"/>
      <c r="H210" s="21"/>
      <c r="I210" s="21"/>
      <c r="J210" s="21"/>
    </row>
    <row r="211" spans="4:10" x14ac:dyDescent="0.25">
      <c r="D211" s="21"/>
      <c r="E211" s="21"/>
      <c r="F211" s="21"/>
      <c r="G211" s="21"/>
      <c r="H211" s="21"/>
      <c r="I211" s="21"/>
      <c r="J211" s="21"/>
    </row>
    <row r="212" spans="4:10" x14ac:dyDescent="0.25">
      <c r="D212" s="21"/>
      <c r="E212" s="21"/>
      <c r="F212" s="21"/>
      <c r="G212" s="21"/>
      <c r="H212" s="21"/>
      <c r="I212" s="21"/>
      <c r="J212" s="21"/>
    </row>
    <row r="213" spans="4:10" x14ac:dyDescent="0.25">
      <c r="D213" s="21"/>
      <c r="E213" s="21"/>
      <c r="F213" s="21"/>
      <c r="G213" s="21"/>
      <c r="H213" s="21"/>
      <c r="I213" s="21"/>
      <c r="J213" s="21"/>
    </row>
    <row r="214" spans="4:10" x14ac:dyDescent="0.25">
      <c r="D214" s="21"/>
      <c r="E214" s="21"/>
      <c r="F214" s="21"/>
      <c r="G214" s="21"/>
      <c r="H214" s="21"/>
      <c r="I214" s="21"/>
      <c r="J214" s="21"/>
    </row>
    <row r="215" spans="4:10" x14ac:dyDescent="0.25">
      <c r="D215" s="21"/>
      <c r="E215" s="21"/>
      <c r="F215" s="21"/>
      <c r="G215" s="21"/>
      <c r="H215" s="21"/>
      <c r="I215" s="21"/>
      <c r="J215" s="21"/>
    </row>
    <row r="216" spans="4:10" x14ac:dyDescent="0.25">
      <c r="D216" s="21"/>
      <c r="E216" s="21"/>
      <c r="F216" s="21"/>
      <c r="G216" s="21"/>
      <c r="H216" s="21"/>
      <c r="I216" s="21"/>
      <c r="J216" s="21"/>
    </row>
    <row r="217" spans="4:10" x14ac:dyDescent="0.25">
      <c r="D217" s="21"/>
      <c r="E217" s="21"/>
      <c r="F217" s="21"/>
      <c r="G217" s="21"/>
      <c r="H217" s="21"/>
      <c r="I217" s="21"/>
      <c r="J217" s="21"/>
    </row>
    <row r="218" spans="4:10" x14ac:dyDescent="0.25">
      <c r="D218" s="21"/>
      <c r="E218" s="21"/>
      <c r="F218" s="21"/>
      <c r="G218" s="21"/>
      <c r="H218" s="21"/>
      <c r="I218" s="21"/>
      <c r="J218" s="21"/>
    </row>
    <row r="219" spans="4:10" x14ac:dyDescent="0.25">
      <c r="D219" s="21"/>
      <c r="E219" s="21"/>
      <c r="F219" s="21"/>
      <c r="G219" s="21"/>
      <c r="H219" s="21"/>
      <c r="I219" s="21"/>
      <c r="J219" s="21"/>
    </row>
    <row r="220" spans="4:10" x14ac:dyDescent="0.25">
      <c r="D220" s="21"/>
      <c r="E220" s="21"/>
      <c r="F220" s="21"/>
      <c r="G220" s="21"/>
      <c r="H220" s="21"/>
      <c r="I220" s="21"/>
      <c r="J220" s="21"/>
    </row>
    <row r="221" spans="4:10" x14ac:dyDescent="0.25">
      <c r="D221" s="21"/>
      <c r="E221" s="21"/>
      <c r="F221" s="21"/>
      <c r="G221" s="21"/>
      <c r="H221" s="21"/>
      <c r="I221" s="21"/>
      <c r="J221" s="21"/>
    </row>
    <row r="222" spans="4:10" x14ac:dyDescent="0.25">
      <c r="D222" s="21"/>
      <c r="E222" s="21"/>
      <c r="F222" s="21"/>
      <c r="G222" s="21"/>
      <c r="H222" s="21"/>
      <c r="I222" s="21"/>
      <c r="J222" s="21"/>
    </row>
    <row r="223" spans="4:10" x14ac:dyDescent="0.25">
      <c r="D223" s="21"/>
      <c r="E223" s="21"/>
      <c r="F223" s="21"/>
      <c r="G223" s="21"/>
      <c r="H223" s="21"/>
      <c r="I223" s="21"/>
      <c r="J223" s="21"/>
    </row>
    <row r="224" spans="4:10" x14ac:dyDescent="0.25">
      <c r="D224" s="21"/>
      <c r="E224" s="21"/>
      <c r="F224" s="21"/>
      <c r="G224" s="21"/>
      <c r="H224" s="21"/>
      <c r="I224" s="21"/>
      <c r="J224" s="21"/>
    </row>
    <row r="225" spans="4:10" x14ac:dyDescent="0.25">
      <c r="D225" s="21"/>
      <c r="E225" s="21"/>
      <c r="F225" s="21"/>
      <c r="G225" s="21"/>
      <c r="H225" s="21"/>
      <c r="I225" s="21"/>
      <c r="J225" s="21"/>
    </row>
    <row r="226" spans="4:10" x14ac:dyDescent="0.25">
      <c r="D226" s="21"/>
      <c r="E226" s="21"/>
      <c r="F226" s="21"/>
      <c r="G226" s="21"/>
      <c r="H226" s="21"/>
      <c r="I226" s="21"/>
      <c r="J226" s="21"/>
    </row>
    <row r="227" spans="4:10" x14ac:dyDescent="0.25">
      <c r="D227" s="21"/>
      <c r="E227" s="21"/>
      <c r="F227" s="21"/>
      <c r="G227" s="21"/>
      <c r="H227" s="21"/>
      <c r="I227" s="21"/>
      <c r="J227" s="21"/>
    </row>
    <row r="228" spans="4:10" x14ac:dyDescent="0.25">
      <c r="D228" s="21"/>
      <c r="E228" s="21"/>
      <c r="F228" s="21"/>
      <c r="G228" s="21"/>
      <c r="H228" s="21"/>
      <c r="I228" s="21"/>
      <c r="J228" s="21"/>
    </row>
    <row r="229" spans="4:10" x14ac:dyDescent="0.25">
      <c r="D229" s="21"/>
      <c r="E229" s="21"/>
      <c r="F229" s="21"/>
      <c r="G229" s="21"/>
      <c r="H229" s="21"/>
      <c r="I229" s="21"/>
      <c r="J229" s="21"/>
    </row>
    <row r="230" spans="4:10" x14ac:dyDescent="0.25">
      <c r="D230" s="21"/>
      <c r="E230" s="21"/>
      <c r="F230" s="21"/>
      <c r="G230" s="21"/>
      <c r="H230" s="21"/>
      <c r="I230" s="21"/>
      <c r="J230" s="21"/>
    </row>
    <row r="231" spans="4:10" x14ac:dyDescent="0.25">
      <c r="D231" s="21"/>
      <c r="E231" s="21"/>
      <c r="F231" s="21"/>
      <c r="G231" s="21"/>
      <c r="H231" s="21"/>
      <c r="I231" s="21"/>
      <c r="J231" s="21"/>
    </row>
    <row r="232" spans="4:10" x14ac:dyDescent="0.25">
      <c r="D232" s="21"/>
      <c r="E232" s="21"/>
      <c r="F232" s="21"/>
      <c r="G232" s="21"/>
      <c r="H232" s="21"/>
      <c r="I232" s="21"/>
      <c r="J232" s="21"/>
    </row>
    <row r="233" spans="4:10" x14ac:dyDescent="0.25">
      <c r="D233" s="21"/>
      <c r="E233" s="21"/>
      <c r="F233" s="21"/>
      <c r="G233" s="21"/>
      <c r="H233" s="21"/>
      <c r="I233" s="21"/>
      <c r="J233" s="21"/>
    </row>
    <row r="234" spans="4:10" x14ac:dyDescent="0.25">
      <c r="D234" s="21"/>
      <c r="E234" s="21"/>
      <c r="F234" s="21"/>
      <c r="G234" s="21"/>
      <c r="H234" s="21"/>
      <c r="I234" s="21"/>
      <c r="J234" s="21"/>
    </row>
    <row r="235" spans="4:10" x14ac:dyDescent="0.25">
      <c r="D235" s="21"/>
      <c r="E235" s="21"/>
      <c r="F235" s="21"/>
      <c r="G235" s="21"/>
      <c r="H235" s="21"/>
      <c r="I235" s="21"/>
      <c r="J235" s="21"/>
    </row>
    <row r="236" spans="4:10" x14ac:dyDescent="0.25">
      <c r="D236" s="21"/>
      <c r="E236" s="21"/>
      <c r="F236" s="21"/>
      <c r="G236" s="21"/>
      <c r="H236" s="21"/>
      <c r="I236" s="21"/>
      <c r="J236" s="21"/>
    </row>
    <row r="237" spans="4:10" x14ac:dyDescent="0.25">
      <c r="D237" s="21"/>
      <c r="E237" s="21"/>
      <c r="F237" s="21"/>
      <c r="G237" s="21"/>
      <c r="H237" s="21"/>
      <c r="I237" s="21"/>
      <c r="J237" s="21"/>
    </row>
    <row r="238" spans="4:10" x14ac:dyDescent="0.25">
      <c r="D238" s="21"/>
      <c r="E238" s="21"/>
      <c r="F238" s="21"/>
      <c r="G238" s="21"/>
      <c r="H238" s="21"/>
      <c r="I238" s="21"/>
      <c r="J238" s="21"/>
    </row>
    <row r="239" spans="4:10" x14ac:dyDescent="0.25">
      <c r="D239" s="21"/>
      <c r="E239" s="21"/>
      <c r="F239" s="21"/>
      <c r="G239" s="21"/>
      <c r="H239" s="21"/>
      <c r="I239" s="21"/>
      <c r="J239" s="21"/>
    </row>
    <row r="240" spans="4:10" x14ac:dyDescent="0.25">
      <c r="D240" s="21"/>
      <c r="E240" s="21"/>
      <c r="F240" s="21"/>
      <c r="G240" s="21"/>
      <c r="H240" s="21"/>
      <c r="I240" s="21"/>
      <c r="J240" s="21"/>
    </row>
    <row r="241" spans="4:10" x14ac:dyDescent="0.25">
      <c r="D241" s="21"/>
      <c r="E241" s="21"/>
      <c r="F241" s="21"/>
      <c r="G241" s="21"/>
      <c r="H241" s="21"/>
      <c r="I241" s="21"/>
      <c r="J241" s="21"/>
    </row>
    <row r="242" spans="4:10" x14ac:dyDescent="0.25">
      <c r="D242" s="21"/>
      <c r="E242" s="21"/>
      <c r="F242" s="21"/>
      <c r="G242" s="21"/>
      <c r="H242" s="21"/>
      <c r="I242" s="21"/>
      <c r="J242" s="21"/>
    </row>
    <row r="243" spans="4:10" x14ac:dyDescent="0.25">
      <c r="D243" s="21"/>
      <c r="E243" s="21"/>
      <c r="F243" s="21"/>
      <c r="G243" s="21"/>
      <c r="H243" s="21"/>
      <c r="I243" s="21"/>
      <c r="J243" s="21"/>
    </row>
    <row r="244" spans="4:10" x14ac:dyDescent="0.25">
      <c r="D244" s="21"/>
      <c r="E244" s="21"/>
      <c r="F244" s="21"/>
      <c r="G244" s="21"/>
      <c r="H244" s="21"/>
      <c r="I244" s="21"/>
      <c r="J244" s="21"/>
    </row>
    <row r="245" spans="4:10" x14ac:dyDescent="0.25">
      <c r="D245" s="21"/>
      <c r="E245" s="21"/>
      <c r="F245" s="21"/>
      <c r="G245" s="21"/>
      <c r="H245" s="21"/>
      <c r="I245" s="21"/>
      <c r="J245" s="21"/>
    </row>
    <row r="246" spans="4:10" x14ac:dyDescent="0.25">
      <c r="D246" s="21"/>
      <c r="E246" s="21"/>
      <c r="F246" s="21"/>
      <c r="G246" s="21"/>
      <c r="H246" s="21"/>
      <c r="I246" s="21"/>
      <c r="J246" s="21"/>
    </row>
    <row r="247" spans="4:10" x14ac:dyDescent="0.25">
      <c r="D247" s="21"/>
      <c r="E247" s="21"/>
      <c r="F247" s="21"/>
      <c r="G247" s="21"/>
      <c r="H247" s="21"/>
      <c r="I247" s="21"/>
      <c r="J247" s="21"/>
    </row>
    <row r="248" spans="4:10" x14ac:dyDescent="0.25">
      <c r="D248" s="21"/>
      <c r="E248" s="21"/>
      <c r="F248" s="21"/>
      <c r="G248" s="21"/>
      <c r="H248" s="21"/>
      <c r="I248" s="21"/>
      <c r="J248" s="21"/>
    </row>
    <row r="249" spans="4:10" x14ac:dyDescent="0.25">
      <c r="D249" s="21"/>
      <c r="E249" s="21"/>
      <c r="F249" s="21"/>
      <c r="G249" s="21"/>
      <c r="H249" s="21"/>
      <c r="I249" s="21"/>
      <c r="J249" s="21"/>
    </row>
    <row r="250" spans="4:10" x14ac:dyDescent="0.25">
      <c r="D250" s="21"/>
      <c r="E250" s="21"/>
      <c r="F250" s="21"/>
      <c r="G250" s="21"/>
      <c r="H250" s="21"/>
      <c r="I250" s="21"/>
      <c r="J250" s="21"/>
    </row>
    <row r="251" spans="4:10" x14ac:dyDescent="0.25">
      <c r="D251" s="21"/>
      <c r="E251" s="21"/>
      <c r="F251" s="21"/>
      <c r="G251" s="21"/>
      <c r="H251" s="21"/>
      <c r="I251" s="21"/>
      <c r="J251" s="21"/>
    </row>
    <row r="252" spans="4:10" x14ac:dyDescent="0.25">
      <c r="D252" s="21"/>
      <c r="E252" s="21"/>
      <c r="F252" s="21"/>
      <c r="G252" s="21"/>
      <c r="H252" s="21"/>
      <c r="I252" s="21"/>
      <c r="J252" s="21"/>
    </row>
    <row r="253" spans="4:10" x14ac:dyDescent="0.25">
      <c r="D253" s="21"/>
      <c r="E253" s="21"/>
      <c r="F253" s="21"/>
      <c r="G253" s="21"/>
      <c r="H253" s="21"/>
      <c r="I253" s="21"/>
      <c r="J253" s="21"/>
    </row>
    <row r="254" spans="4:10" x14ac:dyDescent="0.25">
      <c r="D254" s="21"/>
      <c r="E254" s="21"/>
      <c r="F254" s="21"/>
      <c r="G254" s="21"/>
      <c r="H254" s="21"/>
      <c r="I254" s="21"/>
      <c r="J254" s="21"/>
    </row>
    <row r="255" spans="4:10" x14ac:dyDescent="0.25">
      <c r="D255" s="21"/>
      <c r="E255" s="21"/>
      <c r="F255" s="21"/>
      <c r="G255" s="21"/>
      <c r="H255" s="21"/>
      <c r="I255" s="21"/>
      <c r="J255" s="21"/>
    </row>
    <row r="256" spans="4:10" x14ac:dyDescent="0.25">
      <c r="D256" s="21"/>
      <c r="E256" s="21"/>
      <c r="F256" s="21"/>
      <c r="G256" s="21"/>
      <c r="H256" s="21"/>
      <c r="I256" s="21"/>
      <c r="J256" s="21"/>
    </row>
    <row r="257" spans="4:10" x14ac:dyDescent="0.25">
      <c r="D257" s="21"/>
      <c r="E257" s="21"/>
      <c r="F257" s="21"/>
      <c r="G257" s="21"/>
      <c r="H257" s="21"/>
      <c r="I257" s="21"/>
      <c r="J257" s="21"/>
    </row>
    <row r="258" spans="4:10" x14ac:dyDescent="0.25">
      <c r="D258" s="21"/>
      <c r="E258" s="21"/>
      <c r="F258" s="21"/>
      <c r="G258" s="21"/>
      <c r="H258" s="21"/>
      <c r="I258" s="21"/>
      <c r="J258" s="21"/>
    </row>
    <row r="259" spans="4:10" x14ac:dyDescent="0.25">
      <c r="D259" s="21"/>
      <c r="E259" s="21"/>
      <c r="F259" s="21"/>
      <c r="G259" s="21"/>
      <c r="H259" s="21"/>
      <c r="I259" s="21"/>
      <c r="J259" s="21"/>
    </row>
    <row r="260" spans="4:10" x14ac:dyDescent="0.25">
      <c r="D260" s="21"/>
      <c r="E260" s="21"/>
      <c r="F260" s="21"/>
      <c r="G260" s="21"/>
      <c r="H260" s="21"/>
      <c r="I260" s="21"/>
      <c r="J260" s="21"/>
    </row>
    <row r="261" spans="4:10" x14ac:dyDescent="0.25">
      <c r="D261" s="21"/>
      <c r="E261" s="21"/>
      <c r="F261" s="21"/>
      <c r="G261" s="21"/>
      <c r="H261" s="21"/>
      <c r="I261" s="21"/>
      <c r="J261" s="21"/>
    </row>
    <row r="262" spans="4:10" x14ac:dyDescent="0.25">
      <c r="D262" s="21"/>
      <c r="E262" s="21"/>
      <c r="F262" s="21"/>
      <c r="G262" s="21"/>
      <c r="H262" s="21"/>
      <c r="I262" s="21"/>
      <c r="J262" s="21"/>
    </row>
    <row r="263" spans="4:10" x14ac:dyDescent="0.25">
      <c r="D263" s="21"/>
      <c r="E263" s="21"/>
      <c r="F263" s="21"/>
      <c r="G263" s="21"/>
      <c r="H263" s="21"/>
      <c r="I263" s="21"/>
      <c r="J263" s="21"/>
    </row>
    <row r="264" spans="4:10" x14ac:dyDescent="0.25">
      <c r="D264" s="21"/>
      <c r="E264" s="21"/>
      <c r="F264" s="21"/>
      <c r="G264" s="21"/>
      <c r="H264" s="21"/>
      <c r="I264" s="21"/>
      <c r="J264" s="21"/>
    </row>
    <row r="265" spans="4:10" x14ac:dyDescent="0.25">
      <c r="D265" s="21"/>
      <c r="E265" s="21"/>
      <c r="F265" s="21"/>
      <c r="G265" s="21"/>
      <c r="H265" s="21"/>
      <c r="I265" s="21"/>
      <c r="J265" s="21"/>
    </row>
    <row r="266" spans="4:10" x14ac:dyDescent="0.25">
      <c r="D266" s="21"/>
      <c r="E266" s="21"/>
      <c r="F266" s="21"/>
      <c r="G266" s="21"/>
      <c r="H266" s="21"/>
      <c r="I266" s="21"/>
      <c r="J266" s="21"/>
    </row>
    <row r="267" spans="4:10" x14ac:dyDescent="0.25">
      <c r="D267" s="21"/>
      <c r="E267" s="21"/>
      <c r="F267" s="21"/>
      <c r="G267" s="21"/>
      <c r="H267" s="21"/>
      <c r="I267" s="21"/>
      <c r="J267" s="21"/>
    </row>
    <row r="268" spans="4:10" x14ac:dyDescent="0.25">
      <c r="D268" s="21"/>
      <c r="E268" s="21"/>
      <c r="F268" s="21"/>
      <c r="G268" s="21"/>
      <c r="H268" s="21"/>
      <c r="I268" s="21"/>
      <c r="J268" s="21"/>
    </row>
    <row r="269" spans="4:10" x14ac:dyDescent="0.25">
      <c r="D269" s="21"/>
      <c r="E269" s="21"/>
      <c r="F269" s="21"/>
      <c r="G269" s="21"/>
      <c r="H269" s="21"/>
      <c r="I269" s="21"/>
      <c r="J269" s="21"/>
    </row>
    <row r="270" spans="4:10" x14ac:dyDescent="0.25">
      <c r="D270" s="21"/>
      <c r="E270" s="21"/>
      <c r="F270" s="21"/>
      <c r="G270" s="21"/>
      <c r="H270" s="21"/>
      <c r="I270" s="21"/>
      <c r="J270" s="21"/>
    </row>
    <row r="271" spans="4:10" x14ac:dyDescent="0.25">
      <c r="D271" s="21"/>
      <c r="E271" s="21"/>
      <c r="F271" s="21"/>
      <c r="G271" s="21"/>
      <c r="H271" s="21"/>
      <c r="I271" s="21"/>
      <c r="J271" s="21"/>
    </row>
    <row r="272" spans="4:10" x14ac:dyDescent="0.25">
      <c r="D272" s="21"/>
      <c r="E272" s="21"/>
      <c r="F272" s="21"/>
      <c r="G272" s="21"/>
      <c r="H272" s="21"/>
      <c r="I272" s="21"/>
      <c r="J272" s="21"/>
    </row>
    <row r="273" spans="4:10" x14ac:dyDescent="0.25">
      <c r="D273" s="21"/>
      <c r="E273" s="21"/>
      <c r="F273" s="21"/>
      <c r="G273" s="21"/>
      <c r="H273" s="21"/>
      <c r="I273" s="21"/>
      <c r="J273" s="21"/>
    </row>
    <row r="274" spans="4:10" x14ac:dyDescent="0.25">
      <c r="D274" s="21"/>
      <c r="E274" s="21"/>
      <c r="F274" s="21"/>
      <c r="G274" s="21"/>
      <c r="H274" s="21"/>
      <c r="I274" s="21"/>
      <c r="J274" s="21"/>
    </row>
    <row r="275" spans="4:10" x14ac:dyDescent="0.25">
      <c r="D275" s="21"/>
      <c r="E275" s="21"/>
      <c r="F275" s="21"/>
      <c r="G275" s="21"/>
      <c r="H275" s="21"/>
      <c r="I275" s="21"/>
      <c r="J275" s="21"/>
    </row>
    <row r="276" spans="4:10" x14ac:dyDescent="0.25">
      <c r="D276" s="21"/>
      <c r="E276" s="21"/>
      <c r="F276" s="21"/>
      <c r="G276" s="21"/>
      <c r="H276" s="21"/>
      <c r="I276" s="21"/>
      <c r="J276" s="21"/>
    </row>
    <row r="277" spans="4:10" x14ac:dyDescent="0.25">
      <c r="D277" s="21"/>
      <c r="E277" s="21"/>
      <c r="F277" s="21"/>
      <c r="G277" s="21"/>
      <c r="H277" s="21"/>
      <c r="I277" s="21"/>
      <c r="J277" s="21"/>
    </row>
    <row r="278" spans="4:10" x14ac:dyDescent="0.25">
      <c r="D278" s="21"/>
      <c r="E278" s="21"/>
      <c r="F278" s="21"/>
      <c r="G278" s="21"/>
      <c r="H278" s="21"/>
      <c r="I278" s="21"/>
      <c r="J278" s="21"/>
    </row>
    <row r="279" spans="4:10" x14ac:dyDescent="0.25">
      <c r="D279" s="21"/>
      <c r="E279" s="21"/>
      <c r="F279" s="21"/>
      <c r="G279" s="21"/>
      <c r="H279" s="21"/>
      <c r="I279" s="21"/>
      <c r="J279" s="21"/>
    </row>
    <row r="280" spans="4:10" x14ac:dyDescent="0.25">
      <c r="D280" s="21"/>
      <c r="E280" s="21"/>
      <c r="F280" s="21"/>
      <c r="G280" s="21"/>
      <c r="H280" s="21"/>
      <c r="I280" s="21"/>
      <c r="J280" s="21"/>
    </row>
    <row r="281" spans="4:10" x14ac:dyDescent="0.25">
      <c r="D281" s="21"/>
      <c r="E281" s="21"/>
      <c r="F281" s="21"/>
      <c r="G281" s="21"/>
      <c r="H281" s="21"/>
      <c r="I281" s="21"/>
      <c r="J281" s="21"/>
    </row>
    <row r="282" spans="4:10" x14ac:dyDescent="0.25">
      <c r="D282" s="21"/>
      <c r="E282" s="21"/>
      <c r="F282" s="21"/>
      <c r="G282" s="21"/>
      <c r="H282" s="21"/>
      <c r="I282" s="21"/>
      <c r="J282" s="21"/>
    </row>
    <row r="283" spans="4:10" x14ac:dyDescent="0.25">
      <c r="D283" s="21"/>
      <c r="E283" s="21"/>
      <c r="F283" s="21"/>
      <c r="G283" s="21"/>
      <c r="H283" s="21"/>
      <c r="I283" s="21"/>
      <c r="J283" s="21"/>
    </row>
    <row r="284" spans="4:10" x14ac:dyDescent="0.25">
      <c r="D284" s="21"/>
      <c r="E284" s="21"/>
      <c r="F284" s="21"/>
      <c r="G284" s="21"/>
      <c r="H284" s="21"/>
      <c r="I284" s="21"/>
      <c r="J284" s="21"/>
    </row>
    <row r="285" spans="4:10" x14ac:dyDescent="0.25">
      <c r="D285" s="21"/>
      <c r="E285" s="21"/>
      <c r="F285" s="21"/>
      <c r="G285" s="21"/>
      <c r="H285" s="21"/>
      <c r="I285" s="21"/>
      <c r="J285" s="21"/>
    </row>
    <row r="286" spans="4:10" x14ac:dyDescent="0.25">
      <c r="D286" s="21"/>
      <c r="E286" s="21"/>
      <c r="F286" s="21"/>
      <c r="G286" s="21"/>
      <c r="H286" s="21"/>
      <c r="I286" s="21"/>
      <c r="J286" s="21"/>
    </row>
    <row r="287" spans="4:10" x14ac:dyDescent="0.25">
      <c r="D287" s="21"/>
      <c r="E287" s="21"/>
      <c r="F287" s="21"/>
      <c r="G287" s="21"/>
      <c r="H287" s="21"/>
      <c r="I287" s="21"/>
      <c r="J287" s="21"/>
    </row>
    <row r="288" spans="4:10" x14ac:dyDescent="0.25">
      <c r="D288" s="21"/>
      <c r="E288" s="21"/>
      <c r="F288" s="21"/>
      <c r="G288" s="21"/>
      <c r="H288" s="21"/>
      <c r="I288" s="21"/>
      <c r="J288" s="21"/>
    </row>
    <row r="289" spans="4:10" x14ac:dyDescent="0.25">
      <c r="D289" s="21"/>
      <c r="E289" s="21"/>
      <c r="F289" s="21"/>
      <c r="G289" s="21"/>
      <c r="H289" s="21"/>
      <c r="I289" s="21"/>
      <c r="J289" s="21"/>
    </row>
    <row r="290" spans="4:10" x14ac:dyDescent="0.25">
      <c r="D290" s="21"/>
      <c r="E290" s="21"/>
      <c r="F290" s="21"/>
      <c r="G290" s="21"/>
      <c r="H290" s="21"/>
      <c r="I290" s="21"/>
      <c r="J290" s="21"/>
    </row>
    <row r="291" spans="4:10" x14ac:dyDescent="0.25">
      <c r="D291" s="21"/>
      <c r="E291" s="21"/>
      <c r="F291" s="21"/>
      <c r="G291" s="21"/>
      <c r="H291" s="21"/>
      <c r="I291" s="21"/>
      <c r="J291" s="21"/>
    </row>
    <row r="292" spans="4:10" x14ac:dyDescent="0.25">
      <c r="D292" s="21"/>
      <c r="E292" s="21"/>
      <c r="F292" s="21"/>
      <c r="G292" s="21"/>
      <c r="H292" s="21"/>
      <c r="I292" s="21"/>
      <c r="J292" s="21"/>
    </row>
    <row r="293" spans="4:10" x14ac:dyDescent="0.25">
      <c r="D293" s="21"/>
      <c r="E293" s="21"/>
      <c r="F293" s="21"/>
      <c r="G293" s="21"/>
      <c r="H293" s="21"/>
      <c r="I293" s="21"/>
      <c r="J293" s="21"/>
    </row>
    <row r="294" spans="4:10" x14ac:dyDescent="0.25">
      <c r="D294" s="21"/>
      <c r="E294" s="21"/>
      <c r="F294" s="21"/>
      <c r="G294" s="21"/>
      <c r="H294" s="21"/>
      <c r="I294" s="21"/>
      <c r="J294" s="21"/>
    </row>
    <row r="295" spans="4:10" x14ac:dyDescent="0.25">
      <c r="D295" s="21"/>
      <c r="E295" s="21"/>
      <c r="F295" s="21"/>
      <c r="G295" s="21"/>
      <c r="H295" s="21"/>
      <c r="I295" s="21"/>
      <c r="J295" s="21"/>
    </row>
    <row r="296" spans="4:10" x14ac:dyDescent="0.25">
      <c r="D296" s="21"/>
      <c r="E296" s="21"/>
      <c r="F296" s="21"/>
      <c r="G296" s="21"/>
      <c r="H296" s="21"/>
      <c r="I296" s="21"/>
      <c r="J296" s="21"/>
    </row>
    <row r="297" spans="4:10" x14ac:dyDescent="0.25">
      <c r="D297" s="21"/>
      <c r="E297" s="21"/>
      <c r="F297" s="21"/>
      <c r="G297" s="21"/>
      <c r="H297" s="21"/>
      <c r="I297" s="21"/>
      <c r="J297" s="21"/>
    </row>
    <row r="298" spans="4:10" x14ac:dyDescent="0.25">
      <c r="D298" s="21"/>
      <c r="E298" s="21"/>
      <c r="F298" s="21"/>
      <c r="G298" s="21"/>
      <c r="H298" s="21"/>
      <c r="I298" s="21"/>
      <c r="J298" s="21"/>
    </row>
    <row r="299" spans="4:10" x14ac:dyDescent="0.25">
      <c r="D299" s="21"/>
      <c r="E299" s="21"/>
      <c r="F299" s="21"/>
      <c r="G299" s="21"/>
      <c r="H299" s="21"/>
      <c r="I299" s="21"/>
      <c r="J299" s="21"/>
    </row>
    <row r="300" spans="4:10" x14ac:dyDescent="0.25">
      <c r="D300" s="21"/>
      <c r="E300" s="21"/>
      <c r="F300" s="21"/>
      <c r="G300" s="21"/>
      <c r="H300" s="21"/>
      <c r="I300" s="21"/>
      <c r="J300" s="21"/>
    </row>
    <row r="301" spans="4:10" x14ac:dyDescent="0.25">
      <c r="D301" s="21"/>
      <c r="E301" s="21"/>
      <c r="F301" s="21"/>
      <c r="G301" s="21"/>
      <c r="H301" s="21"/>
      <c r="I301" s="21"/>
      <c r="J301" s="21"/>
    </row>
    <row r="302" spans="4:10" x14ac:dyDescent="0.25">
      <c r="D302" s="21"/>
      <c r="E302" s="21"/>
      <c r="F302" s="21"/>
      <c r="G302" s="21"/>
      <c r="H302" s="21"/>
      <c r="I302" s="21"/>
      <c r="J302" s="21"/>
    </row>
    <row r="303" spans="4:10" x14ac:dyDescent="0.25">
      <c r="D303" s="21"/>
      <c r="E303" s="21"/>
      <c r="F303" s="21"/>
      <c r="G303" s="21"/>
      <c r="H303" s="21"/>
      <c r="I303" s="21"/>
      <c r="J303" s="21"/>
    </row>
    <row r="304" spans="4:10" x14ac:dyDescent="0.25">
      <c r="D304" s="21"/>
      <c r="E304" s="21"/>
      <c r="F304" s="21"/>
      <c r="G304" s="21"/>
      <c r="H304" s="21"/>
      <c r="I304" s="21"/>
      <c r="J304" s="21"/>
    </row>
    <row r="305" spans="4:10" x14ac:dyDescent="0.25">
      <c r="D305" s="21"/>
      <c r="E305" s="21"/>
      <c r="F305" s="21"/>
      <c r="G305" s="21"/>
      <c r="H305" s="21"/>
      <c r="I305" s="21"/>
      <c r="J305" s="21"/>
    </row>
    <row r="306" spans="4:10" x14ac:dyDescent="0.25">
      <c r="D306" s="21"/>
      <c r="E306" s="21"/>
      <c r="F306" s="21"/>
      <c r="G306" s="21"/>
      <c r="H306" s="21"/>
      <c r="I306" s="21"/>
      <c r="J306" s="21"/>
    </row>
    <row r="307" spans="4:10" x14ac:dyDescent="0.25">
      <c r="D307" s="21"/>
      <c r="E307" s="21"/>
      <c r="F307" s="21"/>
      <c r="G307" s="21"/>
      <c r="H307" s="21"/>
      <c r="I307" s="21"/>
      <c r="J307" s="21"/>
    </row>
    <row r="308" spans="4:10" x14ac:dyDescent="0.25">
      <c r="D308" s="21"/>
      <c r="E308" s="21"/>
      <c r="F308" s="21"/>
      <c r="G308" s="21"/>
      <c r="H308" s="21"/>
      <c r="I308" s="21"/>
      <c r="J308" s="21"/>
    </row>
    <row r="309" spans="4:10" x14ac:dyDescent="0.25">
      <c r="D309" s="21"/>
      <c r="E309" s="21"/>
      <c r="F309" s="21"/>
      <c r="G309" s="21"/>
      <c r="H309" s="21"/>
      <c r="I309" s="21"/>
      <c r="J309" s="21"/>
    </row>
    <row r="310" spans="4:10" x14ac:dyDescent="0.25">
      <c r="D310" s="21"/>
      <c r="E310" s="21"/>
      <c r="F310" s="21"/>
      <c r="G310" s="21"/>
      <c r="H310" s="21"/>
      <c r="I310" s="21"/>
      <c r="J310" s="21"/>
    </row>
    <row r="311" spans="4:10" x14ac:dyDescent="0.25">
      <c r="D311" s="21"/>
      <c r="E311" s="21"/>
      <c r="F311" s="21"/>
      <c r="G311" s="21"/>
      <c r="H311" s="21"/>
      <c r="I311" s="21"/>
      <c r="J311" s="21"/>
    </row>
    <row r="312" spans="4:10" x14ac:dyDescent="0.25">
      <c r="D312" s="21"/>
      <c r="E312" s="21"/>
      <c r="F312" s="21"/>
      <c r="G312" s="21"/>
      <c r="H312" s="21"/>
      <c r="I312" s="21"/>
      <c r="J312" s="21"/>
    </row>
    <row r="313" spans="4:10" x14ac:dyDescent="0.25">
      <c r="D313" s="21"/>
      <c r="E313" s="21"/>
      <c r="F313" s="21"/>
      <c r="G313" s="21"/>
      <c r="H313" s="21"/>
      <c r="I313" s="21"/>
      <c r="J313" s="21"/>
    </row>
    <row r="314" spans="4:10" x14ac:dyDescent="0.25">
      <c r="D314" s="21"/>
      <c r="E314" s="21"/>
      <c r="F314" s="21"/>
      <c r="G314" s="21"/>
      <c r="H314" s="21"/>
      <c r="I314" s="21"/>
      <c r="J314" s="21"/>
    </row>
    <row r="315" spans="4:10" x14ac:dyDescent="0.25">
      <c r="D315" s="21"/>
      <c r="E315" s="21"/>
      <c r="F315" s="21"/>
      <c r="G315" s="21"/>
      <c r="H315" s="21"/>
      <c r="I315" s="21"/>
      <c r="J315" s="21"/>
    </row>
    <row r="316" spans="4:10" x14ac:dyDescent="0.25">
      <c r="D316" s="21"/>
      <c r="E316" s="21"/>
      <c r="F316" s="21"/>
      <c r="G316" s="21"/>
      <c r="H316" s="21"/>
      <c r="I316" s="21"/>
      <c r="J316" s="21"/>
    </row>
    <row r="317" spans="4:10" x14ac:dyDescent="0.25">
      <c r="D317" s="21"/>
      <c r="E317" s="21"/>
      <c r="F317" s="21"/>
      <c r="G317" s="21"/>
      <c r="H317" s="21"/>
      <c r="I317" s="21"/>
      <c r="J317" s="21"/>
    </row>
    <row r="318" spans="4:10" x14ac:dyDescent="0.25">
      <c r="D318" s="21"/>
      <c r="E318" s="21"/>
      <c r="F318" s="21"/>
      <c r="G318" s="21"/>
      <c r="H318" s="21"/>
      <c r="I318" s="21"/>
      <c r="J318" s="21"/>
    </row>
    <row r="319" spans="4:10" x14ac:dyDescent="0.25">
      <c r="D319" s="21"/>
      <c r="E319" s="21"/>
      <c r="F319" s="21"/>
      <c r="G319" s="21"/>
      <c r="H319" s="21"/>
      <c r="I319" s="21"/>
      <c r="J319" s="21"/>
    </row>
    <row r="320" spans="4:10" x14ac:dyDescent="0.25">
      <c r="D320" s="21"/>
      <c r="E320" s="21"/>
      <c r="F320" s="21"/>
      <c r="G320" s="21"/>
      <c r="H320" s="21"/>
      <c r="I320" s="21"/>
      <c r="J320" s="21"/>
    </row>
    <row r="321" spans="4:10" x14ac:dyDescent="0.25">
      <c r="D321" s="21"/>
      <c r="E321" s="21"/>
      <c r="F321" s="21"/>
      <c r="G321" s="21"/>
      <c r="H321" s="21"/>
      <c r="I321" s="21"/>
      <c r="J321" s="21"/>
    </row>
    <row r="322" spans="4:10" x14ac:dyDescent="0.25">
      <c r="D322" s="21"/>
      <c r="E322" s="21"/>
      <c r="F322" s="21"/>
      <c r="G322" s="21"/>
      <c r="H322" s="21"/>
      <c r="I322" s="21"/>
      <c r="J322" s="21"/>
    </row>
    <row r="323" spans="4:10" x14ac:dyDescent="0.25">
      <c r="D323" s="21"/>
      <c r="E323" s="21"/>
      <c r="F323" s="21"/>
      <c r="G323" s="21"/>
      <c r="H323" s="21"/>
      <c r="I323" s="21"/>
      <c r="J323" s="21"/>
    </row>
    <row r="324" spans="4:10" x14ac:dyDescent="0.25">
      <c r="D324" s="21"/>
      <c r="E324" s="21"/>
      <c r="F324" s="21"/>
      <c r="G324" s="21"/>
      <c r="H324" s="21"/>
      <c r="I324" s="21"/>
      <c r="J324" s="21"/>
    </row>
    <row r="325" spans="4:10" x14ac:dyDescent="0.25">
      <c r="D325" s="21"/>
      <c r="E325" s="21"/>
      <c r="F325" s="21"/>
      <c r="G325" s="21"/>
      <c r="H325" s="21"/>
      <c r="I325" s="21"/>
      <c r="J325" s="21"/>
    </row>
    <row r="326" spans="4:10" x14ac:dyDescent="0.25">
      <c r="D326" s="21"/>
      <c r="E326" s="21"/>
      <c r="F326" s="21"/>
      <c r="G326" s="21"/>
      <c r="H326" s="21"/>
      <c r="I326" s="21"/>
      <c r="J326" s="21"/>
    </row>
    <row r="327" spans="4:10" x14ac:dyDescent="0.25">
      <c r="D327" s="21"/>
      <c r="E327" s="21"/>
      <c r="F327" s="21"/>
      <c r="G327" s="21"/>
      <c r="H327" s="21"/>
      <c r="I327" s="21"/>
      <c r="J327" s="21"/>
    </row>
    <row r="328" spans="4:10" x14ac:dyDescent="0.25">
      <c r="D328" s="21"/>
      <c r="E328" s="21"/>
      <c r="F328" s="21"/>
      <c r="G328" s="21"/>
      <c r="H328" s="21"/>
      <c r="I328" s="21"/>
      <c r="J328" s="21"/>
    </row>
    <row r="329" spans="4:10" x14ac:dyDescent="0.25">
      <c r="D329" s="21"/>
      <c r="E329" s="21"/>
      <c r="F329" s="21"/>
      <c r="G329" s="21"/>
      <c r="H329" s="21"/>
      <c r="I329" s="21"/>
      <c r="J329" s="21"/>
    </row>
    <row r="330" spans="4:10" x14ac:dyDescent="0.25">
      <c r="D330" s="21"/>
      <c r="E330" s="21"/>
      <c r="F330" s="21"/>
      <c r="G330" s="21"/>
      <c r="H330" s="21"/>
      <c r="I330" s="21"/>
      <c r="J330" s="21"/>
    </row>
    <row r="331" spans="4:10" x14ac:dyDescent="0.25">
      <c r="D331" s="21"/>
      <c r="E331" s="21"/>
      <c r="F331" s="21"/>
      <c r="G331" s="21"/>
      <c r="H331" s="21"/>
      <c r="I331" s="21"/>
      <c r="J331" s="21"/>
    </row>
    <row r="332" spans="4:10" x14ac:dyDescent="0.25">
      <c r="D332" s="21"/>
      <c r="E332" s="21"/>
      <c r="F332" s="21"/>
      <c r="G332" s="21"/>
      <c r="H332" s="21"/>
      <c r="I332" s="21"/>
      <c r="J332" s="21"/>
    </row>
    <row r="333" spans="4:10" x14ac:dyDescent="0.25">
      <c r="D333" s="21"/>
      <c r="E333" s="21"/>
      <c r="F333" s="21"/>
      <c r="G333" s="21"/>
      <c r="H333" s="21"/>
      <c r="I333" s="21"/>
      <c r="J333" s="21"/>
    </row>
    <row r="334" spans="4:10" x14ac:dyDescent="0.25">
      <c r="D334" s="21"/>
      <c r="E334" s="21"/>
      <c r="F334" s="21"/>
      <c r="G334" s="21"/>
      <c r="H334" s="21"/>
      <c r="I334" s="21"/>
      <c r="J334" s="21"/>
    </row>
    <row r="335" spans="4:10" x14ac:dyDescent="0.25">
      <c r="D335" s="21"/>
      <c r="E335" s="21"/>
      <c r="F335" s="21"/>
      <c r="G335" s="21"/>
      <c r="H335" s="21"/>
      <c r="I335" s="21"/>
      <c r="J335" s="21"/>
    </row>
    <row r="336" spans="4:10" x14ac:dyDescent="0.25">
      <c r="D336" s="21"/>
      <c r="E336" s="21"/>
      <c r="F336" s="21"/>
      <c r="G336" s="21"/>
      <c r="H336" s="21"/>
      <c r="I336" s="21"/>
      <c r="J336" s="21"/>
    </row>
    <row r="337" spans="4:10" x14ac:dyDescent="0.25">
      <c r="D337" s="21"/>
      <c r="E337" s="21"/>
      <c r="F337" s="21"/>
      <c r="G337" s="21"/>
      <c r="H337" s="21"/>
      <c r="I337" s="21"/>
      <c r="J337" s="21"/>
    </row>
    <row r="338" spans="4:10" x14ac:dyDescent="0.25">
      <c r="D338" s="21"/>
      <c r="E338" s="21"/>
      <c r="F338" s="21"/>
      <c r="G338" s="21"/>
      <c r="H338" s="21"/>
      <c r="I338" s="21"/>
      <c r="J338" s="21"/>
    </row>
    <row r="339" spans="4:10" x14ac:dyDescent="0.25">
      <c r="D339" s="21"/>
      <c r="E339" s="21"/>
      <c r="F339" s="21"/>
      <c r="G339" s="21"/>
      <c r="H339" s="21"/>
      <c r="I339" s="21"/>
      <c r="J339" s="21"/>
    </row>
    <row r="340" spans="4:10" x14ac:dyDescent="0.25">
      <c r="D340" s="21"/>
      <c r="E340" s="21"/>
      <c r="F340" s="21"/>
      <c r="G340" s="21"/>
      <c r="H340" s="21"/>
      <c r="I340" s="21"/>
      <c r="J340" s="21"/>
    </row>
    <row r="341" spans="4:10" x14ac:dyDescent="0.25">
      <c r="D341" s="21"/>
      <c r="E341" s="21"/>
      <c r="F341" s="21"/>
      <c r="G341" s="21"/>
      <c r="H341" s="21"/>
      <c r="I341" s="21"/>
      <c r="J341" s="21"/>
    </row>
    <row r="342" spans="4:10" x14ac:dyDescent="0.25">
      <c r="D342" s="21"/>
      <c r="E342" s="21"/>
      <c r="F342" s="21"/>
      <c r="G342" s="21"/>
      <c r="H342" s="21"/>
      <c r="I342" s="21"/>
      <c r="J342" s="21"/>
    </row>
    <row r="343" spans="4:10" x14ac:dyDescent="0.25">
      <c r="D343" s="21"/>
      <c r="E343" s="21"/>
      <c r="F343" s="21"/>
      <c r="G343" s="21"/>
      <c r="H343" s="21"/>
      <c r="I343" s="21"/>
      <c r="J343" s="21"/>
    </row>
    <row r="344" spans="4:10" x14ac:dyDescent="0.25">
      <c r="D344" s="21"/>
      <c r="E344" s="21"/>
      <c r="F344" s="21"/>
      <c r="G344" s="21"/>
      <c r="H344" s="21"/>
      <c r="I344" s="21"/>
      <c r="J344" s="21"/>
    </row>
    <row r="345" spans="4:10" x14ac:dyDescent="0.25">
      <c r="D345" s="21"/>
      <c r="E345" s="21"/>
      <c r="F345" s="21"/>
      <c r="G345" s="21"/>
      <c r="H345" s="21"/>
      <c r="I345" s="21"/>
      <c r="J345" s="21"/>
    </row>
    <row r="346" spans="4:10" x14ac:dyDescent="0.25">
      <c r="D346" s="21"/>
      <c r="E346" s="21"/>
      <c r="F346" s="21"/>
      <c r="G346" s="21"/>
      <c r="H346" s="21"/>
      <c r="I346" s="21"/>
      <c r="J346" s="21"/>
    </row>
    <row r="347" spans="4:10" x14ac:dyDescent="0.25">
      <c r="D347" s="21"/>
      <c r="E347" s="21"/>
      <c r="F347" s="21"/>
      <c r="G347" s="21"/>
      <c r="H347" s="21"/>
      <c r="I347" s="21"/>
      <c r="J347" s="21"/>
    </row>
    <row r="348" spans="4:10" x14ac:dyDescent="0.25">
      <c r="D348" s="21"/>
      <c r="E348" s="21"/>
      <c r="F348" s="21"/>
      <c r="G348" s="21"/>
      <c r="H348" s="21"/>
      <c r="I348" s="21"/>
      <c r="J348" s="21"/>
    </row>
    <row r="349" spans="4:10" x14ac:dyDescent="0.25">
      <c r="D349" s="21"/>
      <c r="E349" s="21"/>
      <c r="F349" s="21"/>
      <c r="G349" s="21"/>
      <c r="H349" s="21"/>
      <c r="I349" s="21"/>
      <c r="J349" s="21"/>
    </row>
    <row r="350" spans="4:10" x14ac:dyDescent="0.25">
      <c r="D350" s="21"/>
      <c r="E350" s="21"/>
      <c r="F350" s="21"/>
      <c r="G350" s="21"/>
      <c r="H350" s="21"/>
      <c r="I350" s="21"/>
      <c r="J350" s="21"/>
    </row>
    <row r="351" spans="4:10" x14ac:dyDescent="0.25">
      <c r="D351" s="21"/>
      <c r="E351" s="21"/>
      <c r="F351" s="21"/>
      <c r="G351" s="21"/>
      <c r="H351" s="21"/>
      <c r="I351" s="21"/>
      <c r="J351" s="21"/>
    </row>
    <row r="352" spans="4:10" x14ac:dyDescent="0.25">
      <c r="D352" s="21"/>
      <c r="E352" s="21"/>
      <c r="F352" s="21"/>
      <c r="G352" s="21"/>
      <c r="H352" s="21"/>
      <c r="I352" s="21"/>
      <c r="J352" s="21"/>
    </row>
    <row r="353" spans="4:10" x14ac:dyDescent="0.25">
      <c r="D353" s="21"/>
      <c r="E353" s="21"/>
      <c r="F353" s="21"/>
      <c r="G353" s="21"/>
      <c r="H353" s="21"/>
      <c r="I353" s="21"/>
      <c r="J353" s="21"/>
    </row>
    <row r="354" spans="4:10" x14ac:dyDescent="0.25">
      <c r="D354" s="21"/>
      <c r="E354" s="21"/>
      <c r="F354" s="21"/>
      <c r="G354" s="21"/>
      <c r="H354" s="21"/>
      <c r="I354" s="21"/>
      <c r="J354" s="21"/>
    </row>
    <row r="355" spans="4:10" x14ac:dyDescent="0.25">
      <c r="D355" s="21"/>
      <c r="E355" s="21"/>
      <c r="F355" s="21"/>
      <c r="G355" s="21"/>
      <c r="H355" s="21"/>
      <c r="I355" s="21"/>
      <c r="J355" s="21"/>
    </row>
    <row r="356" spans="4:10" x14ac:dyDescent="0.25">
      <c r="D356" s="21"/>
      <c r="E356" s="21"/>
      <c r="F356" s="21"/>
      <c r="G356" s="21"/>
      <c r="H356" s="21"/>
      <c r="I356" s="21"/>
      <c r="J356" s="21"/>
    </row>
    <row r="357" spans="4:10" x14ac:dyDescent="0.25">
      <c r="D357" s="21"/>
      <c r="E357" s="21"/>
      <c r="F357" s="21"/>
      <c r="G357" s="21"/>
      <c r="H357" s="21"/>
      <c r="I357" s="21"/>
      <c r="J357" s="21"/>
    </row>
    <row r="358" spans="4:10" x14ac:dyDescent="0.25">
      <c r="D358" s="21"/>
      <c r="E358" s="21"/>
      <c r="F358" s="21"/>
      <c r="G358" s="21"/>
      <c r="H358" s="21"/>
      <c r="I358" s="21"/>
      <c r="J358" s="21"/>
    </row>
    <row r="359" spans="4:10" x14ac:dyDescent="0.25">
      <c r="D359" s="21"/>
      <c r="E359" s="21"/>
      <c r="F359" s="21"/>
      <c r="G359" s="21"/>
      <c r="H359" s="21"/>
      <c r="I359" s="21"/>
      <c r="J359" s="21"/>
    </row>
    <row r="360" spans="4:10" x14ac:dyDescent="0.25">
      <c r="D360" s="21"/>
      <c r="E360" s="21"/>
      <c r="F360" s="21"/>
      <c r="G360" s="21"/>
      <c r="H360" s="21"/>
      <c r="I360" s="21"/>
      <c r="J360" s="21"/>
    </row>
    <row r="361" spans="4:10" x14ac:dyDescent="0.25">
      <c r="D361" s="21"/>
      <c r="E361" s="21"/>
      <c r="F361" s="21"/>
      <c r="G361" s="21"/>
      <c r="H361" s="21"/>
      <c r="I361" s="21"/>
      <c r="J361" s="21"/>
    </row>
    <row r="362" spans="4:10" x14ac:dyDescent="0.25">
      <c r="D362" s="21"/>
      <c r="E362" s="21"/>
      <c r="F362" s="21"/>
      <c r="G362" s="21"/>
      <c r="H362" s="21"/>
      <c r="I362" s="21"/>
      <c r="J362" s="21"/>
    </row>
    <row r="363" spans="4:10" x14ac:dyDescent="0.25">
      <c r="D363" s="21"/>
      <c r="E363" s="21"/>
      <c r="F363" s="21"/>
      <c r="G363" s="21"/>
      <c r="H363" s="21"/>
      <c r="I363" s="21"/>
      <c r="J363" s="21"/>
    </row>
    <row r="364" spans="4:10" x14ac:dyDescent="0.25">
      <c r="D364" s="21"/>
      <c r="E364" s="21"/>
      <c r="F364" s="21"/>
      <c r="G364" s="21"/>
      <c r="H364" s="21"/>
      <c r="I364" s="21"/>
      <c r="J364" s="21"/>
    </row>
    <row r="365" spans="4:10" x14ac:dyDescent="0.25">
      <c r="D365" s="21"/>
      <c r="E365" s="21"/>
      <c r="F365" s="21"/>
      <c r="G365" s="21"/>
      <c r="H365" s="21"/>
      <c r="I365" s="21"/>
      <c r="J365" s="21"/>
    </row>
    <row r="366" spans="4:10" x14ac:dyDescent="0.25">
      <c r="D366" s="21"/>
      <c r="E366" s="21"/>
      <c r="F366" s="21"/>
      <c r="G366" s="21"/>
      <c r="H366" s="21"/>
      <c r="I366" s="21"/>
      <c r="J366" s="21"/>
    </row>
    <row r="367" spans="4:10" x14ac:dyDescent="0.25">
      <c r="D367" s="21"/>
      <c r="E367" s="21"/>
      <c r="F367" s="21"/>
      <c r="G367" s="21"/>
      <c r="H367" s="21"/>
      <c r="I367" s="21"/>
      <c r="J367" s="21"/>
    </row>
    <row r="368" spans="4:10" x14ac:dyDescent="0.25">
      <c r="D368" s="21"/>
      <c r="E368" s="21"/>
      <c r="F368" s="21"/>
      <c r="G368" s="21"/>
      <c r="H368" s="21"/>
      <c r="I368" s="21"/>
      <c r="J368" s="21"/>
    </row>
    <row r="369" spans="4:10" x14ac:dyDescent="0.25">
      <c r="D369" s="21"/>
      <c r="E369" s="21"/>
      <c r="F369" s="21"/>
      <c r="G369" s="21"/>
      <c r="H369" s="21"/>
      <c r="I369" s="21"/>
      <c r="J369" s="21"/>
    </row>
    <row r="370" spans="4:10" x14ac:dyDescent="0.25">
      <c r="D370" s="21"/>
      <c r="E370" s="21"/>
      <c r="F370" s="21"/>
      <c r="G370" s="21"/>
      <c r="H370" s="21"/>
      <c r="I370" s="21"/>
      <c r="J370" s="21"/>
    </row>
    <row r="371" spans="4:10" x14ac:dyDescent="0.25">
      <c r="D371" s="21"/>
      <c r="E371" s="21"/>
      <c r="F371" s="21"/>
      <c r="G371" s="21"/>
      <c r="H371" s="21"/>
      <c r="I371" s="21"/>
      <c r="J371" s="21"/>
    </row>
    <row r="372" spans="4:10" x14ac:dyDescent="0.25">
      <c r="D372" s="21"/>
      <c r="E372" s="21"/>
      <c r="F372" s="21"/>
      <c r="G372" s="21"/>
      <c r="H372" s="21"/>
      <c r="I372" s="21"/>
      <c r="J372" s="21"/>
    </row>
    <row r="373" spans="4:10" x14ac:dyDescent="0.25">
      <c r="D373" s="21"/>
      <c r="E373" s="21"/>
      <c r="F373" s="21"/>
      <c r="G373" s="21"/>
      <c r="H373" s="21"/>
      <c r="I373" s="21"/>
      <c r="J373" s="21"/>
    </row>
    <row r="374" spans="4:10" x14ac:dyDescent="0.25">
      <c r="D374" s="21"/>
      <c r="E374" s="21"/>
      <c r="F374" s="21"/>
      <c r="G374" s="21"/>
      <c r="H374" s="21"/>
      <c r="I374" s="21"/>
      <c r="J374" s="21"/>
    </row>
    <row r="375" spans="4:10" x14ac:dyDescent="0.25">
      <c r="D375" s="21"/>
      <c r="E375" s="21"/>
      <c r="F375" s="21"/>
      <c r="G375" s="21"/>
      <c r="H375" s="21"/>
      <c r="I375" s="21"/>
      <c r="J375" s="21"/>
    </row>
    <row r="376" spans="4:10" x14ac:dyDescent="0.25">
      <c r="D376" s="21"/>
      <c r="E376" s="21"/>
      <c r="F376" s="21"/>
      <c r="G376" s="21"/>
      <c r="H376" s="21"/>
      <c r="I376" s="21"/>
      <c r="J376" s="21"/>
    </row>
    <row r="377" spans="4:10" x14ac:dyDescent="0.25">
      <c r="D377" s="21"/>
      <c r="E377" s="21"/>
      <c r="F377" s="21"/>
      <c r="G377" s="21"/>
      <c r="H377" s="21"/>
      <c r="I377" s="21"/>
      <c r="J377" s="21"/>
    </row>
    <row r="378" spans="4:10" x14ac:dyDescent="0.25">
      <c r="D378" s="21"/>
      <c r="E378" s="21"/>
      <c r="F378" s="21"/>
      <c r="G378" s="21"/>
      <c r="H378" s="21"/>
      <c r="I378" s="21"/>
      <c r="J378" s="21"/>
    </row>
    <row r="379" spans="4:10" x14ac:dyDescent="0.25">
      <c r="D379" s="21"/>
      <c r="E379" s="21"/>
      <c r="F379" s="21"/>
      <c r="G379" s="21"/>
      <c r="H379" s="21"/>
      <c r="I379" s="21"/>
      <c r="J379" s="21"/>
    </row>
    <row r="380" spans="4:10" x14ac:dyDescent="0.25">
      <c r="D380" s="21"/>
      <c r="E380" s="21"/>
      <c r="F380" s="21"/>
      <c r="G380" s="21"/>
      <c r="H380" s="21"/>
      <c r="I380" s="21"/>
      <c r="J380" s="21"/>
    </row>
    <row r="381" spans="4:10" x14ac:dyDescent="0.25">
      <c r="D381" s="21"/>
      <c r="E381" s="21"/>
      <c r="F381" s="21"/>
      <c r="G381" s="21"/>
      <c r="H381" s="21"/>
      <c r="I381" s="21"/>
      <c r="J381" s="21"/>
    </row>
    <row r="382" spans="4:10" x14ac:dyDescent="0.25">
      <c r="D382" s="21"/>
      <c r="E382" s="21"/>
      <c r="F382" s="21"/>
      <c r="G382" s="21"/>
      <c r="H382" s="21"/>
      <c r="I382" s="21"/>
      <c r="J382" s="21"/>
    </row>
    <row r="383" spans="4:10" x14ac:dyDescent="0.25">
      <c r="D383" s="21"/>
      <c r="E383" s="21"/>
      <c r="F383" s="21"/>
      <c r="G383" s="21"/>
      <c r="H383" s="21"/>
      <c r="I383" s="21"/>
      <c r="J383" s="21"/>
    </row>
    <row r="384" spans="4:10" x14ac:dyDescent="0.25">
      <c r="D384" s="21"/>
      <c r="E384" s="21"/>
      <c r="F384" s="21"/>
      <c r="G384" s="21"/>
      <c r="H384" s="21"/>
      <c r="I384" s="21"/>
      <c r="J384" s="21"/>
    </row>
    <row r="385" spans="4:10" x14ac:dyDescent="0.25">
      <c r="D385" s="21"/>
      <c r="E385" s="21"/>
      <c r="F385" s="21"/>
      <c r="G385" s="21"/>
      <c r="H385" s="21"/>
      <c r="I385" s="21"/>
      <c r="J385" s="21"/>
    </row>
    <row r="386" spans="4:10" x14ac:dyDescent="0.25">
      <c r="D386" s="21"/>
      <c r="E386" s="21"/>
      <c r="F386" s="21"/>
      <c r="G386" s="21"/>
      <c r="H386" s="21"/>
      <c r="I386" s="21"/>
      <c r="J386" s="21"/>
    </row>
    <row r="387" spans="4:10" x14ac:dyDescent="0.25">
      <c r="D387" s="21"/>
      <c r="E387" s="21"/>
      <c r="F387" s="21"/>
      <c r="G387" s="21"/>
      <c r="H387" s="21"/>
      <c r="I387" s="21"/>
      <c r="J387" s="21"/>
    </row>
    <row r="388" spans="4:10" x14ac:dyDescent="0.25">
      <c r="D388" s="21"/>
      <c r="E388" s="21"/>
      <c r="F388" s="21"/>
      <c r="G388" s="21"/>
      <c r="H388" s="21"/>
      <c r="I388" s="21"/>
      <c r="J388" s="21"/>
    </row>
    <row r="389" spans="4:10" x14ac:dyDescent="0.25">
      <c r="D389" s="21"/>
      <c r="E389" s="21"/>
      <c r="F389" s="21"/>
      <c r="G389" s="21"/>
      <c r="H389" s="21"/>
      <c r="I389" s="21"/>
      <c r="J389" s="21"/>
    </row>
    <row r="390" spans="4:10" x14ac:dyDescent="0.25">
      <c r="D390" s="21"/>
      <c r="E390" s="21"/>
      <c r="F390" s="21"/>
      <c r="G390" s="21"/>
      <c r="H390" s="21"/>
      <c r="I390" s="21"/>
      <c r="J390" s="21"/>
    </row>
    <row r="391" spans="4:10" x14ac:dyDescent="0.25">
      <c r="D391" s="21"/>
      <c r="E391" s="21"/>
      <c r="F391" s="21"/>
      <c r="G391" s="21"/>
      <c r="H391" s="21"/>
      <c r="I391" s="21"/>
      <c r="J391" s="21"/>
    </row>
    <row r="392" spans="4:10" x14ac:dyDescent="0.25">
      <c r="D392" s="21"/>
      <c r="E392" s="21"/>
      <c r="F392" s="21"/>
      <c r="G392" s="21"/>
      <c r="H392" s="21"/>
      <c r="I392" s="21"/>
      <c r="J392" s="21"/>
    </row>
    <row r="393" spans="4:10" x14ac:dyDescent="0.25">
      <c r="D393" s="21"/>
      <c r="E393" s="21"/>
      <c r="F393" s="21"/>
      <c r="G393" s="21"/>
      <c r="H393" s="21"/>
      <c r="I393" s="21"/>
      <c r="J393" s="21"/>
    </row>
    <row r="394" spans="4:10" x14ac:dyDescent="0.25">
      <c r="D394" s="21"/>
      <c r="E394" s="21"/>
      <c r="F394" s="21"/>
      <c r="G394" s="21"/>
      <c r="H394" s="21"/>
      <c r="I394" s="21"/>
      <c r="J394" s="21"/>
    </row>
    <row r="395" spans="4:10" x14ac:dyDescent="0.25">
      <c r="D395" s="21"/>
      <c r="E395" s="21"/>
      <c r="F395" s="21"/>
      <c r="G395" s="21"/>
      <c r="H395" s="21"/>
      <c r="I395" s="21"/>
      <c r="J395" s="21"/>
    </row>
    <row r="396" spans="4:10" x14ac:dyDescent="0.25">
      <c r="D396" s="21"/>
      <c r="E396" s="21"/>
      <c r="F396" s="21"/>
      <c r="G396" s="21"/>
      <c r="H396" s="21"/>
      <c r="I396" s="21"/>
      <c r="J396" s="21"/>
    </row>
    <row r="397" spans="4:10" x14ac:dyDescent="0.25">
      <c r="D397" s="21"/>
      <c r="E397" s="21"/>
      <c r="F397" s="21"/>
      <c r="G397" s="21"/>
      <c r="H397" s="21"/>
      <c r="I397" s="21"/>
      <c r="J397" s="21"/>
    </row>
    <row r="398" spans="4:10" x14ac:dyDescent="0.25">
      <c r="D398" s="21"/>
      <c r="E398" s="21"/>
      <c r="F398" s="21"/>
      <c r="G398" s="21"/>
      <c r="H398" s="21"/>
      <c r="I398" s="21"/>
      <c r="J398" s="21"/>
    </row>
    <row r="399" spans="4:10" x14ac:dyDescent="0.25">
      <c r="D399" s="21"/>
      <c r="E399" s="21"/>
      <c r="F399" s="21"/>
      <c r="G399" s="21"/>
      <c r="H399" s="21"/>
      <c r="I399" s="21"/>
      <c r="J399" s="21"/>
    </row>
    <row r="400" spans="4:10" x14ac:dyDescent="0.25">
      <c r="D400" s="21"/>
      <c r="E400" s="21"/>
      <c r="F400" s="21"/>
      <c r="G400" s="21"/>
      <c r="H400" s="21"/>
      <c r="I400" s="21"/>
      <c r="J400" s="21"/>
    </row>
    <row r="401" spans="4:10" x14ac:dyDescent="0.25">
      <c r="D401" s="21"/>
      <c r="E401" s="21"/>
      <c r="F401" s="21"/>
      <c r="G401" s="21"/>
      <c r="H401" s="21"/>
      <c r="I401" s="21"/>
      <c r="J401" s="21"/>
    </row>
    <row r="402" spans="4:10" x14ac:dyDescent="0.25">
      <c r="D402" s="21"/>
      <c r="E402" s="21"/>
      <c r="F402" s="21"/>
      <c r="G402" s="21"/>
      <c r="H402" s="21"/>
      <c r="I402" s="21"/>
      <c r="J402" s="21"/>
    </row>
    <row r="403" spans="4:10" x14ac:dyDescent="0.25">
      <c r="D403" s="21"/>
      <c r="E403" s="21"/>
      <c r="F403" s="21"/>
      <c r="G403" s="21"/>
      <c r="H403" s="21"/>
      <c r="I403" s="21"/>
      <c r="J403" s="21"/>
    </row>
    <row r="404" spans="4:10" x14ac:dyDescent="0.25">
      <c r="D404" s="21"/>
      <c r="E404" s="21"/>
      <c r="F404" s="21"/>
      <c r="G404" s="21"/>
      <c r="H404" s="21"/>
      <c r="I404" s="21"/>
      <c r="J404" s="21"/>
    </row>
    <row r="405" spans="4:10" x14ac:dyDescent="0.25">
      <c r="D405" s="21"/>
      <c r="E405" s="21"/>
      <c r="F405" s="21"/>
      <c r="G405" s="21"/>
      <c r="H405" s="21"/>
      <c r="I405" s="21"/>
      <c r="J405" s="21"/>
    </row>
    <row r="406" spans="4:10" x14ac:dyDescent="0.25">
      <c r="D406" s="21"/>
      <c r="E406" s="21"/>
      <c r="F406" s="21"/>
      <c r="G406" s="21"/>
      <c r="H406" s="21"/>
      <c r="I406" s="21"/>
      <c r="J406" s="21"/>
    </row>
    <row r="407" spans="4:10" x14ac:dyDescent="0.25">
      <c r="D407" s="21"/>
      <c r="E407" s="21"/>
      <c r="F407" s="21"/>
      <c r="G407" s="21"/>
      <c r="H407" s="21"/>
      <c r="I407" s="21"/>
      <c r="J407" s="21"/>
    </row>
    <row r="408" spans="4:10" x14ac:dyDescent="0.25">
      <c r="D408" s="21"/>
      <c r="E408" s="21"/>
      <c r="F408" s="21"/>
      <c r="G408" s="21"/>
      <c r="H408" s="21"/>
      <c r="I408" s="21"/>
      <c r="J408" s="21"/>
    </row>
    <row r="409" spans="4:10" x14ac:dyDescent="0.25">
      <c r="D409" s="21"/>
      <c r="E409" s="21"/>
      <c r="F409" s="21"/>
      <c r="G409" s="21"/>
      <c r="H409" s="21"/>
      <c r="I409" s="21"/>
      <c r="J409" s="21"/>
    </row>
    <row r="410" spans="4:10" x14ac:dyDescent="0.25">
      <c r="D410" s="21"/>
      <c r="E410" s="21"/>
      <c r="F410" s="21"/>
      <c r="G410" s="21"/>
      <c r="H410" s="21"/>
      <c r="I410" s="21"/>
      <c r="J410" s="21"/>
    </row>
    <row r="411" spans="4:10" x14ac:dyDescent="0.25">
      <c r="D411" s="21"/>
      <c r="E411" s="21"/>
      <c r="F411" s="21"/>
      <c r="G411" s="21"/>
      <c r="H411" s="21"/>
      <c r="I411" s="21"/>
      <c r="J411" s="21"/>
    </row>
    <row r="412" spans="4:10" x14ac:dyDescent="0.25">
      <c r="D412" s="21"/>
      <c r="E412" s="21"/>
      <c r="F412" s="21"/>
      <c r="G412" s="21"/>
      <c r="H412" s="21"/>
      <c r="I412" s="21"/>
      <c r="J412" s="21"/>
    </row>
    <row r="413" spans="4:10" x14ac:dyDescent="0.25">
      <c r="D413" s="21"/>
      <c r="E413" s="21"/>
      <c r="F413" s="21"/>
      <c r="G413" s="21"/>
      <c r="H413" s="21"/>
      <c r="I413" s="21"/>
      <c r="J413" s="21"/>
    </row>
    <row r="414" spans="4:10" x14ac:dyDescent="0.25">
      <c r="D414" s="21"/>
      <c r="E414" s="21"/>
      <c r="F414" s="21"/>
      <c r="G414" s="21"/>
      <c r="H414" s="21"/>
      <c r="I414" s="21"/>
      <c r="J414" s="21"/>
    </row>
    <row r="415" spans="4:10" x14ac:dyDescent="0.25">
      <c r="D415" s="21"/>
      <c r="E415" s="21"/>
      <c r="F415" s="21"/>
      <c r="G415" s="21"/>
      <c r="H415" s="21"/>
      <c r="I415" s="21"/>
      <c r="J415" s="21"/>
    </row>
    <row r="416" spans="4:10" x14ac:dyDescent="0.25">
      <c r="D416" s="21"/>
      <c r="E416" s="21"/>
      <c r="F416" s="21"/>
      <c r="G416" s="21"/>
      <c r="H416" s="21"/>
      <c r="I416" s="21"/>
      <c r="J416" s="21"/>
    </row>
    <row r="417" spans="4:10" x14ac:dyDescent="0.25">
      <c r="D417" s="21"/>
      <c r="E417" s="21"/>
      <c r="F417" s="21"/>
      <c r="G417" s="21"/>
      <c r="H417" s="21"/>
      <c r="I417" s="21"/>
      <c r="J417" s="21"/>
    </row>
    <row r="418" spans="4:10" x14ac:dyDescent="0.25">
      <c r="D418" s="21"/>
      <c r="E418" s="21"/>
      <c r="F418" s="21"/>
      <c r="G418" s="21"/>
      <c r="H418" s="21"/>
      <c r="I418" s="21"/>
      <c r="J418" s="21"/>
    </row>
    <row r="419" spans="4:10" x14ac:dyDescent="0.25">
      <c r="D419" s="21"/>
      <c r="E419" s="21"/>
      <c r="F419" s="21"/>
      <c r="G419" s="21"/>
      <c r="H419" s="21"/>
      <c r="I419" s="21"/>
      <c r="J419" s="21"/>
    </row>
    <row r="420" spans="4:10" x14ac:dyDescent="0.25">
      <c r="D420" s="21"/>
      <c r="E420" s="21"/>
      <c r="F420" s="21"/>
      <c r="G420" s="21"/>
      <c r="H420" s="21"/>
      <c r="I420" s="21"/>
      <c r="J420" s="21"/>
    </row>
    <row r="421" spans="4:10" x14ac:dyDescent="0.25">
      <c r="D421" s="21"/>
      <c r="E421" s="21"/>
      <c r="F421" s="21"/>
      <c r="G421" s="21"/>
      <c r="H421" s="21"/>
      <c r="I421" s="21"/>
      <c r="J421" s="21"/>
    </row>
    <row r="422" spans="4:10" x14ac:dyDescent="0.25">
      <c r="D422" s="21"/>
      <c r="E422" s="21"/>
      <c r="F422" s="21"/>
      <c r="G422" s="21"/>
      <c r="H422" s="21"/>
      <c r="I422" s="21"/>
      <c r="J422" s="21"/>
    </row>
    <row r="423" spans="4:10" x14ac:dyDescent="0.25">
      <c r="D423" s="21"/>
      <c r="E423" s="21"/>
      <c r="F423" s="21"/>
      <c r="G423" s="21"/>
      <c r="H423" s="21"/>
      <c r="I423" s="21"/>
      <c r="J423" s="21"/>
    </row>
    <row r="424" spans="4:10" x14ac:dyDescent="0.25">
      <c r="D424" s="21"/>
      <c r="E424" s="21"/>
      <c r="F424" s="21"/>
      <c r="G424" s="21"/>
      <c r="H424" s="21"/>
      <c r="I424" s="21"/>
      <c r="J424" s="21"/>
    </row>
    <row r="425" spans="4:10" x14ac:dyDescent="0.25">
      <c r="D425" s="21"/>
      <c r="E425" s="21"/>
      <c r="F425" s="21"/>
      <c r="G425" s="21"/>
      <c r="H425" s="21"/>
      <c r="I425" s="21"/>
      <c r="J425" s="21"/>
    </row>
    <row r="426" spans="4:10" x14ac:dyDescent="0.25">
      <c r="D426" s="21"/>
      <c r="E426" s="21"/>
      <c r="F426" s="21"/>
      <c r="G426" s="21"/>
      <c r="H426" s="21"/>
      <c r="I426" s="21"/>
      <c r="J426" s="21"/>
    </row>
    <row r="427" spans="4:10" x14ac:dyDescent="0.25">
      <c r="D427" s="21"/>
      <c r="E427" s="21"/>
      <c r="F427" s="21"/>
      <c r="G427" s="21"/>
      <c r="H427" s="21"/>
      <c r="I427" s="21"/>
      <c r="J427" s="21"/>
    </row>
    <row r="428" spans="4:10" x14ac:dyDescent="0.25">
      <c r="D428" s="21"/>
      <c r="E428" s="21"/>
      <c r="F428" s="21"/>
      <c r="G428" s="21"/>
      <c r="H428" s="21"/>
      <c r="I428" s="21"/>
      <c r="J428" s="21"/>
    </row>
    <row r="429" spans="4:10" x14ac:dyDescent="0.25">
      <c r="D429" s="21"/>
      <c r="E429" s="21"/>
      <c r="F429" s="21"/>
      <c r="G429" s="21"/>
      <c r="H429" s="21"/>
      <c r="I429" s="21"/>
      <c r="J429" s="21"/>
    </row>
    <row r="430" spans="4:10" x14ac:dyDescent="0.25">
      <c r="D430" s="21"/>
      <c r="E430" s="21"/>
      <c r="F430" s="21"/>
      <c r="G430" s="21"/>
      <c r="H430" s="21"/>
      <c r="I430" s="21"/>
      <c r="J430" s="21"/>
    </row>
    <row r="431" spans="4:10" x14ac:dyDescent="0.25">
      <c r="D431" s="21"/>
      <c r="E431" s="21"/>
      <c r="F431" s="21"/>
      <c r="G431" s="21"/>
      <c r="H431" s="21"/>
      <c r="I431" s="21"/>
      <c r="J431" s="21"/>
    </row>
    <row r="432" spans="4:10" x14ac:dyDescent="0.25">
      <c r="D432" s="21"/>
      <c r="E432" s="21"/>
      <c r="F432" s="21"/>
      <c r="G432" s="21"/>
      <c r="H432" s="21"/>
      <c r="I432" s="21"/>
      <c r="J432" s="21"/>
    </row>
    <row r="433" spans="4:10" x14ac:dyDescent="0.25">
      <c r="D433" s="21"/>
      <c r="E433" s="21"/>
      <c r="F433" s="21"/>
      <c r="G433" s="21"/>
      <c r="H433" s="21"/>
      <c r="I433" s="21"/>
      <c r="J433" s="21"/>
    </row>
    <row r="434" spans="4:10" x14ac:dyDescent="0.25">
      <c r="D434" s="21"/>
      <c r="E434" s="21"/>
      <c r="F434" s="21"/>
      <c r="G434" s="21"/>
      <c r="H434" s="21"/>
      <c r="I434" s="21"/>
      <c r="J434" s="21"/>
    </row>
    <row r="435" spans="4:10" x14ac:dyDescent="0.25">
      <c r="D435" s="21"/>
      <c r="E435" s="21"/>
      <c r="F435" s="21"/>
      <c r="G435" s="21"/>
      <c r="H435" s="21"/>
      <c r="I435" s="21"/>
      <c r="J435" s="21"/>
    </row>
    <row r="436" spans="4:10" x14ac:dyDescent="0.25">
      <c r="D436" s="21"/>
      <c r="E436" s="21"/>
      <c r="F436" s="21"/>
      <c r="G436" s="21"/>
      <c r="H436" s="21"/>
      <c r="I436" s="21"/>
      <c r="J436" s="21"/>
    </row>
    <row r="437" spans="4:10" x14ac:dyDescent="0.25">
      <c r="D437" s="21"/>
      <c r="E437" s="21"/>
      <c r="F437" s="21"/>
      <c r="G437" s="21"/>
      <c r="H437" s="21"/>
      <c r="I437" s="21"/>
      <c r="J437" s="21"/>
    </row>
    <row r="438" spans="4:10" x14ac:dyDescent="0.25">
      <c r="D438" s="21"/>
      <c r="E438" s="21"/>
      <c r="F438" s="21"/>
      <c r="G438" s="21"/>
      <c r="H438" s="21"/>
      <c r="I438" s="21"/>
      <c r="J438" s="21"/>
    </row>
    <row r="439" spans="4:10" x14ac:dyDescent="0.25">
      <c r="D439" s="21"/>
      <c r="E439" s="21"/>
      <c r="F439" s="21"/>
      <c r="G439" s="21"/>
      <c r="H439" s="21"/>
      <c r="I439" s="21"/>
      <c r="J439" s="21"/>
    </row>
    <row r="440" spans="4:10" x14ac:dyDescent="0.25">
      <c r="D440" s="21"/>
      <c r="E440" s="21"/>
      <c r="F440" s="21"/>
      <c r="G440" s="21"/>
      <c r="H440" s="21"/>
      <c r="I440" s="21"/>
      <c r="J440" s="21"/>
    </row>
    <row r="441" spans="4:10" x14ac:dyDescent="0.25">
      <c r="D441" s="21"/>
      <c r="E441" s="21"/>
      <c r="F441" s="21"/>
      <c r="G441" s="21"/>
      <c r="H441" s="21"/>
      <c r="I441" s="21"/>
      <c r="J441" s="21"/>
    </row>
    <row r="442" spans="4:10" x14ac:dyDescent="0.25">
      <c r="D442" s="21"/>
      <c r="E442" s="21"/>
      <c r="F442" s="21"/>
      <c r="G442" s="21"/>
      <c r="H442" s="21"/>
      <c r="I442" s="21"/>
      <c r="J442" s="21"/>
    </row>
    <row r="443" spans="4:10" x14ac:dyDescent="0.25">
      <c r="D443" s="21"/>
      <c r="E443" s="21"/>
      <c r="F443" s="21"/>
      <c r="G443" s="21"/>
      <c r="H443" s="21"/>
      <c r="I443" s="21"/>
      <c r="J443" s="21"/>
    </row>
    <row r="444" spans="4:10" x14ac:dyDescent="0.25">
      <c r="D444" s="21"/>
      <c r="E444" s="21"/>
      <c r="F444" s="21"/>
      <c r="G444" s="21"/>
      <c r="H444" s="21"/>
      <c r="I444" s="21"/>
      <c r="J444" s="21"/>
    </row>
    <row r="445" spans="4:10" x14ac:dyDescent="0.25">
      <c r="D445" s="21"/>
      <c r="E445" s="21"/>
      <c r="F445" s="21"/>
      <c r="G445" s="21"/>
      <c r="H445" s="21"/>
      <c r="I445" s="21"/>
      <c r="J445" s="21"/>
    </row>
    <row r="446" spans="4:10" x14ac:dyDescent="0.25">
      <c r="D446" s="21"/>
      <c r="E446" s="21"/>
      <c r="F446" s="21"/>
      <c r="G446" s="21"/>
      <c r="H446" s="21"/>
      <c r="I446" s="21"/>
      <c r="J446" s="21"/>
    </row>
    <row r="447" spans="4:10" x14ac:dyDescent="0.25">
      <c r="D447" s="21"/>
      <c r="E447" s="21"/>
      <c r="F447" s="21"/>
      <c r="G447" s="21"/>
      <c r="H447" s="21"/>
      <c r="I447" s="21"/>
      <c r="J447" s="21"/>
    </row>
    <row r="448" spans="4:10" x14ac:dyDescent="0.25">
      <c r="D448" s="21"/>
      <c r="E448" s="21"/>
      <c r="F448" s="21"/>
      <c r="G448" s="21"/>
      <c r="H448" s="21"/>
      <c r="I448" s="21"/>
      <c r="J448" s="21"/>
    </row>
    <row r="449" spans="4:10" x14ac:dyDescent="0.25">
      <c r="D449" s="21"/>
      <c r="E449" s="21"/>
      <c r="F449" s="21"/>
      <c r="G449" s="21"/>
      <c r="H449" s="21"/>
      <c r="I449" s="21"/>
      <c r="J449" s="21"/>
    </row>
    <row r="450" spans="4:10" x14ac:dyDescent="0.25">
      <c r="D450" s="21"/>
      <c r="E450" s="21"/>
      <c r="F450" s="21"/>
      <c r="G450" s="21"/>
      <c r="H450" s="21"/>
      <c r="I450" s="21"/>
      <c r="J450" s="21"/>
    </row>
    <row r="451" spans="4:10" x14ac:dyDescent="0.25">
      <c r="D451" s="21"/>
      <c r="E451" s="21"/>
      <c r="F451" s="21"/>
      <c r="G451" s="21"/>
      <c r="H451" s="21"/>
      <c r="I451" s="21"/>
      <c r="J451" s="21"/>
    </row>
    <row r="452" spans="4:10" x14ac:dyDescent="0.25">
      <c r="D452" s="21"/>
      <c r="E452" s="21"/>
      <c r="F452" s="21"/>
      <c r="G452" s="21"/>
      <c r="H452" s="21"/>
      <c r="I452" s="21"/>
      <c r="J452" s="21"/>
    </row>
    <row r="453" spans="4:10" x14ac:dyDescent="0.25">
      <c r="D453" s="21"/>
      <c r="E453" s="21"/>
      <c r="F453" s="21"/>
      <c r="G453" s="21"/>
      <c r="H453" s="21"/>
      <c r="I453" s="21"/>
      <c r="J453" s="21"/>
    </row>
    <row r="454" spans="4:10" x14ac:dyDescent="0.25">
      <c r="D454" s="21"/>
      <c r="E454" s="21"/>
      <c r="F454" s="21"/>
      <c r="G454" s="21"/>
      <c r="H454" s="21"/>
      <c r="I454" s="21"/>
      <c r="J454" s="21"/>
    </row>
    <row r="455" spans="4:10" x14ac:dyDescent="0.25">
      <c r="D455" s="21"/>
      <c r="E455" s="21"/>
      <c r="F455" s="21"/>
      <c r="G455" s="21"/>
      <c r="H455" s="21"/>
      <c r="I455" s="21"/>
      <c r="J455" s="21"/>
    </row>
    <row r="456" spans="4:10" x14ac:dyDescent="0.25">
      <c r="D456" s="21"/>
      <c r="E456" s="21"/>
      <c r="F456" s="21"/>
      <c r="G456" s="21"/>
      <c r="H456" s="21"/>
      <c r="I456" s="21"/>
      <c r="J456" s="21"/>
    </row>
    <row r="457" spans="4:10" x14ac:dyDescent="0.25">
      <c r="D457" s="21"/>
      <c r="E457" s="21"/>
      <c r="F457" s="21"/>
      <c r="G457" s="21"/>
      <c r="H457" s="21"/>
      <c r="I457" s="21"/>
      <c r="J457" s="21"/>
    </row>
    <row r="458" spans="4:10" x14ac:dyDescent="0.25">
      <c r="D458" s="21"/>
      <c r="E458" s="21"/>
      <c r="F458" s="21"/>
      <c r="G458" s="21"/>
      <c r="H458" s="21"/>
      <c r="I458" s="21"/>
      <c r="J458" s="21"/>
    </row>
    <row r="459" spans="4:10" x14ac:dyDescent="0.25">
      <c r="D459" s="21"/>
      <c r="E459" s="21"/>
      <c r="F459" s="21"/>
      <c r="G459" s="21"/>
      <c r="H459" s="21"/>
      <c r="I459" s="21"/>
      <c r="J459" s="21"/>
    </row>
    <row r="460" spans="4:10" x14ac:dyDescent="0.25">
      <c r="D460" s="21"/>
      <c r="E460" s="21"/>
      <c r="F460" s="21"/>
      <c r="G460" s="21"/>
      <c r="H460" s="21"/>
      <c r="I460" s="21"/>
      <c r="J460" s="21"/>
    </row>
    <row r="461" spans="4:10" x14ac:dyDescent="0.25">
      <c r="D461" s="21"/>
      <c r="E461" s="21"/>
      <c r="F461" s="21"/>
      <c r="G461" s="21"/>
      <c r="H461" s="21"/>
      <c r="I461" s="21"/>
      <c r="J461" s="21"/>
    </row>
    <row r="462" spans="4:10" x14ac:dyDescent="0.25">
      <c r="D462" s="21"/>
      <c r="E462" s="21"/>
      <c r="F462" s="21"/>
      <c r="G462" s="21"/>
      <c r="H462" s="21"/>
      <c r="I462" s="21"/>
      <c r="J462" s="21"/>
    </row>
    <row r="463" spans="4:10" x14ac:dyDescent="0.25">
      <c r="D463" s="21"/>
      <c r="E463" s="21"/>
      <c r="F463" s="21"/>
      <c r="G463" s="21"/>
      <c r="H463" s="21"/>
      <c r="I463" s="21"/>
      <c r="J463" s="21"/>
    </row>
    <row r="464" spans="4:10" x14ac:dyDescent="0.25">
      <c r="D464" s="21"/>
      <c r="E464" s="21"/>
      <c r="F464" s="21"/>
      <c r="G464" s="21"/>
      <c r="H464" s="21"/>
      <c r="I464" s="21"/>
      <c r="J464" s="21"/>
    </row>
    <row r="465" spans="4:10" x14ac:dyDescent="0.25">
      <c r="D465" s="21"/>
      <c r="E465" s="21"/>
      <c r="F465" s="21"/>
      <c r="G465" s="21"/>
      <c r="H465" s="21"/>
      <c r="I465" s="21"/>
      <c r="J465" s="21"/>
    </row>
    <row r="466" spans="4:10" x14ac:dyDescent="0.25">
      <c r="D466" s="21"/>
      <c r="E466" s="21"/>
      <c r="F466" s="21"/>
      <c r="G466" s="21"/>
      <c r="H466" s="21"/>
      <c r="I466" s="21"/>
      <c r="J466" s="21"/>
    </row>
    <row r="467" spans="4:10" x14ac:dyDescent="0.25">
      <c r="D467" s="21"/>
      <c r="E467" s="21"/>
      <c r="F467" s="21"/>
      <c r="G467" s="21"/>
      <c r="H467" s="21"/>
      <c r="I467" s="21"/>
      <c r="J467" s="21"/>
    </row>
    <row r="468" spans="4:10" x14ac:dyDescent="0.25">
      <c r="D468" s="21"/>
      <c r="E468" s="21"/>
      <c r="F468" s="21"/>
      <c r="G468" s="21"/>
      <c r="H468" s="21"/>
      <c r="I468" s="21"/>
      <c r="J468" s="21"/>
    </row>
    <row r="469" spans="4:10" x14ac:dyDescent="0.25">
      <c r="D469" s="21"/>
      <c r="E469" s="21"/>
      <c r="F469" s="21"/>
      <c r="G469" s="21"/>
      <c r="H469" s="21"/>
      <c r="I469" s="21"/>
      <c r="J469" s="21"/>
    </row>
    <row r="470" spans="4:10" x14ac:dyDescent="0.25">
      <c r="D470" s="21"/>
      <c r="E470" s="21"/>
      <c r="F470" s="21"/>
      <c r="G470" s="21"/>
      <c r="H470" s="21"/>
      <c r="I470" s="21"/>
      <c r="J470" s="21"/>
    </row>
    <row r="471" spans="4:10" x14ac:dyDescent="0.25">
      <c r="D471" s="21"/>
      <c r="E471" s="21"/>
      <c r="F471" s="21"/>
      <c r="G471" s="21"/>
      <c r="H471" s="21"/>
      <c r="I471" s="21"/>
      <c r="J471" s="21"/>
    </row>
    <row r="472" spans="4:10" x14ac:dyDescent="0.25">
      <c r="D472" s="21"/>
      <c r="E472" s="21"/>
      <c r="F472" s="21"/>
      <c r="G472" s="21"/>
      <c r="H472" s="21"/>
      <c r="I472" s="21"/>
      <c r="J472" s="21"/>
    </row>
    <row r="473" spans="4:10" x14ac:dyDescent="0.25">
      <c r="D473" s="21"/>
      <c r="E473" s="21"/>
      <c r="F473" s="21"/>
      <c r="G473" s="21"/>
      <c r="H473" s="21"/>
      <c r="I473" s="21"/>
      <c r="J473" s="21"/>
    </row>
    <row r="474" spans="4:10" x14ac:dyDescent="0.25">
      <c r="D474" s="21"/>
      <c r="E474" s="21"/>
      <c r="F474" s="21"/>
      <c r="G474" s="21"/>
      <c r="H474" s="21"/>
      <c r="I474" s="21"/>
      <c r="J474" s="21"/>
    </row>
    <row r="475" spans="4:10" x14ac:dyDescent="0.25">
      <c r="D475" s="21"/>
      <c r="E475" s="21"/>
      <c r="F475" s="21"/>
      <c r="G475" s="21"/>
      <c r="H475" s="21"/>
      <c r="I475" s="21"/>
      <c r="J475" s="21"/>
    </row>
    <row r="476" spans="4:10" x14ac:dyDescent="0.25">
      <c r="D476" s="21"/>
      <c r="E476" s="21"/>
      <c r="F476" s="21"/>
      <c r="G476" s="21"/>
      <c r="H476" s="21"/>
      <c r="I476" s="21"/>
      <c r="J476" s="21"/>
    </row>
    <row r="477" spans="4:10" x14ac:dyDescent="0.25">
      <c r="D477" s="21"/>
      <c r="E477" s="21"/>
      <c r="F477" s="21"/>
      <c r="G477" s="21"/>
      <c r="H477" s="21"/>
      <c r="I477" s="21"/>
      <c r="J477" s="21"/>
    </row>
    <row r="478" spans="4:10" x14ac:dyDescent="0.25">
      <c r="D478" s="21"/>
      <c r="E478" s="21"/>
      <c r="F478" s="21"/>
      <c r="G478" s="21"/>
      <c r="H478" s="21"/>
      <c r="I478" s="21"/>
      <c r="J478" s="21"/>
    </row>
    <row r="479" spans="4:10" x14ac:dyDescent="0.25">
      <c r="D479" s="21"/>
      <c r="E479" s="21"/>
      <c r="F479" s="21"/>
      <c r="G479" s="21"/>
      <c r="H479" s="21"/>
      <c r="I479" s="21"/>
      <c r="J479" s="21"/>
    </row>
    <row r="480" spans="4:10" x14ac:dyDescent="0.25">
      <c r="D480" s="21"/>
      <c r="E480" s="21"/>
      <c r="F480" s="21"/>
      <c r="G480" s="21"/>
      <c r="H480" s="21"/>
      <c r="I480" s="21"/>
      <c r="J480" s="21"/>
    </row>
    <row r="481" spans="4:10" x14ac:dyDescent="0.25">
      <c r="D481" s="21"/>
      <c r="E481" s="21"/>
      <c r="F481" s="21"/>
      <c r="G481" s="21"/>
      <c r="H481" s="21"/>
      <c r="I481" s="21"/>
      <c r="J481" s="21"/>
    </row>
    <row r="482" spans="4:10" x14ac:dyDescent="0.25">
      <c r="D482" s="21"/>
      <c r="E482" s="21"/>
      <c r="F482" s="21"/>
      <c r="G482" s="21"/>
      <c r="H482" s="21"/>
      <c r="I482" s="21"/>
      <c r="J482" s="21"/>
    </row>
    <row r="483" spans="4:10" x14ac:dyDescent="0.25">
      <c r="D483" s="21"/>
      <c r="E483" s="21"/>
      <c r="F483" s="21"/>
      <c r="G483" s="21"/>
      <c r="H483" s="21"/>
      <c r="I483" s="21"/>
      <c r="J483" s="21"/>
    </row>
    <row r="484" spans="4:10" x14ac:dyDescent="0.25">
      <c r="D484" s="21"/>
      <c r="E484" s="21"/>
      <c r="F484" s="21"/>
      <c r="G484" s="21"/>
      <c r="H484" s="21"/>
      <c r="I484" s="21"/>
      <c r="J484" s="21"/>
    </row>
    <row r="485" spans="4:10" x14ac:dyDescent="0.25">
      <c r="D485" s="21"/>
      <c r="E485" s="21"/>
      <c r="F485" s="21"/>
      <c r="G485" s="21"/>
      <c r="H485" s="21"/>
      <c r="I485" s="21"/>
      <c r="J485" s="21"/>
    </row>
    <row r="486" spans="4:10" x14ac:dyDescent="0.25">
      <c r="D486" s="21"/>
      <c r="E486" s="21"/>
      <c r="F486" s="21"/>
      <c r="G486" s="21"/>
      <c r="H486" s="21"/>
      <c r="I486" s="21"/>
      <c r="J486" s="21"/>
    </row>
  </sheetData>
  <conditionalFormatting sqref="D5:D1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0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0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0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D1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E1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G1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H1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I1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J1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D2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2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F2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G2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H2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2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J2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3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E3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6:F3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G3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H3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3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J3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D3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3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3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H3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:I3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J3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P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topLeftCell="A19" workbookViewId="0">
      <selection activeCell="K88" sqref="D88:K89"/>
    </sheetView>
  </sheetViews>
  <sheetFormatPr defaultRowHeight="15" x14ac:dyDescent="0.25"/>
  <cols>
    <col min="2" max="2" width="33.28515625" bestFit="1" customWidth="1"/>
    <col min="3" max="3" width="20.5703125" customWidth="1"/>
    <col min="4" max="4" width="4.140625" bestFit="1" customWidth="1"/>
    <col min="15" max="15" width="13.28515625" customWidth="1"/>
  </cols>
  <sheetData>
    <row r="1" spans="1:25" x14ac:dyDescent="0.25">
      <c r="A1">
        <v>109</v>
      </c>
      <c r="O1" t="str">
        <f ca="1">OFFSET('3060LAPTOP 100'!$C$1,A4-1,0)</f>
        <v>non CUDA AVX Time</v>
      </c>
      <c r="Y1">
        <v>3</v>
      </c>
    </row>
    <row r="2" spans="1:25" x14ac:dyDescent="0.25">
      <c r="E2" s="7">
        <v>2</v>
      </c>
      <c r="F2" s="8">
        <v>4</v>
      </c>
      <c r="G2" s="7">
        <v>8</v>
      </c>
      <c r="H2" s="7">
        <v>16</v>
      </c>
      <c r="I2" s="7">
        <v>32</v>
      </c>
      <c r="J2" s="7">
        <v>64</v>
      </c>
      <c r="K2" s="7">
        <v>128</v>
      </c>
      <c r="Q2" s="7">
        <v>2</v>
      </c>
      <c r="R2" s="8">
        <v>4</v>
      </c>
      <c r="S2" s="7">
        <v>8</v>
      </c>
      <c r="T2" s="7">
        <v>16</v>
      </c>
      <c r="U2" s="7">
        <v>32</v>
      </c>
      <c r="V2" s="7">
        <v>64</v>
      </c>
      <c r="W2" s="7">
        <v>128</v>
      </c>
      <c r="Y2">
        <v>32</v>
      </c>
    </row>
    <row r="3" spans="1:25" x14ac:dyDescent="0.25">
      <c r="E3" s="16">
        <v>42</v>
      </c>
      <c r="F3" s="16">
        <v>84</v>
      </c>
      <c r="G3" s="16">
        <v>168</v>
      </c>
      <c r="H3" s="16">
        <v>336</v>
      </c>
      <c r="I3" s="16">
        <v>672</v>
      </c>
      <c r="J3" s="16">
        <v>1344</v>
      </c>
      <c r="K3" s="16">
        <v>2688</v>
      </c>
      <c r="Q3" s="16">
        <v>42</v>
      </c>
      <c r="R3" s="16">
        <v>84</v>
      </c>
      <c r="S3" s="16">
        <v>168</v>
      </c>
      <c r="T3" s="16">
        <v>336</v>
      </c>
      <c r="U3" s="16">
        <v>672</v>
      </c>
      <c r="V3" s="16">
        <v>1344</v>
      </c>
      <c r="W3" s="16">
        <v>2688</v>
      </c>
      <c r="Y3" s="17">
        <v>57</v>
      </c>
    </row>
    <row r="4" spans="1:25" ht="15" customHeight="1" x14ac:dyDescent="0.25">
      <c r="A4">
        <v>60</v>
      </c>
      <c r="B4" t="str">
        <f ca="1">OFFSET('3060LAPTOP 100'!$C$1,A4-1,0)</f>
        <v>non CUDA AVX Time</v>
      </c>
      <c r="C4" s="85" t="s">
        <v>1</v>
      </c>
      <c r="D4" s="1" t="s">
        <v>0</v>
      </c>
      <c r="E4" s="13">
        <f ca="1">OFFSET('3060LAPTOP 10'!D$1,$A5-1,0)</f>
        <v>6732.0454</v>
      </c>
      <c r="F4" s="13">
        <f ca="1">OFFSET('3060LAPTOP 10'!E$1,$A5-1,0)</f>
        <v>12795.570000000002</v>
      </c>
      <c r="G4" s="13">
        <f ca="1">OFFSET('3060LAPTOP 10'!F$1,$A5-1,0)</f>
        <v>24112.532000000003</v>
      </c>
      <c r="H4" s="13">
        <f ca="1">OFFSET('3060LAPTOP 10'!G$1,$A5-1,0)</f>
        <v>46059.343999999997</v>
      </c>
      <c r="I4" s="13">
        <f ca="1">OFFSET('3060LAPTOP 10'!H$1,$A5-1,0)</f>
        <v>91907.945999999982</v>
      </c>
      <c r="J4" s="13">
        <f ca="1">OFFSET('3060LAPTOP 10'!I$1,$A5-1,0)</f>
        <v>184408.08</v>
      </c>
      <c r="K4" s="13">
        <f ca="1">OFFSET('3060LAPTOP 10'!J$1,$A5-1,0)</f>
        <v>367570.34</v>
      </c>
      <c r="O4" s="85">
        <v>5</v>
      </c>
      <c r="P4" s="1" t="s">
        <v>0</v>
      </c>
      <c r="Q4" s="13">
        <f ca="1">OFFSET('3060LAPTOP 10'!D$1,$A$4-1,0)</f>
        <v>0</v>
      </c>
      <c r="R4" s="13">
        <f ca="1">OFFSET('3060LAPTOP 10'!E$1,$A$4-1,0)</f>
        <v>0</v>
      </c>
      <c r="S4" s="13">
        <f ca="1">OFFSET('3060LAPTOP 10'!F$1,$A$4-1,0)</f>
        <v>0</v>
      </c>
      <c r="T4" s="13">
        <f ca="1">OFFSET('3060LAPTOP 10'!G$1,$A$4-1,0)</f>
        <v>0</v>
      </c>
      <c r="U4" s="13">
        <f ca="1">OFFSET('3060LAPTOP 10'!H$1,$A$4-1,0)</f>
        <v>0</v>
      </c>
      <c r="V4" s="13">
        <f ca="1">OFFSET('3060LAPTOP 10'!I$1,$A$4-1,0)</f>
        <v>0</v>
      </c>
      <c r="W4" s="13">
        <f ca="1">OFFSET('3060LAPTOP 10'!J$1,$A$4-1,0)</f>
        <v>0</v>
      </c>
    </row>
    <row r="5" spans="1:25" x14ac:dyDescent="0.25">
      <c r="A5">
        <v>3</v>
      </c>
      <c r="B5" t="str">
        <f ca="1">OFFSET('3060LAPTOP 10'!$C$1,A5-1,0)</f>
        <v>Classic ACO</v>
      </c>
      <c r="C5" s="86"/>
      <c r="D5" s="1" t="s">
        <v>19</v>
      </c>
      <c r="E5" s="1">
        <f ca="1">OFFSET('3060LAPTOP 10'!D$1,$A5-1+$A$1,0)</f>
        <v>29.72261047054694</v>
      </c>
      <c r="F5" s="1">
        <f ca="1">OFFSET('3060LAPTOP 10'!E$1,$A5-1+$A$1,0)</f>
        <v>17.26108240180459</v>
      </c>
      <c r="G5" s="1">
        <f ca="1">OFFSET('3060LAPTOP 10'!F$1,$A5-1+$A$1,0)</f>
        <v>98.029302374199148</v>
      </c>
      <c r="H5" s="1">
        <f ca="1">OFFSET('3060LAPTOP 10'!G$1,$A5-1+$A$1,0)</f>
        <v>48.186919862009397</v>
      </c>
      <c r="I5" s="1">
        <f ca="1">OFFSET('3060LAPTOP 10'!H$1,$A5-1+$A$1,0)</f>
        <v>512.62779846201795</v>
      </c>
      <c r="J5" s="1">
        <f ca="1">OFFSET('3060LAPTOP 10'!I$1,$A5-1+$A$1,0)</f>
        <v>775.06197622963418</v>
      </c>
      <c r="K5" s="1">
        <f ca="1">OFFSET('3060LAPTOP 10'!J$1,$A5-1+$A$1,0)</f>
        <v>1357.5706663296471</v>
      </c>
      <c r="O5" s="86"/>
      <c r="P5" s="1" t="s">
        <v>19</v>
      </c>
      <c r="Q5" s="1">
        <f ca="1">OFFSET('3060LAPTOP 10'!D$1,$A$4-1+$A$1,0)</f>
        <v>0</v>
      </c>
      <c r="R5" s="1">
        <f ca="1">OFFSET('3060LAPTOP 10'!E$1,$A$4-1+$A$1,0)</f>
        <v>0</v>
      </c>
      <c r="S5" s="1">
        <f ca="1">OFFSET('3060LAPTOP 10'!F$1,$A$4-1+$A$1,0)</f>
        <v>0</v>
      </c>
      <c r="T5" s="1">
        <f ca="1">OFFSET('3060LAPTOP 10'!G$1,$A$4-1+$A$1,0)</f>
        <v>0</v>
      </c>
      <c r="U5" s="1">
        <f ca="1">OFFSET('3060LAPTOP 10'!H$1,$A$4-1+$A$1,0)</f>
        <v>0</v>
      </c>
      <c r="V5" s="1">
        <f ca="1">OFFSET('3060LAPTOP 10'!I$1,$A$4-1+$A$1,0)</f>
        <v>0</v>
      </c>
      <c r="W5" s="1">
        <f ca="1">OFFSET('3060LAPTOP 10'!J$1,$A$4-1+$A$1,0)</f>
        <v>0</v>
      </c>
    </row>
    <row r="6" spans="1:25" ht="15" customHeight="1" x14ac:dyDescent="0.25">
      <c r="A6">
        <v>4</v>
      </c>
      <c r="B6" t="str">
        <f ca="1">OFFSET('3060LAPTOP 10'!$C$1,A6-1,0)</f>
        <v>non CUDA Time</v>
      </c>
      <c r="C6" s="85" t="s">
        <v>20</v>
      </c>
      <c r="D6" s="1" t="s">
        <v>0</v>
      </c>
      <c r="E6" s="13">
        <f ca="1">OFFSET('3060LAPTOP 10'!D$1,$A6-1,0)</f>
        <v>565.78236000000004</v>
      </c>
      <c r="F6" s="13">
        <f ca="1">OFFSET('3060LAPTOP 10'!E$1,$A6-1,0)</f>
        <v>1048.5618000000002</v>
      </c>
      <c r="G6" s="13">
        <f ca="1">OFFSET('3060LAPTOP 10'!F$1,$A6-1,0)</f>
        <v>1982.6899999999996</v>
      </c>
      <c r="H6" s="13">
        <f ca="1">OFFSET('3060LAPTOP 10'!G$1,$A6-1,0)</f>
        <v>3787.3732000000014</v>
      </c>
      <c r="I6" s="13">
        <f ca="1">OFFSET('3060LAPTOP 10'!H$1,$A6-1,0)</f>
        <v>7666.1589999999997</v>
      </c>
      <c r="J6" s="13">
        <f ca="1">OFFSET('3060LAPTOP 10'!I$1,$A6-1,0)</f>
        <v>15021.705999999998</v>
      </c>
      <c r="K6" s="13">
        <f ca="1">OFFSET('3060LAPTOP 10'!J$1,$A6-1,0)</f>
        <v>30206.626000000011</v>
      </c>
      <c r="O6" s="85">
        <v>100</v>
      </c>
      <c r="P6" s="1" t="s">
        <v>0</v>
      </c>
      <c r="Q6" s="13">
        <f ca="1">OFFSET('3060LAPTOP 100'!D$1,$A$4-1,0)</f>
        <v>15.9250278166479</v>
      </c>
      <c r="R6" s="13">
        <f ca="1">OFFSET('3060LAPTOP 100'!E$1,$A$4-1,0)</f>
        <v>19.213642390762043</v>
      </c>
      <c r="S6" s="13">
        <f ca="1">OFFSET('3060LAPTOP 100'!F$1,$A$4-1,0)</f>
        <v>20.896919766031715</v>
      </c>
      <c r="T6" s="13">
        <f ca="1">OFFSET('3060LAPTOP 100'!G$1,$A$4-1,0)</f>
        <v>21.533306202631632</v>
      </c>
      <c r="U6" s="13">
        <f ca="1">OFFSET('3060LAPTOP 100'!H$1,$A$4-1,0)</f>
        <v>19.015856454087849</v>
      </c>
      <c r="V6" s="13">
        <f ca="1">OFFSET('3060LAPTOP 100'!I$1,$A$4-1,0)</f>
        <v>20.967084597651674</v>
      </c>
      <c r="W6" s="13">
        <f ca="1">OFFSET('3060LAPTOP 100'!J$1,$A$4-1,0)</f>
        <v>22.907658696955018</v>
      </c>
    </row>
    <row r="7" spans="1:25" x14ac:dyDescent="0.25">
      <c r="C7" s="86"/>
      <c r="D7" s="1" t="s">
        <v>19</v>
      </c>
      <c r="E7" s="1">
        <f ca="1">OFFSET('3060LAPTOP 10'!D$1,$A6-1+$A$1,0)</f>
        <v>4.1622870183002432</v>
      </c>
      <c r="F7" s="1">
        <f ca="1">OFFSET('3060LAPTOP 10'!E$1,$A6-1+$A$1,0)</f>
        <v>4.1114063303731383</v>
      </c>
      <c r="G7" s="1">
        <f ca="1">OFFSET('3060LAPTOP 10'!F$1,$A6-1+$A$1,0)</f>
        <v>9.9600752347793069</v>
      </c>
      <c r="H7" s="1">
        <f ca="1">OFFSET('3060LAPTOP 10'!G$1,$A6-1+$A$1,0)</f>
        <v>10.371021995671997</v>
      </c>
      <c r="I7" s="1">
        <f ca="1">OFFSET('3060LAPTOP 10'!H$1,$A6-1+$A$1,0)</f>
        <v>60.114894582401242</v>
      </c>
      <c r="J7" s="1">
        <f ca="1">OFFSET('3060LAPTOP 10'!I$1,$A6-1+$A$1,0)</f>
        <v>32.345265111406945</v>
      </c>
      <c r="K7" s="1">
        <f ca="1">OFFSET('3060LAPTOP 10'!J$1,$A6-1+$A$1,0)</f>
        <v>64.000995899131425</v>
      </c>
      <c r="O7" s="86"/>
      <c r="P7" s="1" t="s">
        <v>19</v>
      </c>
      <c r="Q7" s="1">
        <f ca="1">OFFSET('3060LAPTOP 100'!D$1,$A$4-1+$A$1,0)</f>
        <v>0</v>
      </c>
      <c r="R7" s="1">
        <f ca="1">OFFSET('3060LAPTOP 100'!E$1,$A$4-1+$A$1,0)</f>
        <v>0</v>
      </c>
      <c r="S7" s="1">
        <f ca="1">OFFSET('3060LAPTOP 100'!F$1,$A$4-1+$A$1,0)</f>
        <v>0</v>
      </c>
      <c r="T7" s="1">
        <f ca="1">OFFSET('3060LAPTOP 100'!G$1,$A$4-1+$A$1,0)</f>
        <v>0</v>
      </c>
      <c r="U7" s="1">
        <f ca="1">OFFSET('3060LAPTOP 100'!H$1,$A$4-1+$A$1,0)</f>
        <v>0</v>
      </c>
      <c r="V7" s="1">
        <f ca="1">OFFSET('3060LAPTOP 100'!I$1,$A$4-1+$A$1,0)</f>
        <v>0</v>
      </c>
      <c r="W7" s="1">
        <f ca="1">OFFSET('3060LAPTOP 100'!J$1,$A$4-1+$A$1,0)</f>
        <v>0</v>
      </c>
    </row>
    <row r="8" spans="1:25" ht="15" customHeight="1" x14ac:dyDescent="0.25">
      <c r="A8">
        <v>5</v>
      </c>
      <c r="B8" t="str">
        <f ca="1">OFFSET('3060LAPTOP 10'!$C$1,A8-1,0)</f>
        <v>omp</v>
      </c>
      <c r="C8" s="85" t="s">
        <v>21</v>
      </c>
      <c r="D8" s="1" t="s">
        <v>0</v>
      </c>
      <c r="E8" s="13">
        <f ca="1">OFFSET('3060LAPTOP 10'!D$1,$A8-1,0)</f>
        <v>537.5828600000001</v>
      </c>
      <c r="F8" s="13">
        <f ca="1">OFFSET('3060LAPTOP 10'!E$1,$A8-1,0)</f>
        <v>1010.2037999999999</v>
      </c>
      <c r="G8" s="13">
        <f ca="1">OFFSET('3060LAPTOP 10'!F$1,$A8-1,0)</f>
        <v>1940.0652</v>
      </c>
      <c r="H8" s="13">
        <f ca="1">OFFSET('3060LAPTOP 10'!G$1,$A8-1,0)</f>
        <v>3816.5009999999997</v>
      </c>
      <c r="I8" s="13">
        <f ca="1">OFFSET('3060LAPTOP 10'!H$1,$A8-1,0)</f>
        <v>7811.4766</v>
      </c>
      <c r="J8" s="13">
        <f ca="1">OFFSET('3060LAPTOP 10'!I$1,$A8-1,0)</f>
        <v>15154.871999999999</v>
      </c>
      <c r="K8" s="13">
        <f ca="1">OFFSET('3060LAPTOP 10'!J$1,$A8-1,0)</f>
        <v>30090.163999999993</v>
      </c>
      <c r="O8" s="85">
        <v>1000</v>
      </c>
      <c r="P8" s="1" t="s">
        <v>0</v>
      </c>
      <c r="Q8" s="13">
        <f ca="1">OFFSET('3060LAPTOP 1000'!D$1,$A$4-1,0)</f>
        <v>19.6354032852689</v>
      </c>
      <c r="R8" s="13">
        <f ca="1">OFFSET('3060LAPTOP 1000'!E$1,$A$4-1,0)</f>
        <v>23.32475874470865</v>
      </c>
      <c r="S8" s="13">
        <f ca="1">OFFSET('3060LAPTOP 1000'!F$1,$A$4-1,0)</f>
        <v>28.373103604628074</v>
      </c>
      <c r="T8" s="13">
        <f ca="1">OFFSET('3060LAPTOP 1000'!G$1,$A$4-1,0)</f>
        <v>29.574829737997916</v>
      </c>
      <c r="U8" s="13"/>
      <c r="V8" s="13"/>
      <c r="W8" s="13"/>
    </row>
    <row r="9" spans="1:25" x14ac:dyDescent="0.25">
      <c r="C9" s="86"/>
      <c r="D9" s="1" t="s">
        <v>19</v>
      </c>
      <c r="E9" s="1">
        <f ca="1">OFFSET('3060LAPTOP 10'!D$1,$A8-1+$A$1,0)</f>
        <v>4.5095966148222191</v>
      </c>
      <c r="F9" s="1">
        <f ca="1">OFFSET('3060LAPTOP 10'!E$1,$A8-1+$A$1,0)</f>
        <v>2.695164058552638</v>
      </c>
      <c r="G9" s="1">
        <f ca="1">OFFSET('3060LAPTOP 10'!F$1,$A8-1+$A$1,0)</f>
        <v>2.3080237298604032</v>
      </c>
      <c r="H9" s="1">
        <f ca="1">OFFSET('3060LAPTOP 10'!G$1,$A8-1+$A$1,0)</f>
        <v>8.7723176035581485</v>
      </c>
      <c r="I9" s="1">
        <f ca="1">OFFSET('3060LAPTOP 10'!H$1,$A8-1+$A$1,0)</f>
        <v>17.021157059376133</v>
      </c>
      <c r="J9" s="1">
        <f ca="1">OFFSET('3060LAPTOP 10'!I$1,$A8-1+$A$1,0)</f>
        <v>24.822802780119414</v>
      </c>
      <c r="K9" s="1">
        <f ca="1">OFFSET('3060LAPTOP 10'!J$1,$A8-1+$A$1,0)</f>
        <v>31.215446024773321</v>
      </c>
      <c r="O9" s="86"/>
      <c r="P9" s="1" t="s">
        <v>19</v>
      </c>
      <c r="Q9" s="1">
        <f ca="1">OFFSET('3060LAPTOP 1000'!D$1,$A$4-1+$A$1,0)</f>
        <v>0</v>
      </c>
      <c r="R9" s="1">
        <f ca="1">OFFSET('3060LAPTOP 1000'!E$1,$A$4-1+$A$1,0)</f>
        <v>0</v>
      </c>
      <c r="S9" s="1">
        <f ca="1">OFFSET('3060LAPTOP 1000'!F$1,$A$4-1+$A$1,0)</f>
        <v>0</v>
      </c>
      <c r="T9" s="1">
        <f ca="1">OFFSET('3060LAPTOP 1000'!G$1,$A$4-1+$A$1,0)</f>
        <v>0</v>
      </c>
      <c r="U9" s="1"/>
      <c r="V9" s="1"/>
      <c r="W9" s="1"/>
    </row>
    <row r="10" spans="1:25" x14ac:dyDescent="0.25">
      <c r="A10">
        <v>6</v>
      </c>
      <c r="B10">
        <f ca="1">OFFSET('3060LAPTOP 10'!$C$1,A10-1,0)</f>
        <v>0</v>
      </c>
      <c r="C10" s="85"/>
      <c r="D10" s="1" t="s">
        <v>0</v>
      </c>
      <c r="E10" s="13">
        <f ca="1">OFFSET('3060LAPTOP 10'!D$1,$A10-1,0)</f>
        <v>0</v>
      </c>
      <c r="F10" s="13">
        <f ca="1">OFFSET('3060LAPTOP 10'!E$1,$A10-1,0)</f>
        <v>0</v>
      </c>
      <c r="G10" s="13">
        <f ca="1">OFFSET('3060LAPTOP 10'!F$1,$A10-1,0)</f>
        <v>0</v>
      </c>
      <c r="H10" s="13">
        <f ca="1">OFFSET('3060LAPTOP 10'!G$1,$A10-1,0)</f>
        <v>0</v>
      </c>
      <c r="I10" s="13">
        <f ca="1">OFFSET('3060LAPTOP 10'!H$1,$A10-1,0)</f>
        <v>0</v>
      </c>
      <c r="J10" s="13">
        <f ca="1">OFFSET('3060LAPTOP 10'!I$1,$A10-1,0)</f>
        <v>0</v>
      </c>
      <c r="K10" s="13">
        <f ca="1">OFFSET('3060LAPTOP 10'!J$1,$A10-1,0)</f>
        <v>0</v>
      </c>
      <c r="O10" s="85">
        <v>10000</v>
      </c>
      <c r="P10" s="1" t="s">
        <v>0</v>
      </c>
      <c r="Q10" s="13">
        <f ca="1">OFFSET('3060LAPTOP 10000'!D$1,$A$4-1,0)</f>
        <v>33.794017647962839</v>
      </c>
      <c r="R10" s="13">
        <f ca="1">OFFSET('3060LAPTOP 10000'!E$1,$A$4-1,0)</f>
        <v>47.950970814609391</v>
      </c>
      <c r="S10" s="13">
        <f ca="1">OFFSET('3060LAPTOP 10000'!F$1,$A$4-1,0)</f>
        <v>33.248451363567625</v>
      </c>
      <c r="T10" s="13"/>
      <c r="U10" s="13"/>
      <c r="V10" s="13"/>
      <c r="W10" s="13"/>
    </row>
    <row r="11" spans="1:25" x14ac:dyDescent="0.25">
      <c r="C11" s="86"/>
      <c r="D11" s="1" t="s">
        <v>19</v>
      </c>
      <c r="E11" s="1">
        <f ca="1">OFFSET('3060LAPTOP 10'!D$1,$A10-1+$A$1,0)</f>
        <v>0</v>
      </c>
      <c r="F11" s="1">
        <f ca="1">OFFSET('3060LAPTOP 10'!E$1,$A10-1+$A$1,0)</f>
        <v>0</v>
      </c>
      <c r="G11" s="1">
        <f ca="1">OFFSET('3060LAPTOP 10'!F$1,$A10-1+$A$1,0)</f>
        <v>0</v>
      </c>
      <c r="H11" s="1">
        <f ca="1">OFFSET('3060LAPTOP 10'!G$1,$A10-1+$A$1,0)</f>
        <v>0</v>
      </c>
      <c r="I11" s="1">
        <f ca="1">OFFSET('3060LAPTOP 10'!H$1,$A10-1+$A$1,0)</f>
        <v>0</v>
      </c>
      <c r="J11" s="1">
        <f ca="1">OFFSET('3060LAPTOP 10'!I$1,$A10-1+$A$1,0)</f>
        <v>0</v>
      </c>
      <c r="K11" s="1">
        <f ca="1">OFFSET('3060LAPTOP 10'!J$1,$A10-1+$A$1,0)</f>
        <v>0</v>
      </c>
      <c r="O11" s="86"/>
      <c r="P11" s="1" t="s">
        <v>19</v>
      </c>
      <c r="Q11" s="1">
        <f ca="1">OFFSET('3060LAPTOP 10000'!D$1,$A$4-1+$A$1,0)</f>
        <v>0</v>
      </c>
      <c r="R11" s="1">
        <f ca="1">OFFSET('3060LAPTOP 10000'!E$1,$A$4-1+$A$1,0)</f>
        <v>0</v>
      </c>
      <c r="S11" s="1">
        <f ca="1">OFFSET('3060LAPTOP 10000'!F$1,$A$4-1+$A$1,0)</f>
        <v>0</v>
      </c>
      <c r="T11" s="1"/>
      <c r="U11" s="1"/>
      <c r="V11" s="1"/>
      <c r="W11" s="1"/>
    </row>
    <row r="12" spans="1:25" ht="15" customHeight="1" x14ac:dyDescent="0.25">
      <c r="A12">
        <v>7</v>
      </c>
      <c r="B12">
        <f ca="1">OFFSET('3060LAPTOP 10'!$C$1,A12-1,0)</f>
        <v>0</v>
      </c>
      <c r="C12" s="85"/>
      <c r="D12" s="1" t="s">
        <v>0</v>
      </c>
      <c r="E12" s="13">
        <f ca="1">OFFSET('3060LAPTOP 10'!D$1,$A12-1,0)</f>
        <v>0</v>
      </c>
      <c r="F12" s="13">
        <f ca="1">OFFSET('3060LAPTOP 10'!E$1,$A12-1,0)</f>
        <v>0</v>
      </c>
      <c r="G12" s="13">
        <f ca="1">OFFSET('3060LAPTOP 10'!F$1,$A12-1,0)</f>
        <v>0</v>
      </c>
      <c r="H12" s="13">
        <f ca="1">OFFSET('3060LAPTOP 10'!G$1,$A12-1,0)</f>
        <v>0</v>
      </c>
      <c r="I12" s="13">
        <f ca="1">OFFSET('3060LAPTOP 10'!H$1,$A12-1,0)</f>
        <v>0</v>
      </c>
      <c r="J12" s="13">
        <f ca="1">OFFSET('3060LAPTOP 10'!I$1,$A12-1,0)</f>
        <v>0</v>
      </c>
      <c r="K12" s="13">
        <f ca="1">OFFSET('3060LAPTOP 10'!J$1,$A12-1,0)</f>
        <v>0</v>
      </c>
      <c r="O12" s="85"/>
      <c r="P12" s="1"/>
      <c r="Q12" s="13"/>
      <c r="R12" s="13"/>
      <c r="S12" s="13"/>
      <c r="T12" s="13"/>
      <c r="U12" s="13"/>
      <c r="V12" s="13"/>
      <c r="W12" s="13"/>
    </row>
    <row r="13" spans="1:25" x14ac:dyDescent="0.25">
      <c r="C13" s="86"/>
      <c r="D13" s="1" t="s">
        <v>19</v>
      </c>
      <c r="E13" s="1">
        <f ca="1">OFFSET('3060LAPTOP 10'!D$1,$A12-1+$A$1,0)</f>
        <v>0</v>
      </c>
      <c r="F13" s="1">
        <f ca="1">OFFSET('3060LAPTOP 10'!E$1,$A12-1+$A$1,0)</f>
        <v>0</v>
      </c>
      <c r="G13" s="1">
        <f ca="1">OFFSET('3060LAPTOP 10'!F$1,$A12-1+$A$1,0)</f>
        <v>0</v>
      </c>
      <c r="H13" s="1">
        <f ca="1">OFFSET('3060LAPTOP 10'!G$1,$A12-1+$A$1,0)</f>
        <v>0</v>
      </c>
      <c r="I13" s="1">
        <f ca="1">OFFSET('3060LAPTOP 10'!H$1,$A12-1+$A$1,0)</f>
        <v>0</v>
      </c>
      <c r="J13" s="1">
        <f ca="1">OFFSET('3060LAPTOP 10'!I$1,$A12-1+$A$1,0)</f>
        <v>0</v>
      </c>
      <c r="K13" s="1">
        <f ca="1">OFFSET('3060LAPTOP 10'!J$1,$A12-1+$A$1,0)</f>
        <v>0</v>
      </c>
      <c r="O13" s="86"/>
      <c r="P13" s="1"/>
      <c r="Q13" s="1"/>
      <c r="R13" s="1"/>
      <c r="S13" s="1"/>
      <c r="T13" s="1"/>
      <c r="U13" s="1"/>
      <c r="V13" s="1"/>
      <c r="W13" s="1"/>
    </row>
    <row r="14" spans="1:25" ht="15" customHeight="1" x14ac:dyDescent="0.25">
      <c r="A14">
        <v>8</v>
      </c>
      <c r="B14" t="str">
        <f ca="1">OFFSET('3060LAPTOP 10'!$C$1,A14-1,0)</f>
        <v>non CUDA transp Time</v>
      </c>
      <c r="C14" s="85" t="s">
        <v>22</v>
      </c>
      <c r="D14" s="1" t="s">
        <v>0</v>
      </c>
      <c r="E14" s="13">
        <f ca="1">OFFSET('3060LAPTOP 10'!D$1,$A14-1,0)</f>
        <v>568.43799999999999</v>
      </c>
      <c r="F14" s="13">
        <f ca="1">OFFSET('3060LAPTOP 10'!E$1,$A14-1,0)</f>
        <v>1053.3364000000001</v>
      </c>
      <c r="G14" s="13">
        <f ca="1">OFFSET('3060LAPTOP 10'!F$1,$A14-1,0)</f>
        <v>1978.4417999999994</v>
      </c>
      <c r="H14" s="13">
        <f ca="1">OFFSET('3060LAPTOP 10'!G$1,$A14-1,0)</f>
        <v>3846.7940000000003</v>
      </c>
      <c r="I14" s="13">
        <f ca="1">OFFSET('3060LAPTOP 10'!H$1,$A14-1,0)</f>
        <v>7448.5196000000024</v>
      </c>
      <c r="J14" s="13">
        <f ca="1">OFFSET('3060LAPTOP 10'!I$1,$A14-1,0)</f>
        <v>14762.202000000001</v>
      </c>
      <c r="K14" s="13">
        <f ca="1">OFFSET('3060LAPTOP 10'!J$1,$A14-1,0)</f>
        <v>30250.245999999992</v>
      </c>
    </row>
    <row r="15" spans="1:25" x14ac:dyDescent="0.25">
      <c r="C15" s="86"/>
      <c r="D15" s="1" t="s">
        <v>19</v>
      </c>
      <c r="E15" s="1">
        <f ca="1">OFFSET('3060LAPTOP 10'!D$1,$A14-1+$A$1,0)</f>
        <v>1.8204706841997533</v>
      </c>
      <c r="F15" s="1">
        <f ca="1">OFFSET('3060LAPTOP 10'!E$1,$A14-1+$A$1,0)</f>
        <v>3.8753483115757841</v>
      </c>
      <c r="G15" s="1">
        <f ca="1">OFFSET('3060LAPTOP 10'!F$1,$A14-1+$A$1,0)</f>
        <v>4.5432577513242967</v>
      </c>
      <c r="H15" s="1">
        <f ca="1">OFFSET('3060LAPTOP 10'!G$1,$A14-1+$A$1,0)</f>
        <v>10.662724648881072</v>
      </c>
      <c r="I15" s="1">
        <f ca="1">OFFSET('3060LAPTOP 10'!H$1,$A14-1+$A$1,0)</f>
        <v>54.370393885308381</v>
      </c>
      <c r="J15" s="1">
        <f ca="1">OFFSET('3060LAPTOP 10'!I$1,$A14-1+$A$1,0)</f>
        <v>42.063281339517744</v>
      </c>
      <c r="K15" s="1">
        <f ca="1">OFFSET('3060LAPTOP 10'!J$1,$A14-1+$A$1,0)</f>
        <v>267.89042431445</v>
      </c>
    </row>
    <row r="16" spans="1:25" ht="15" customHeight="1" x14ac:dyDescent="0.25">
      <c r="A16">
        <v>9</v>
      </c>
      <c r="B16" t="str">
        <f ca="1">OFFSET('3060LAPTOP 10'!$C$1,A16-1,0)</f>
        <v>non CUDA transp_AVX Time</v>
      </c>
      <c r="C16" s="85" t="s">
        <v>23</v>
      </c>
      <c r="D16" s="1" t="s">
        <v>0</v>
      </c>
      <c r="E16" s="13">
        <f ca="1">OFFSET('3060LAPTOP 10'!D$1,$A16-1,0)</f>
        <v>0</v>
      </c>
      <c r="F16" s="13">
        <f ca="1">OFFSET('3060LAPTOP 10'!E$1,$A16-1,0)</f>
        <v>1098.6976</v>
      </c>
      <c r="G16" s="13">
        <f ca="1">OFFSET('3060LAPTOP 10'!F$1,$A16-1,0)</f>
        <v>2044.9888000000001</v>
      </c>
      <c r="H16" s="13">
        <f ca="1">OFFSET('3060LAPTOP 10'!G$1,$A16-1,0)</f>
        <v>3966.7574000000004</v>
      </c>
      <c r="I16" s="13">
        <f ca="1">OFFSET('3060LAPTOP 10'!H$1,$A16-1,0)</f>
        <v>7436.0804000000035</v>
      </c>
      <c r="J16" s="13">
        <f ca="1">OFFSET('3060LAPTOP 10'!I$1,$A16-1,0)</f>
        <v>14843.796</v>
      </c>
      <c r="K16" s="13">
        <f ca="1">OFFSET('3060LAPTOP 10'!J$1,$A16-1,0)</f>
        <v>31936.964000000007</v>
      </c>
    </row>
    <row r="17" spans="1:11" x14ac:dyDescent="0.25">
      <c r="C17" s="86"/>
      <c r="D17" s="1" t="s">
        <v>19</v>
      </c>
      <c r="E17" s="1" t="e">
        <f ca="1">OFFSET('3060LAPTOP 10'!D$1,$A16-1+$A$1,0)</f>
        <v>#DIV/0!</v>
      </c>
      <c r="F17" s="1">
        <f ca="1">OFFSET('3060LAPTOP 10'!E$1,$A16-1+$A$1,0)</f>
        <v>2.8504951529626745</v>
      </c>
      <c r="G17" s="1">
        <f ca="1">OFFSET('3060LAPTOP 10'!F$1,$A16-1+$A$1,0)</f>
        <v>5.3846165524852259</v>
      </c>
      <c r="H17" s="1">
        <f ca="1">OFFSET('3060LAPTOP 10'!G$1,$A16-1+$A$1,0)</f>
        <v>8.914910342132643</v>
      </c>
      <c r="I17" s="1">
        <f ca="1">OFFSET('3060LAPTOP 10'!H$1,$A16-1+$A$1,0)</f>
        <v>24.151619116970743</v>
      </c>
      <c r="J17" s="1">
        <f ca="1">OFFSET('3060LAPTOP 10'!I$1,$A16-1+$A$1,0)</f>
        <v>35.840002063424933</v>
      </c>
      <c r="K17" s="1">
        <f ca="1">OFFSET('3060LAPTOP 10'!J$1,$A16-1+$A$1,0)</f>
        <v>374.9837830473424</v>
      </c>
    </row>
    <row r="18" spans="1:11" x14ac:dyDescent="0.25">
      <c r="A18">
        <v>10</v>
      </c>
      <c r="B18" t="str">
        <f ca="1">OFFSET('3060LAPTOP 10'!$C$1,A18-1,0)</f>
        <v>non CUDA transp_AVX_OMP Time</v>
      </c>
      <c r="C18" s="85" t="s">
        <v>24</v>
      </c>
      <c r="D18" s="1" t="s">
        <v>0</v>
      </c>
      <c r="E18" s="13">
        <f ca="1">OFFSET('3060LAPTOP 10'!D$1,$A18-1,0)</f>
        <v>0</v>
      </c>
      <c r="F18" s="13">
        <f ca="1">OFFSET('3060LAPTOP 10'!E$1,$A18-1,0)</f>
        <v>1100.0655999999999</v>
      </c>
      <c r="G18" s="13">
        <f ca="1">OFFSET('3060LAPTOP 10'!F$1,$A18-1,0)</f>
        <v>2057.8179999999998</v>
      </c>
      <c r="H18" s="13">
        <f ca="1">OFFSET('3060LAPTOP 10'!G$1,$A18-1,0)</f>
        <v>3962.7250000000004</v>
      </c>
      <c r="I18" s="13">
        <f ca="1">OFFSET('3060LAPTOP 10'!H$1,$A18-1,0)</f>
        <v>7628.9560000000001</v>
      </c>
      <c r="J18" s="13">
        <f ca="1">OFFSET('3060LAPTOP 10'!I$1,$A18-1,0)</f>
        <v>14841.381999999994</v>
      </c>
      <c r="K18" s="13">
        <f ca="1">OFFSET('3060LAPTOP 10'!J$1,$A18-1,0)</f>
        <v>30129.48599999999</v>
      </c>
    </row>
    <row r="19" spans="1:11" x14ac:dyDescent="0.25">
      <c r="C19" s="86"/>
      <c r="D19" s="1" t="s">
        <v>19</v>
      </c>
      <c r="E19" s="1" t="e">
        <f ca="1">OFFSET('3060LAPTOP 10'!D$1,$A18-1+$A$1,0)</f>
        <v>#DIV/0!</v>
      </c>
      <c r="F19" s="1">
        <f ca="1">OFFSET('3060LAPTOP 10'!E$1,$A18-1+$A$1,0)</f>
        <v>2.8913992628325262</v>
      </c>
      <c r="G19" s="1">
        <f ca="1">OFFSET('3060LAPTOP 10'!F$1,$A18-1+$A$1,0)</f>
        <v>4.9380960388489825</v>
      </c>
      <c r="H19" s="1">
        <f ca="1">OFFSET('3060LAPTOP 10'!G$1,$A18-1+$A$1,0)</f>
        <v>7.4898968386017177</v>
      </c>
      <c r="I19" s="1">
        <f ca="1">OFFSET('3060LAPTOP 10'!H$1,$A18-1+$A$1,0)</f>
        <v>97.841237578613317</v>
      </c>
      <c r="J19" s="1">
        <f ca="1">OFFSET('3060LAPTOP 10'!I$1,$A18-1+$A$1,0)</f>
        <v>37.562936044220613</v>
      </c>
      <c r="K19" s="1">
        <f ca="1">OFFSET('3060LAPTOP 10'!J$1,$A18-1+$A$1,0)</f>
        <v>53.077584956101035</v>
      </c>
    </row>
    <row r="20" spans="1:11" s="18" customFormat="1" x14ac:dyDescent="0.25">
      <c r="A20" s="18">
        <v>3</v>
      </c>
      <c r="B20" s="18" t="str">
        <f ca="1">OFFSET('3060LAPTOP 100'!$C$1,A20-1,0)</f>
        <v>Classic ACO</v>
      </c>
      <c r="C20" s="85" t="s">
        <v>1</v>
      </c>
      <c r="D20" s="19" t="s">
        <v>0</v>
      </c>
      <c r="E20" s="20">
        <f ca="1">OFFSET('3060LAPTOP 100'!D$1,$A20-1,0)</f>
        <v>6150.9387999999999</v>
      </c>
      <c r="F20" s="20">
        <f ca="1">OFFSET('3060LAPTOP 100'!E$1,$A20-1,0)</f>
        <v>11699.451999999999</v>
      </c>
      <c r="G20" s="20">
        <f ca="1">OFFSET('3060LAPTOP 100'!F$1,$A20-1,0)</f>
        <v>21907.942000000003</v>
      </c>
      <c r="H20" s="20">
        <f ca="1">OFFSET('3060LAPTOP 100'!G$1,$A20-1,0)</f>
        <v>42192.441999999995</v>
      </c>
      <c r="I20" s="20">
        <f ca="1">OFFSET('3060LAPTOP 100'!H$1,$A20-1,0)</f>
        <v>84585.997999999992</v>
      </c>
      <c r="J20" s="20">
        <f ca="1">OFFSET('3060LAPTOP 100'!I$1,$A20-1,0)</f>
        <v>167119.54</v>
      </c>
      <c r="K20" s="20">
        <f ca="1">OFFSET('3060LAPTOP 100'!J$1,$A20-1,0)</f>
        <v>334990.88</v>
      </c>
    </row>
    <row r="21" spans="1:11" x14ac:dyDescent="0.25">
      <c r="C21" s="86"/>
      <c r="D21" s="1" t="s">
        <v>19</v>
      </c>
      <c r="E21" s="1">
        <f ca="1">OFFSET('3060LAPTOP 100'!D$1,$A20-1+$A$1,0)</f>
        <v>79.627185398021354</v>
      </c>
      <c r="F21" s="1">
        <f ca="1">OFFSET('3060LAPTOP 100'!E$1,$A20-1+$A$1,0)</f>
        <v>103.75778525064923</v>
      </c>
      <c r="G21" s="1">
        <f ca="1">OFFSET('3060LAPTOP 100'!F$1,$A20-1+$A$1,0)</f>
        <v>548.80687044649426</v>
      </c>
      <c r="H21" s="1">
        <f ca="1">OFFSET('3060LAPTOP 100'!G$1,$A20-1+$A$1,0)</f>
        <v>104.07401474874176</v>
      </c>
      <c r="I21" s="1">
        <f ca="1">OFFSET('3060LAPTOP 100'!H$1,$A20-1+$A$1,0)</f>
        <v>495.75428931719682</v>
      </c>
      <c r="J21" s="1">
        <f ca="1">OFFSET('3060LAPTOP 100'!I$1,$A20-1+$A$1,0)</f>
        <v>117.81388744480826</v>
      </c>
      <c r="K21" s="1">
        <f ca="1">OFFSET('3060LAPTOP 100'!J$1,$A20-1+$A$1,0)</f>
        <v>363.76747628793908</v>
      </c>
    </row>
    <row r="22" spans="1:11" x14ac:dyDescent="0.25">
      <c r="A22">
        <v>4</v>
      </c>
      <c r="B22" t="str">
        <f ca="1">OFFSET('3060LAPTOP 100'!$C$1,A22-1,0)</f>
        <v>non CUDA Time</v>
      </c>
      <c r="C22" s="85" t="s">
        <v>20</v>
      </c>
      <c r="D22" s="1" t="s">
        <v>0</v>
      </c>
      <c r="E22" s="13">
        <f ca="1">OFFSET('3060LAPTOP 100'!D$1,$A22-1,0)</f>
        <v>377.87502000000001</v>
      </c>
      <c r="F22" s="13">
        <f ca="1">OFFSET('3060LAPTOP 100'!E$1,$A22-1,0)</f>
        <v>628.52904000000001</v>
      </c>
      <c r="G22" s="13">
        <f ca="1">OFFSET('3060LAPTOP 100'!F$1,$A22-1,0)</f>
        <v>1019.9844200000003</v>
      </c>
      <c r="H22" s="13">
        <f ca="1">OFFSET('3060LAPTOP 100'!G$1,$A22-1,0)</f>
        <v>1919.3217999999999</v>
      </c>
      <c r="I22" s="13">
        <f ca="1">OFFSET('3060LAPTOP 100'!H$1,$A22-1,0)</f>
        <v>3993.9211999999989</v>
      </c>
      <c r="J22" s="13">
        <f ca="1">OFFSET('3060LAPTOP 100'!I$1,$A22-1,0)</f>
        <v>7926.0673999999999</v>
      </c>
      <c r="K22" s="13">
        <f ca="1">OFFSET('3060LAPTOP 100'!J$1,$A22-1,0)</f>
        <v>14356.124</v>
      </c>
    </row>
    <row r="23" spans="1:11" x14ac:dyDescent="0.25">
      <c r="C23" s="86"/>
      <c r="D23" s="1" t="s">
        <v>19</v>
      </c>
      <c r="E23" s="1">
        <f ca="1">OFFSET('3060LAPTOP 100'!D$1,$A22-1+$A$1,0)</f>
        <v>11.311721920656117</v>
      </c>
      <c r="F23" s="1">
        <f ca="1">OFFSET('3060LAPTOP 100'!E$1,$A22-1+$A$1,0)</f>
        <v>11.570179151561431</v>
      </c>
      <c r="G23" s="1">
        <f ca="1">OFFSET('3060LAPTOP 100'!F$1,$A22-1+$A$1,0)</f>
        <v>11.157862276084487</v>
      </c>
      <c r="H23" s="1">
        <f ca="1">OFFSET('3060LAPTOP 100'!G$1,$A22-1+$A$1,0)</f>
        <v>12.959428523406128</v>
      </c>
      <c r="I23" s="1">
        <f ca="1">OFFSET('3060LAPTOP 100'!H$1,$A22-1+$A$1,0)</f>
        <v>26.157706637115453</v>
      </c>
      <c r="J23" s="1">
        <f ca="1">OFFSET('3060LAPTOP 100'!I$1,$A22-1+$A$1,0)</f>
        <v>44.148906262076018</v>
      </c>
      <c r="K23" s="1">
        <f ca="1">OFFSET('3060LAPTOP 100'!J$1,$A22-1+$A$1,0)</f>
        <v>67.453153378413035</v>
      </c>
    </row>
    <row r="24" spans="1:11" x14ac:dyDescent="0.25">
      <c r="A24">
        <v>5</v>
      </c>
      <c r="B24" t="str">
        <f ca="1">OFFSET('3060LAPTOP 100'!$C$1,A24-1,0)</f>
        <v>omp</v>
      </c>
      <c r="C24" s="85" t="s">
        <v>21</v>
      </c>
      <c r="D24" s="1" t="s">
        <v>0</v>
      </c>
      <c r="E24" s="13">
        <f ca="1">OFFSET('3060LAPTOP 100'!D$1,$A24-1,0)</f>
        <v>292.06309999999996</v>
      </c>
      <c r="F24" s="13">
        <f ca="1">OFFSET('3060LAPTOP 100'!E$1,$A24-1,0)</f>
        <v>525.01036000000011</v>
      </c>
      <c r="G24" s="13">
        <f ca="1">OFFSET('3060LAPTOP 100'!F$1,$A24-1,0)</f>
        <v>921.35105999999996</v>
      </c>
      <c r="H24" s="13">
        <f ca="1">OFFSET('3060LAPTOP 100'!G$1,$A24-1,0)</f>
        <v>1785.4644000000003</v>
      </c>
      <c r="I24" s="13">
        <f ca="1">OFFSET('3060LAPTOP 100'!H$1,$A24-1,0)</f>
        <v>4317.2568000000001</v>
      </c>
      <c r="J24" s="13">
        <f ca="1">OFFSET('3060LAPTOP 100'!I$1,$A24-1,0)</f>
        <v>7838.8054000000002</v>
      </c>
      <c r="K24" s="13">
        <f ca="1">OFFSET('3060LAPTOP 100'!J$1,$A24-1,0)</f>
        <v>14374.003999999999</v>
      </c>
    </row>
    <row r="25" spans="1:11" x14ac:dyDescent="0.25">
      <c r="C25" s="86"/>
      <c r="D25" s="1" t="s">
        <v>19</v>
      </c>
      <c r="E25" s="1">
        <f ca="1">OFFSET('3060LAPTOP 100'!D$1,$A24-1+$A$1,0)</f>
        <v>1.5476464564024428</v>
      </c>
      <c r="F25" s="1">
        <f ca="1">OFFSET('3060LAPTOP 100'!E$1,$A24-1+$A$1,0)</f>
        <v>7.1101134207802454</v>
      </c>
      <c r="G25" s="1">
        <f ca="1">OFFSET('3060LAPTOP 100'!F$1,$A24-1+$A$1,0)</f>
        <v>4.0561490051991571</v>
      </c>
      <c r="H25" s="1">
        <f ca="1">OFFSET('3060LAPTOP 100'!G$1,$A24-1+$A$1,0)</f>
        <v>7.3240945970507845</v>
      </c>
      <c r="I25" s="1">
        <f ca="1">OFFSET('3060LAPTOP 100'!H$1,$A24-1+$A$1,0)</f>
        <v>68.173487828442816</v>
      </c>
      <c r="J25" s="1">
        <f ca="1">OFFSET('3060LAPTOP 100'!I$1,$A24-1+$A$1,0)</f>
        <v>39.789861897384796</v>
      </c>
      <c r="K25" s="1">
        <f ca="1">OFFSET('3060LAPTOP 100'!J$1,$A24-1+$A$1,0)</f>
        <v>39.506516885704421</v>
      </c>
    </row>
    <row r="26" spans="1:11" x14ac:dyDescent="0.25">
      <c r="A26">
        <v>6</v>
      </c>
      <c r="B26" t="str">
        <f ca="1">OFFSET('3060LAPTOP 100'!$C$1,A26-1,0)</f>
        <v>non CUDA AVX Time</v>
      </c>
      <c r="C26" s="85" t="s">
        <v>32</v>
      </c>
      <c r="D26" s="1" t="s">
        <v>0</v>
      </c>
      <c r="E26" s="13">
        <f ca="1">OFFSET('3060LAPTOP 100'!D$1,$A26-1,0)</f>
        <v>386.24352000000005</v>
      </c>
      <c r="F26" s="13">
        <f ca="1">OFFSET('3060LAPTOP 100'!E$1,$A26-1,0)</f>
        <v>608.91379999999992</v>
      </c>
      <c r="G26" s="13">
        <f ca="1">OFFSET('3060LAPTOP 100'!F$1,$A26-1,0)</f>
        <v>1048.3814</v>
      </c>
      <c r="H26" s="13">
        <f ca="1">OFFSET('3060LAPTOP 100'!G$1,$A26-1,0)</f>
        <v>1959.4038000000003</v>
      </c>
      <c r="I26" s="13">
        <f ca="1">OFFSET('3060LAPTOP 100'!H$1,$A26-1,0)</f>
        <v>4448.1824000000006</v>
      </c>
      <c r="J26" s="13">
        <f ca="1">OFFSET('3060LAPTOP 100'!I$1,$A26-1,0)</f>
        <v>7970.5664000000024</v>
      </c>
      <c r="K26" s="13">
        <f ca="1">OFFSET('3060LAPTOP 100'!J$1,$A26-1,0)</f>
        <v>14623.531999999999</v>
      </c>
    </row>
    <row r="27" spans="1:11" x14ac:dyDescent="0.25">
      <c r="C27" s="86"/>
      <c r="D27" s="1" t="s">
        <v>19</v>
      </c>
      <c r="E27" s="1">
        <f ca="1">OFFSET('3060LAPTOP 100'!D$1,$A26-1+$A$1,0)</f>
        <v>3.2499855939570423</v>
      </c>
      <c r="F27" s="1">
        <f ca="1">OFFSET('3060LAPTOP 100'!E$1,$A26-1+$A$1,0)</f>
        <v>3.3119197508044054</v>
      </c>
      <c r="G27" s="1">
        <f ca="1">OFFSET('3060LAPTOP 100'!F$1,$A26-1+$A$1,0)</f>
        <v>8.3815578796995283</v>
      </c>
      <c r="H27" s="1">
        <f ca="1">OFFSET('3060LAPTOP 100'!G$1,$A26-1+$A$1,0)</f>
        <v>8.4971803054831021</v>
      </c>
      <c r="I27" s="1">
        <f ca="1">OFFSET('3060LAPTOP 100'!H$1,$A26-1+$A$1,0)</f>
        <v>14.832656081791688</v>
      </c>
      <c r="J27" s="1">
        <f ca="1">OFFSET('3060LAPTOP 100'!I$1,$A26-1+$A$1,0)</f>
        <v>40.630595331273412</v>
      </c>
      <c r="K27" s="1">
        <f ca="1">OFFSET('3060LAPTOP 100'!J$1,$A26-1+$A$1,0)</f>
        <v>47.600010811062297</v>
      </c>
    </row>
    <row r="28" spans="1:11" x14ac:dyDescent="0.25">
      <c r="A28">
        <v>7</v>
      </c>
      <c r="B28" t="str">
        <f ca="1">OFFSET('3060LAPTOP 100'!$C$1,A28-1,0)</f>
        <v>non CUDA AVX_OMP Time</v>
      </c>
      <c r="C28" s="85" t="s">
        <v>33</v>
      </c>
      <c r="D28" s="1" t="s">
        <v>0</v>
      </c>
      <c r="E28" s="13">
        <f ca="1">OFFSET('3060LAPTOP 100'!D$1,$A28-1,0)</f>
        <v>261.53294000000005</v>
      </c>
      <c r="F28" s="13">
        <f ca="1">OFFSET('3060LAPTOP 100'!E$1,$A28-1,0)</f>
        <v>472.43311999999992</v>
      </c>
      <c r="G28" s="13">
        <f ca="1">OFFSET('3060LAPTOP 100'!F$1,$A28-1,0)</f>
        <v>878.07439999999997</v>
      </c>
      <c r="H28" s="13">
        <f ca="1">OFFSET('3060LAPTOP 100'!G$1,$A28-1,0)</f>
        <v>1787.1090000000002</v>
      </c>
      <c r="I28" s="13">
        <f ca="1">OFFSET('3060LAPTOP 100'!H$1,$A28-1,0)</f>
        <v>4006.3106000000007</v>
      </c>
      <c r="J28" s="13">
        <f ca="1">OFFSET('3060LAPTOP 100'!I$1,$A28-1,0)</f>
        <v>7005.3984000000009</v>
      </c>
      <c r="K28" s="13">
        <f ca="1">OFFSET('3060LAPTOP 100'!J$1,$A28-1,0)</f>
        <v>15607.480000000007</v>
      </c>
    </row>
    <row r="29" spans="1:11" x14ac:dyDescent="0.25">
      <c r="C29" s="86"/>
      <c r="D29" s="1" t="s">
        <v>19</v>
      </c>
      <c r="E29" s="1">
        <f ca="1">OFFSET('3060LAPTOP 100'!D$1,$A28-1+$A$1,0)</f>
        <v>1.3801451531913755</v>
      </c>
      <c r="F29" s="1">
        <f ca="1">OFFSET('3060LAPTOP 100'!E$1,$A28-1+$A$1,0)</f>
        <v>1.7078182581459003</v>
      </c>
      <c r="G29" s="1">
        <f ca="1">OFFSET('3060LAPTOP 100'!F$1,$A28-1+$A$1,0)</f>
        <v>1.7094216928956065</v>
      </c>
      <c r="H29" s="1">
        <f ca="1">OFFSET('3060LAPTOP 100'!G$1,$A28-1+$A$1,0)</f>
        <v>3.9946455579037305</v>
      </c>
      <c r="I29" s="1">
        <f ca="1">OFFSET('3060LAPTOP 100'!H$1,$A28-1+$A$1,0)</f>
        <v>16.97510411937731</v>
      </c>
      <c r="J29" s="1">
        <f ca="1">OFFSET('3060LAPTOP 100'!I$1,$A28-1+$A$1,0)</f>
        <v>32.606325232060811</v>
      </c>
      <c r="K29" s="1">
        <f ca="1">OFFSET('3060LAPTOP 100'!J$1,$A28-1+$A$1,0)</f>
        <v>53.502234364445293</v>
      </c>
    </row>
    <row r="30" spans="1:11" ht="15" customHeight="1" x14ac:dyDescent="0.25">
      <c r="A30">
        <v>8</v>
      </c>
      <c r="B30" t="str">
        <f ca="1">OFFSET('3060LAPTOP 100'!$C$1,A30-1,0)</f>
        <v>non CUDA transp Time</v>
      </c>
      <c r="C30" s="85" t="s">
        <v>22</v>
      </c>
      <c r="D30" s="1" t="s">
        <v>0</v>
      </c>
      <c r="E30" s="13">
        <f ca="1">OFFSET('3060LAPTOP 100'!D$1,$A30-1,0)</f>
        <v>361.17893999999984</v>
      </c>
      <c r="F30" s="13">
        <f ca="1">OFFSET('3060LAPTOP 100'!E$1,$A30-1,0)</f>
        <v>600.79459999999983</v>
      </c>
      <c r="G30" s="13">
        <f ca="1">OFFSET('3060LAPTOP 100'!F$1,$A30-1,0)</f>
        <v>1048.018</v>
      </c>
      <c r="H30" s="13">
        <f ca="1">OFFSET('3060LAPTOP 100'!G$1,$A30-1,0)</f>
        <v>1917.3047999999994</v>
      </c>
      <c r="I30" s="13">
        <f ca="1">OFFSET('3060LAPTOP 100'!H$1,$A30-1,0)</f>
        <v>4471.6643999999997</v>
      </c>
      <c r="J30" s="13">
        <f ca="1">OFFSET('3060LAPTOP 100'!I$1,$A30-1,0)</f>
        <v>7685.0462000000007</v>
      </c>
      <c r="K30" s="13">
        <f ca="1">OFFSET('3060LAPTOP 100'!J$1,$A30-1,0)</f>
        <v>16599.420000000002</v>
      </c>
    </row>
    <row r="31" spans="1:11" x14ac:dyDescent="0.25">
      <c r="C31" s="86"/>
      <c r="D31" s="1" t="s">
        <v>19</v>
      </c>
      <c r="E31" s="1">
        <f ca="1">OFFSET('3060LAPTOP 100'!D$1,$A30-1+$A$1,0)</f>
        <v>3.4910542052423597</v>
      </c>
      <c r="F31" s="1">
        <f ca="1">OFFSET('3060LAPTOP 100'!E$1,$A30-1+$A$1,0)</f>
        <v>5.8646901644510283</v>
      </c>
      <c r="G31" s="1">
        <f ca="1">OFFSET('3060LAPTOP 100'!F$1,$A30-1+$A$1,0)</f>
        <v>12.606186504258933</v>
      </c>
      <c r="H31" s="1">
        <f ca="1">OFFSET('3060LAPTOP 100'!G$1,$A30-1+$A$1,0)</f>
        <v>4.9558832506537867</v>
      </c>
      <c r="I31" s="1">
        <f ca="1">OFFSET('3060LAPTOP 100'!H$1,$A30-1+$A$1,0)</f>
        <v>16.655409307247787</v>
      </c>
      <c r="J31" s="1">
        <f ca="1">OFFSET('3060LAPTOP 100'!I$1,$A30-1+$A$1,0)</f>
        <v>14.958921090128454</v>
      </c>
      <c r="K31" s="1">
        <f ca="1">OFFSET('3060LAPTOP 100'!J$1,$A30-1+$A$1,0)</f>
        <v>29.110330693116925</v>
      </c>
    </row>
    <row r="32" spans="1:11" x14ac:dyDescent="0.25">
      <c r="A32">
        <v>9</v>
      </c>
      <c r="B32" t="str">
        <f ca="1">OFFSET('3060LAPTOP 100'!$C$1,A32-1,0)</f>
        <v>non CUDA transp_AVX Time</v>
      </c>
      <c r="C32" s="85" t="s">
        <v>23</v>
      </c>
      <c r="D32" s="1" t="s">
        <v>0</v>
      </c>
      <c r="E32" s="13">
        <f ca="1">OFFSET('3060LAPTOP 100'!D$1,$A32-1,0)</f>
        <v>394.92190000000005</v>
      </c>
      <c r="F32" s="13">
        <f ca="1">OFFSET('3060LAPTOP 100'!E$1,$A32-1,0)</f>
        <v>633.21774000000005</v>
      </c>
      <c r="G32" s="13">
        <f ca="1">OFFSET('3060LAPTOP 100'!F$1,$A32-1,0)</f>
        <v>1081.4721999999999</v>
      </c>
      <c r="H32" s="13">
        <f ca="1">OFFSET('3060LAPTOP 100'!G$1,$A32-1,0)</f>
        <v>2050.7576000000008</v>
      </c>
      <c r="I32" s="13">
        <f ca="1">OFFSET('3060LAPTOP 100'!H$1,$A32-1,0)</f>
        <v>4547.4100000000017</v>
      </c>
      <c r="J32" s="13">
        <f ca="1">OFFSET('3060LAPTOP 100'!I$1,$A32-1,0)</f>
        <v>7768.6138000000001</v>
      </c>
      <c r="K32" s="13">
        <f ca="1">OFFSET('3060LAPTOP 100'!J$1,$A32-1,0)</f>
        <v>16659.335999999999</v>
      </c>
    </row>
    <row r="33" spans="1:11" x14ac:dyDescent="0.25">
      <c r="C33" s="86"/>
      <c r="D33" s="1" t="s">
        <v>19</v>
      </c>
      <c r="E33" s="1">
        <f ca="1">OFFSET('3060LAPTOP 100'!D$1,$A32-1+$A$1,0)</f>
        <v>3.8288029579062952</v>
      </c>
      <c r="F33" s="1">
        <f ca="1">OFFSET('3060LAPTOP 100'!E$1,$A32-1+$A$1,0)</f>
        <v>4.9582397823228588</v>
      </c>
      <c r="G33" s="1">
        <f ca="1">OFFSET('3060LAPTOP 100'!F$1,$A32-1+$A$1,0)</f>
        <v>6.2008624307324469</v>
      </c>
      <c r="H33" s="1">
        <f ca="1">OFFSET('3060LAPTOP 100'!G$1,$A32-1+$A$1,0)</f>
        <v>5.5641670033434201</v>
      </c>
      <c r="I33" s="1">
        <f ca="1">OFFSET('3060LAPTOP 100'!H$1,$A32-1+$A$1,0)</f>
        <v>12.872021751602503</v>
      </c>
      <c r="J33" s="1">
        <f ca="1">OFFSET('3060LAPTOP 100'!I$1,$A32-1+$A$1,0)</f>
        <v>25.412145111927924</v>
      </c>
      <c r="K33" s="1">
        <f ca="1">OFFSET('3060LAPTOP 100'!J$1,$A32-1+$A$1,0)</f>
        <v>32.512805438954771</v>
      </c>
    </row>
    <row r="34" spans="1:11" x14ac:dyDescent="0.25">
      <c r="A34">
        <v>10</v>
      </c>
      <c r="B34" t="str">
        <f ca="1">OFFSET('3060LAPTOP 100'!$C$1,A34-1,0)</f>
        <v>non CUDA transp_AVX_OMP Time</v>
      </c>
      <c r="C34" s="85" t="s">
        <v>24</v>
      </c>
      <c r="D34" s="1" t="s">
        <v>0</v>
      </c>
      <c r="E34" s="13">
        <f ca="1">OFFSET('3060LAPTOP 100'!D$1,$A34-1,0)</f>
        <v>393.51114000000007</v>
      </c>
      <c r="F34" s="13">
        <f ca="1">OFFSET('3060LAPTOP 100'!E$1,$A34-1,0)</f>
        <v>632.04369999999983</v>
      </c>
      <c r="G34" s="13">
        <f ca="1">OFFSET('3060LAPTOP 100'!F$1,$A34-1,0)</f>
        <v>1095.9861999999996</v>
      </c>
      <c r="H34" s="13">
        <f ca="1">OFFSET('3060LAPTOP 100'!G$1,$A34-1,0)</f>
        <v>2033.1584000000003</v>
      </c>
      <c r="I34" s="13">
        <f ca="1">OFFSET('3060LAPTOP 100'!H$1,$A34-1,0)</f>
        <v>4555.7548000000006</v>
      </c>
      <c r="J34" s="13">
        <f ca="1">OFFSET('3060LAPTOP 100'!I$1,$A34-1,0)</f>
        <v>7755.5441999999985</v>
      </c>
      <c r="K34" s="13">
        <f ca="1">OFFSET('3060LAPTOP 100'!J$1,$A34-1,0)</f>
        <v>16691.11</v>
      </c>
    </row>
    <row r="35" spans="1:11" x14ac:dyDescent="0.25">
      <c r="C35" s="86"/>
      <c r="D35" s="1" t="s">
        <v>19</v>
      </c>
      <c r="E35" s="1">
        <f ca="1">OFFSET('3060LAPTOP 100'!D$1,$A34-1+$A$1,0)</f>
        <v>4.0252017085156675</v>
      </c>
      <c r="F35" s="1">
        <f ca="1">OFFSET('3060LAPTOP 100'!E$1,$A34-1+$A$1,0)</f>
        <v>3.6597518973082299</v>
      </c>
      <c r="G35" s="1">
        <f ca="1">OFFSET('3060LAPTOP 100'!F$1,$A34-1+$A$1,0)</f>
        <v>8.0015198030845305</v>
      </c>
      <c r="H35" s="1">
        <f ca="1">OFFSET('3060LAPTOP 100'!G$1,$A34-1+$A$1,0)</f>
        <v>5.5888277461018694</v>
      </c>
      <c r="I35" s="1">
        <f ca="1">OFFSET('3060LAPTOP 100'!H$1,$A34-1+$A$1,0)</f>
        <v>13.120158856100433</v>
      </c>
      <c r="J35" s="1">
        <f ca="1">OFFSET('3060LAPTOP 100'!I$1,$A34-1+$A$1,0)</f>
        <v>15.502057713913837</v>
      </c>
      <c r="K35" s="1">
        <f ca="1">OFFSET('3060LAPTOP 100'!J$1,$A34-1+$A$1,0)</f>
        <v>26.473441660252959</v>
      </c>
    </row>
    <row r="36" spans="1:11" s="18" customFormat="1" x14ac:dyDescent="0.25">
      <c r="A36" s="18">
        <v>3</v>
      </c>
      <c r="B36" s="18" t="str">
        <f ca="1">OFFSET('3060LAPTOP 1000'!$C$1,A36-1,0)</f>
        <v>Classic ACO</v>
      </c>
      <c r="C36" s="85" t="s">
        <v>1</v>
      </c>
      <c r="D36" s="19" t="s">
        <v>0</v>
      </c>
      <c r="E36" s="20">
        <f ca="1">OFFSET('3060LAPTOP 1000'!D$1,$A36-1,0)</f>
        <v>24196.247999999992</v>
      </c>
      <c r="F36" s="20">
        <f ca="1">OFFSET('3060LAPTOP 1000'!E$1,$A36-1,0)</f>
        <v>47270.151999999995</v>
      </c>
      <c r="G36" s="20">
        <f ca="1">OFFSET('3060LAPTOP 1000'!F$1,$A36-1,0)</f>
        <v>94088.621999999974</v>
      </c>
      <c r="H36" s="20">
        <f ca="1">OFFSET('3060LAPTOP 1000'!G$1,$A36-1,0)</f>
        <v>187213.28</v>
      </c>
      <c r="I36" s="20">
        <f ca="1">OFFSET('3060LAPTOP 1000'!H$1,$A36-1,0)</f>
        <v>0</v>
      </c>
      <c r="J36" s="20">
        <f ca="1">OFFSET('3060LAPTOP 1000'!I$1,$A36-1,0)</f>
        <v>0</v>
      </c>
      <c r="K36" s="20">
        <f ca="1">OFFSET('3060LAPTOP 1000'!J$1,$A36-1,0)</f>
        <v>0</v>
      </c>
    </row>
    <row r="37" spans="1:11" x14ac:dyDescent="0.25">
      <c r="C37" s="86"/>
      <c r="D37" s="1" t="s">
        <v>19</v>
      </c>
      <c r="E37" s="1">
        <f ca="1">OFFSET('3060LAPTOP 1000'!D$1,$A36-1+$A$1,0)</f>
        <v>147.55029419978814</v>
      </c>
      <c r="F37" s="1">
        <f ca="1">OFFSET('3060LAPTOP 1000'!E$1,$A36-1+$A$1,0)</f>
        <v>126.61605688398107</v>
      </c>
      <c r="G37" s="1">
        <f ca="1">OFFSET('3060LAPTOP 1000'!F$1,$A36-1+$A$1,0)</f>
        <v>654.50317803695236</v>
      </c>
      <c r="H37" s="1">
        <f ca="1">OFFSET('3060LAPTOP 1000'!G$1,$A36-1+$A$1,0)</f>
        <v>303.97216299364459</v>
      </c>
      <c r="I37" s="1">
        <f ca="1">OFFSET('3060LAPTOP 1000'!H$1,$A36-1+$A$1,0)</f>
        <v>0</v>
      </c>
      <c r="J37" s="1">
        <f ca="1">OFFSET('3060LAPTOP 1000'!I$1,$A36-1+$A$1,0)</f>
        <v>0</v>
      </c>
      <c r="K37" s="1">
        <f ca="1">OFFSET('3060LAPTOP 1000'!J$1,$A36-1+$A$1,0)</f>
        <v>0</v>
      </c>
    </row>
    <row r="38" spans="1:11" x14ac:dyDescent="0.25">
      <c r="A38">
        <v>4</v>
      </c>
      <c r="B38" s="23" t="str">
        <f ca="1">OFFSET('3060LAPTOP 1000'!$C$1,A38-1,0)</f>
        <v>non CUDA Time</v>
      </c>
      <c r="C38" s="85" t="s">
        <v>20</v>
      </c>
      <c r="D38" s="1" t="s">
        <v>0</v>
      </c>
      <c r="E38" s="22">
        <f ca="1">OFFSET('3060LAPTOP 1000'!D$1,$A38-1,0)</f>
        <v>1244.8463999999999</v>
      </c>
      <c r="F38" s="22">
        <f ca="1">OFFSET('3060LAPTOP 1000'!E$1,$A38-1,0)</f>
        <v>1969.7955999999999</v>
      </c>
      <c r="G38" s="22">
        <f ca="1">OFFSET('3060LAPTOP 1000'!F$1,$A38-1,0)</f>
        <v>3308.7164000000012</v>
      </c>
      <c r="H38" s="22">
        <f ca="1">OFFSET('3060LAPTOP 1000'!G$1,$A38-1,0)</f>
        <v>6320.338600000001</v>
      </c>
      <c r="I38" s="22">
        <f ca="1">OFFSET('3060LAPTOP 1000'!H$1,$A38-1,0)</f>
        <v>0</v>
      </c>
      <c r="J38" s="22">
        <f ca="1">OFFSET('3060LAPTOP 1000'!I$1,$A38-1,0)</f>
        <v>0</v>
      </c>
      <c r="K38" s="22">
        <f ca="1">OFFSET('3060LAPTOP 1000'!J$1,$A38-1,0)</f>
        <v>0</v>
      </c>
    </row>
    <row r="39" spans="1:11" x14ac:dyDescent="0.25">
      <c r="C39" s="86"/>
      <c r="D39" s="1" t="s">
        <v>19</v>
      </c>
      <c r="E39" s="4">
        <f ca="1">OFFSET('3060LAPTOP 1000'!D$1,$A38-1+$A$1,0)</f>
        <v>10.366438873583601</v>
      </c>
      <c r="F39" s="4">
        <f ca="1">OFFSET('3060LAPTOP 1000'!E$1,$A38-1+$A$1,0)</f>
        <v>11.484491551930217</v>
      </c>
      <c r="G39" s="4">
        <f ca="1">OFFSET('3060LAPTOP 1000'!F$1,$A38-1+$A$1,0)</f>
        <v>23.807976037169418</v>
      </c>
      <c r="H39" s="4">
        <f ca="1">OFFSET('3060LAPTOP 1000'!G$1,$A38-1+$A$1,0)</f>
        <v>33.315389464757104</v>
      </c>
      <c r="I39" s="4">
        <f ca="1">OFFSET('3060LAPTOP 1000'!H$1,$A38-1+$A$1,0)</f>
        <v>0</v>
      </c>
      <c r="J39" s="4">
        <f ca="1">OFFSET('3060LAPTOP 1000'!I$1,$A38-1+$A$1,0)</f>
        <v>0</v>
      </c>
      <c r="K39" s="4">
        <f ca="1">OFFSET('3060LAPTOP 1000'!J$1,$A38-1+$A$1,0)</f>
        <v>0</v>
      </c>
    </row>
    <row r="40" spans="1:11" x14ac:dyDescent="0.25">
      <c r="A40">
        <v>5</v>
      </c>
      <c r="B40" s="23" t="str">
        <f ca="1">OFFSET('3060LAPTOP 1000'!$C$1,A40-1,0)</f>
        <v>omp</v>
      </c>
      <c r="C40" s="85" t="s">
        <v>21</v>
      </c>
      <c r="D40" s="1" t="s">
        <v>0</v>
      </c>
      <c r="E40" s="22">
        <f ca="1">OFFSET('3060LAPTOP 1000'!D$1,$A40-1,0)</f>
        <v>706.01595999999972</v>
      </c>
      <c r="F40" s="22">
        <f ca="1">OFFSET('3060LAPTOP 1000'!E$1,$A40-1,0)</f>
        <v>1300.9078000000004</v>
      </c>
      <c r="G40" s="22">
        <f ca="1">OFFSET('3060LAPTOP 1000'!F$1,$A40-1,0)</f>
        <v>2619.4939999999992</v>
      </c>
      <c r="H40" s="22">
        <f ca="1">OFFSET('3060LAPTOP 1000'!G$1,$A40-1,0)</f>
        <v>5415.8602000000001</v>
      </c>
      <c r="I40" s="22">
        <f ca="1">OFFSET('3060LAPTOP 1000'!H$1,$A40-1,0)</f>
        <v>0</v>
      </c>
      <c r="J40" s="22">
        <f ca="1">OFFSET('3060LAPTOP 1000'!I$1,$A40-1,0)</f>
        <v>0</v>
      </c>
      <c r="K40" s="22">
        <f ca="1">OFFSET('3060LAPTOP 1000'!J$1,$A40-1,0)</f>
        <v>0</v>
      </c>
    </row>
    <row r="41" spans="1:11" x14ac:dyDescent="0.25">
      <c r="C41" s="86"/>
      <c r="D41" s="1" t="s">
        <v>19</v>
      </c>
      <c r="E41" s="4">
        <f ca="1">OFFSET('3060LAPTOP 1000'!D$1,$A40-1+$A$1,0)</f>
        <v>8.6065098508877806</v>
      </c>
      <c r="F41" s="4">
        <f ca="1">OFFSET('3060LAPTOP 1000'!E$1,$A40-1+$A$1,0)</f>
        <v>7.6805600972724086</v>
      </c>
      <c r="G41" s="4">
        <f ca="1">OFFSET('3060LAPTOP 1000'!F$1,$A40-1+$A$1,0)</f>
        <v>17.559286588250675</v>
      </c>
      <c r="H41" s="4">
        <f ca="1">OFFSET('3060LAPTOP 1000'!G$1,$A40-1+$A$1,0)</f>
        <v>60.708277530254726</v>
      </c>
      <c r="I41" s="4">
        <f ca="1">OFFSET('3060LAPTOP 1000'!H$1,$A40-1+$A$1,0)</f>
        <v>0</v>
      </c>
      <c r="J41" s="4">
        <f ca="1">OFFSET('3060LAPTOP 1000'!I$1,$A40-1+$A$1,0)</f>
        <v>0</v>
      </c>
      <c r="K41" s="4">
        <f ca="1">OFFSET('3060LAPTOP 1000'!J$1,$A40-1+$A$1,0)</f>
        <v>0</v>
      </c>
    </row>
    <row r="42" spans="1:11" x14ac:dyDescent="0.25">
      <c r="A42">
        <v>6</v>
      </c>
      <c r="B42" s="23" t="str">
        <f ca="1">OFFSET('3060LAPTOP 1000'!$C$1,A42-1,0)</f>
        <v>non CUDA AVX Time</v>
      </c>
      <c r="C42" s="85" t="s">
        <v>32</v>
      </c>
      <c r="D42" s="1" t="s">
        <v>0</v>
      </c>
      <c r="E42" s="22">
        <f ca="1">OFFSET('3060LAPTOP 1000'!D$1,$A42-1,0)</f>
        <v>1232.2766000000001</v>
      </c>
      <c r="F42" s="22">
        <f ca="1">OFFSET('3060LAPTOP 1000'!E$1,$A42-1,0)</f>
        <v>2026.6083999999996</v>
      </c>
      <c r="G42" s="22">
        <f ca="1">OFFSET('3060LAPTOP 1000'!F$1,$A42-1,0)</f>
        <v>3316.1202000000003</v>
      </c>
      <c r="H42" s="22">
        <f ca="1">OFFSET('3060LAPTOP 1000'!G$1,$A42-1,0)</f>
        <v>6330.1558000000005</v>
      </c>
      <c r="I42" s="22">
        <f ca="1">OFFSET('3060LAPTOP 1000'!H$1,$A42-1,0)</f>
        <v>0</v>
      </c>
      <c r="J42" s="22">
        <f ca="1">OFFSET('3060LAPTOP 1000'!I$1,$A42-1,0)</f>
        <v>0</v>
      </c>
      <c r="K42" s="22">
        <f ca="1">OFFSET('3060LAPTOP 1000'!J$1,$A42-1,0)</f>
        <v>0</v>
      </c>
    </row>
    <row r="43" spans="1:11" x14ac:dyDescent="0.25">
      <c r="C43" s="86"/>
      <c r="D43" s="1" t="s">
        <v>19</v>
      </c>
      <c r="E43" s="4">
        <f ca="1">OFFSET('3060LAPTOP 1000'!D$1,$A42-1+$A$1,0)</f>
        <v>11.560274727051691</v>
      </c>
      <c r="F43" s="4">
        <f ca="1">OFFSET('3060LAPTOP 1000'!E$1,$A42-1+$A$1,0)</f>
        <v>17.891100746515466</v>
      </c>
      <c r="G43" s="4">
        <f ca="1">OFFSET('3060LAPTOP 1000'!F$1,$A42-1+$A$1,0)</f>
        <v>17.760414194137663</v>
      </c>
      <c r="H43" s="4">
        <f ca="1">OFFSET('3060LAPTOP 1000'!G$1,$A42-1+$A$1,0)</f>
        <v>39.755919054134459</v>
      </c>
      <c r="I43" s="4">
        <f ca="1">OFFSET('3060LAPTOP 1000'!H$1,$A42-1+$A$1,0)</f>
        <v>0</v>
      </c>
      <c r="J43" s="4">
        <f ca="1">OFFSET('3060LAPTOP 1000'!I$1,$A42-1+$A$1,0)</f>
        <v>0</v>
      </c>
      <c r="K43" s="4">
        <f ca="1">OFFSET('3060LAPTOP 1000'!J$1,$A42-1+$A$1,0)</f>
        <v>0</v>
      </c>
    </row>
    <row r="44" spans="1:11" ht="15" customHeight="1" x14ac:dyDescent="0.25">
      <c r="A44">
        <v>7</v>
      </c>
      <c r="B44" s="23" t="str">
        <f ca="1">OFFSET('3060LAPTOP 1000'!$C$1,A44-1,0)</f>
        <v>non CUDA AVX_OMP Time</v>
      </c>
      <c r="C44" s="85" t="s">
        <v>33</v>
      </c>
      <c r="D44" s="1" t="s">
        <v>0</v>
      </c>
      <c r="E44" s="22">
        <f ca="1">OFFSET('3060LAPTOP 1000'!D$1,$A44-1,0)</f>
        <v>655.69731999999999</v>
      </c>
      <c r="F44" s="22">
        <f ca="1">OFFSET('3060LAPTOP 1000'!E$1,$A44-1,0)</f>
        <v>1322.2719999999999</v>
      </c>
      <c r="G44" s="22">
        <f ca="1">OFFSET('3060LAPTOP 1000'!F$1,$A44-1,0)</f>
        <v>2575.1058000000003</v>
      </c>
      <c r="H44" s="22">
        <f ca="1">OFFSET('3060LAPTOP 1000'!G$1,$A44-1,0)</f>
        <v>5197.3040000000001</v>
      </c>
      <c r="I44" s="22">
        <f ca="1">OFFSET('3060LAPTOP 1000'!H$1,$A44-1,0)</f>
        <v>0</v>
      </c>
      <c r="J44" s="22">
        <f ca="1">OFFSET('3060LAPTOP 1000'!I$1,$A44-1,0)</f>
        <v>0</v>
      </c>
      <c r="K44" s="22">
        <f ca="1">OFFSET('3060LAPTOP 1000'!J$1,$A44-1,0)</f>
        <v>0</v>
      </c>
    </row>
    <row r="45" spans="1:11" x14ac:dyDescent="0.25">
      <c r="C45" s="86"/>
      <c r="D45" s="1" t="s">
        <v>19</v>
      </c>
      <c r="E45" s="4">
        <f ca="1">OFFSET('3060LAPTOP 1000'!D$1,$A44-1+$A$1,0)</f>
        <v>3.4974984042707438</v>
      </c>
      <c r="F45" s="4">
        <f ca="1">OFFSET('3060LAPTOP 1000'!E$1,$A44-1+$A$1,0)</f>
        <v>8.1978087306596734</v>
      </c>
      <c r="G45" s="4">
        <f ca="1">OFFSET('3060LAPTOP 1000'!F$1,$A44-1+$A$1,0)</f>
        <v>16.590583023081841</v>
      </c>
      <c r="H45" s="4">
        <f ca="1">OFFSET('3060LAPTOP 1000'!G$1,$A44-1+$A$1,0)</f>
        <v>39.114428258432511</v>
      </c>
      <c r="I45" s="4">
        <f ca="1">OFFSET('3060LAPTOP 1000'!H$1,$A44-1+$A$1,0)</f>
        <v>0</v>
      </c>
      <c r="J45" s="4">
        <f ca="1">OFFSET('3060LAPTOP 1000'!I$1,$A44-1+$A$1,0)</f>
        <v>0</v>
      </c>
      <c r="K45" s="4">
        <f ca="1">OFFSET('3060LAPTOP 1000'!J$1,$A44-1+$A$1,0)</f>
        <v>0</v>
      </c>
    </row>
    <row r="46" spans="1:11" ht="15" customHeight="1" x14ac:dyDescent="0.25">
      <c r="A46">
        <v>8</v>
      </c>
      <c r="B46" s="23" t="str">
        <f ca="1">OFFSET('3060LAPTOP 1000'!$C$1,A46-1,0)</f>
        <v>non CUDA transp Time</v>
      </c>
      <c r="C46" s="85" t="s">
        <v>22</v>
      </c>
      <c r="D46" s="1" t="s">
        <v>0</v>
      </c>
      <c r="E46" s="22">
        <f ca="1">OFFSET('3060LAPTOP 1000'!D$1,$A46-1,0)</f>
        <v>787.52170000000012</v>
      </c>
      <c r="F46" s="22">
        <f ca="1">OFFSET('3060LAPTOP 1000'!E$1,$A46-1,0)</f>
        <v>1484.0466000000004</v>
      </c>
      <c r="G46" s="22">
        <f ca="1">OFFSET('3060LAPTOP 1000'!F$1,$A46-1,0)</f>
        <v>2880.6154000000006</v>
      </c>
      <c r="H46" s="22">
        <f ca="1">OFFSET('3060LAPTOP 1000'!G$1,$A46-1,0)</f>
        <v>6286.639799999999</v>
      </c>
      <c r="I46" s="22">
        <f ca="1">OFFSET('3060LAPTOP 1000'!H$1,$A46-1,0)</f>
        <v>0</v>
      </c>
      <c r="J46" s="22">
        <f ca="1">OFFSET('3060LAPTOP 1000'!I$1,$A46-1,0)</f>
        <v>0</v>
      </c>
      <c r="K46" s="22">
        <f ca="1">OFFSET('3060LAPTOP 1000'!J$1,$A46-1,0)</f>
        <v>0</v>
      </c>
    </row>
    <row r="47" spans="1:11" x14ac:dyDescent="0.25">
      <c r="C47" s="86"/>
      <c r="D47" s="1" t="s">
        <v>19</v>
      </c>
      <c r="E47" s="4">
        <f ca="1">OFFSET('3060LAPTOP 1000'!D$1,$A46-1+$A$1,0)</f>
        <v>4.079301163801663</v>
      </c>
      <c r="F47" s="4">
        <f ca="1">OFFSET('3060LAPTOP 1000'!E$1,$A46-1+$A$1,0)</f>
        <v>7.1011519480274528</v>
      </c>
      <c r="G47" s="4">
        <f ca="1">OFFSET('3060LAPTOP 1000'!F$1,$A46-1+$A$1,0)</f>
        <v>7.7826535515066366</v>
      </c>
      <c r="H47" s="4">
        <f ca="1">OFFSET('3060LAPTOP 1000'!G$1,$A46-1+$A$1,0)</f>
        <v>19.745944019012679</v>
      </c>
      <c r="I47" s="4">
        <f ca="1">OFFSET('3060LAPTOP 1000'!H$1,$A46-1+$A$1,0)</f>
        <v>0</v>
      </c>
      <c r="J47" s="4">
        <f ca="1">OFFSET('3060LAPTOP 1000'!I$1,$A46-1+$A$1,0)</f>
        <v>0</v>
      </c>
      <c r="K47" s="4">
        <f ca="1">OFFSET('3060LAPTOP 1000'!J$1,$A46-1+$A$1,0)</f>
        <v>0</v>
      </c>
    </row>
    <row r="48" spans="1:11" x14ac:dyDescent="0.25">
      <c r="A48">
        <v>9</v>
      </c>
      <c r="B48" s="23" t="str">
        <f ca="1">OFFSET('3060LAPTOP 1000'!$C$1,A48-1,0)</f>
        <v>non CUDA transp_AVX Time</v>
      </c>
      <c r="C48" s="85" t="s">
        <v>23</v>
      </c>
      <c r="D48" s="1" t="s">
        <v>0</v>
      </c>
      <c r="E48" s="22">
        <f ca="1">OFFSET('3060LAPTOP 1000'!D$1,$A48-1,0)</f>
        <v>0</v>
      </c>
      <c r="F48" s="22">
        <f ca="1">OFFSET('3060LAPTOP 1000'!E$1,$A48-1,0)</f>
        <v>1505.5848000000001</v>
      </c>
      <c r="G48" s="22">
        <f ca="1">OFFSET('3060LAPTOP 1000'!F$1,$A48-1,0)</f>
        <v>2938.6935999999992</v>
      </c>
      <c r="H48" s="22">
        <f ca="1">OFFSET('3060LAPTOP 1000'!G$1,$A48-1,0)</f>
        <v>6332.6830000000018</v>
      </c>
      <c r="I48" s="22">
        <f ca="1">OFFSET('3060LAPTOP 1000'!H$1,$A48-1,0)</f>
        <v>0</v>
      </c>
      <c r="J48" s="22">
        <f ca="1">OFFSET('3060LAPTOP 1000'!I$1,$A48-1,0)</f>
        <v>0</v>
      </c>
      <c r="K48" s="22">
        <f ca="1">OFFSET('3060LAPTOP 1000'!J$1,$A48-1,0)</f>
        <v>0</v>
      </c>
    </row>
    <row r="49" spans="1:11" x14ac:dyDescent="0.25">
      <c r="C49" s="86"/>
      <c r="D49" s="1" t="s">
        <v>19</v>
      </c>
      <c r="E49" s="4">
        <f ca="1">OFFSET('3060LAPTOP 1000'!D$1,$A48-1+$A$1,0)</f>
        <v>0</v>
      </c>
      <c r="F49" s="4">
        <f ca="1">OFFSET('3060LAPTOP 1000'!E$1,$A48-1+$A$1,0)</f>
        <v>7.5810685671695834</v>
      </c>
      <c r="G49" s="4">
        <f ca="1">OFFSET('3060LAPTOP 1000'!F$1,$A48-1+$A$1,0)</f>
        <v>14.229118128918648</v>
      </c>
      <c r="H49" s="4">
        <f ca="1">OFFSET('3060LAPTOP 1000'!G$1,$A48-1+$A$1,0)</f>
        <v>25.427053723627839</v>
      </c>
      <c r="I49" s="4">
        <f ca="1">OFFSET('3060LAPTOP 1000'!H$1,$A48-1+$A$1,0)</f>
        <v>0</v>
      </c>
      <c r="J49" s="4">
        <f ca="1">OFFSET('3060LAPTOP 1000'!I$1,$A48-1+$A$1,0)</f>
        <v>0</v>
      </c>
      <c r="K49" s="4">
        <f ca="1">OFFSET('3060LAPTOP 1000'!J$1,$A48-1+$A$1,0)</f>
        <v>0</v>
      </c>
    </row>
    <row r="50" spans="1:11" x14ac:dyDescent="0.25">
      <c r="A50">
        <v>10</v>
      </c>
      <c r="B50" s="23" t="str">
        <f ca="1">OFFSET('3060LAPTOP 1000'!$C$1,A50-1,0)</f>
        <v>non CUDA transp_AVX_OMP Time</v>
      </c>
      <c r="C50" s="85" t="s">
        <v>24</v>
      </c>
      <c r="D50" s="1" t="s">
        <v>0</v>
      </c>
      <c r="E50" s="22">
        <f ca="1">OFFSET('3060LAPTOP 1000'!D$1,$A50-1,0)</f>
        <v>0</v>
      </c>
      <c r="F50" s="22">
        <f ca="1">OFFSET('3060LAPTOP 1000'!E$1,$A50-1,0)</f>
        <v>1491.7985999999999</v>
      </c>
      <c r="G50" s="22">
        <f ca="1">OFFSET('3060LAPTOP 1000'!F$1,$A50-1,0)</f>
        <v>2913.1618000000003</v>
      </c>
      <c r="H50" s="22">
        <f ca="1">OFFSET('3060LAPTOP 1000'!G$1,$A50-1,0)</f>
        <v>6310.7021999999997</v>
      </c>
      <c r="I50" s="22">
        <f ca="1">OFFSET('3060LAPTOP 1000'!H$1,$A50-1,0)</f>
        <v>0</v>
      </c>
      <c r="J50" s="22">
        <f ca="1">OFFSET('3060LAPTOP 1000'!I$1,$A50-1,0)</f>
        <v>0</v>
      </c>
      <c r="K50" s="22">
        <f ca="1">OFFSET('3060LAPTOP 1000'!J$1,$A50-1,0)</f>
        <v>0</v>
      </c>
    </row>
    <row r="51" spans="1:11" x14ac:dyDescent="0.25">
      <c r="C51" s="86"/>
      <c r="D51" s="1" t="s">
        <v>19</v>
      </c>
      <c r="E51" s="4">
        <f ca="1">OFFSET('3060LAPTOP 1000'!D$1,$A50-1+$A$1,0)</f>
        <v>0</v>
      </c>
      <c r="F51" s="4">
        <f ca="1">OFFSET('3060LAPTOP 1000'!E$1,$A50-1+$A$1,0)</f>
        <v>2.9986288479158754</v>
      </c>
      <c r="G51" s="4">
        <f ca="1">OFFSET('3060LAPTOP 1000'!F$1,$A50-1+$A$1,0)</f>
        <v>6.0144660711953737</v>
      </c>
      <c r="H51" s="4">
        <f ca="1">OFFSET('3060LAPTOP 1000'!G$1,$A50-1+$A$1,0)</f>
        <v>28.038616770538546</v>
      </c>
      <c r="I51" s="4">
        <f ca="1">OFFSET('3060LAPTOP 1000'!H$1,$A50-1+$A$1,0)</f>
        <v>0</v>
      </c>
      <c r="J51" s="4">
        <f ca="1">OFFSET('3060LAPTOP 1000'!I$1,$A50-1+$A$1,0)</f>
        <v>0</v>
      </c>
      <c r="K51" s="4">
        <f ca="1">OFFSET('3060LAPTOP 1000'!J$1,$A50-1+$A$1,0)</f>
        <v>0</v>
      </c>
    </row>
    <row r="52" spans="1:11" s="18" customFormat="1" x14ac:dyDescent="0.25">
      <c r="A52" s="18">
        <v>3</v>
      </c>
      <c r="B52" s="18" t="str">
        <f ca="1">OFFSET('3060LAPTOP 10000'!$C$1,A52-1,0)</f>
        <v>Classic ACO</v>
      </c>
      <c r="C52" s="85" t="s">
        <v>1</v>
      </c>
      <c r="D52" s="19" t="s">
        <v>0</v>
      </c>
      <c r="E52" s="20">
        <f ca="1">OFFSET('3060LAPTOP 10000'!D$1,$A52-1,0)</f>
        <v>169450.7</v>
      </c>
      <c r="F52" s="20">
        <f ca="1">OFFSET('3060LAPTOP 10000'!E$1,$A52-1,0)</f>
        <v>346403.18367346941</v>
      </c>
      <c r="G52" s="20">
        <f ca="1">OFFSET('3060LAPTOP 10000'!F$1,$A52-1,0)</f>
        <v>725121.66</v>
      </c>
      <c r="H52" s="20">
        <f ca="1">OFFSET('3060LAPTOP 10000'!G$1,$A52-1,0)</f>
        <v>0</v>
      </c>
      <c r="I52" s="20">
        <f ca="1">OFFSET('3060LAPTOP 10000'!H$1,$A52-1,0)</f>
        <v>0</v>
      </c>
      <c r="J52" s="20">
        <f ca="1">OFFSET('3060LAPTOP 10000'!I$1,$A52-1,0)</f>
        <v>0</v>
      </c>
      <c r="K52" s="20">
        <f ca="1">OFFSET('3060LAPTOP 10000'!J$1,$A52-1,0)</f>
        <v>0</v>
      </c>
    </row>
    <row r="53" spans="1:11" x14ac:dyDescent="0.25">
      <c r="C53" s="86"/>
      <c r="D53" s="1" t="s">
        <v>19</v>
      </c>
      <c r="E53" s="1">
        <f ca="1">OFFSET('3060LAPTOP 10000'!D$1,$A52-1+$A$1,0)</f>
        <v>3780.1045415055019</v>
      </c>
      <c r="F53" s="1">
        <f ca="1">OFFSET('3060LAPTOP 10000'!E$1,$A52-1+$A$1,0)</f>
        <v>11822.558299292547</v>
      </c>
      <c r="G53" s="1">
        <f ca="1">OFFSET('3060LAPTOP 10000'!F$1,$A52-1+$A$1,0)</f>
        <v>18022.905094521455</v>
      </c>
      <c r="H53" s="1">
        <f ca="1">OFFSET('3060LAPTOP 10000'!G$1,$A52-1+$A$1,0)</f>
        <v>0</v>
      </c>
      <c r="I53" s="1">
        <f ca="1">OFFSET('3060LAPTOP 10000'!H$1,$A52-1+$A$1,0)</f>
        <v>0</v>
      </c>
      <c r="J53" s="1">
        <f ca="1">OFFSET('3060LAPTOP 10000'!I$1,$A52-1+$A$1,0)</f>
        <v>0</v>
      </c>
      <c r="K53" s="1">
        <f ca="1">OFFSET('3060LAPTOP 10000'!J$1,$A52-1+$A$1,0)</f>
        <v>0</v>
      </c>
    </row>
    <row r="54" spans="1:11" x14ac:dyDescent="0.25">
      <c r="A54">
        <v>4</v>
      </c>
      <c r="B54" s="23" t="str">
        <f ca="1">OFFSET('3060LAPTOP 10000'!$C$1,A54-1,0)</f>
        <v>non CUDA Time</v>
      </c>
      <c r="C54" s="85" t="s">
        <v>20</v>
      </c>
      <c r="D54" s="1" t="s">
        <v>0</v>
      </c>
      <c r="E54" s="22">
        <f ca="1">OFFSET('3060LAPTOP 10000'!D$1,$A54-1,0)</f>
        <v>5066.7535999999982</v>
      </c>
      <c r="F54" s="22">
        <f ca="1">OFFSET('3060LAPTOP 10000'!E$1,$A54-1,0)</f>
        <v>7238.9484000000011</v>
      </c>
      <c r="G54" s="22">
        <f ca="1">OFFSET('3060LAPTOP 10000'!F$1,$A54-1,0)</f>
        <v>21937.48</v>
      </c>
      <c r="H54" s="22">
        <f ca="1">OFFSET('3060LAPTOP 10000'!G$1,$A54-1,0)</f>
        <v>0</v>
      </c>
      <c r="I54" s="22">
        <f ca="1">OFFSET('3060LAPTOP 10000'!H$1,$A54-1,0)</f>
        <v>0</v>
      </c>
      <c r="J54" s="22">
        <f ca="1">OFFSET('3060LAPTOP 10000'!I$1,$A54-1,0)</f>
        <v>0</v>
      </c>
      <c r="K54" s="22">
        <f ca="1">OFFSET('3060LAPTOP 10000'!J$1,$A54-1,0)</f>
        <v>0</v>
      </c>
    </row>
    <row r="55" spans="1:11" x14ac:dyDescent="0.25">
      <c r="C55" s="86"/>
      <c r="D55" s="1" t="s">
        <v>19</v>
      </c>
      <c r="E55" s="4">
        <f ca="1">OFFSET('3060LAPTOP 10000'!D$1,$A54-1+$A$1,0)</f>
        <v>61.962182569210917</v>
      </c>
      <c r="F55" s="4">
        <f ca="1">OFFSET('3060LAPTOP 10000'!E$1,$A54-1+$A$1,0)</f>
        <v>65.122344467331942</v>
      </c>
      <c r="G55" s="4">
        <f ca="1">OFFSET('3060LAPTOP 10000'!F$1,$A54-1+$A$1,0)</f>
        <v>185.48857748423936</v>
      </c>
      <c r="H55" s="4">
        <f ca="1">OFFSET('3060LAPTOP 10000'!G$1,$A54-1+$A$1,0)</f>
        <v>0</v>
      </c>
      <c r="I55" s="4">
        <f ca="1">OFFSET('3060LAPTOP 10000'!H$1,$A54-1+$A$1,0)</f>
        <v>0</v>
      </c>
      <c r="J55" s="4">
        <f ca="1">OFFSET('3060LAPTOP 10000'!I$1,$A54-1+$A$1,0)</f>
        <v>0</v>
      </c>
      <c r="K55" s="4">
        <f ca="1">OFFSET('3060LAPTOP 10000'!J$1,$A54-1+$A$1,0)</f>
        <v>0</v>
      </c>
    </row>
    <row r="56" spans="1:11" x14ac:dyDescent="0.25">
      <c r="A56">
        <v>5</v>
      </c>
      <c r="B56" s="23" t="str">
        <f ca="1">OFFSET('3060LAPTOP 10000'!$C$1,A56-1,0)</f>
        <v>omp</v>
      </c>
      <c r="C56" s="85" t="s">
        <v>21</v>
      </c>
      <c r="D56" s="1" t="s">
        <v>0</v>
      </c>
      <c r="E56" s="22">
        <f ca="1">OFFSET('3060LAPTOP 10000'!D$1,$A56-1,0)</f>
        <v>3687.1821999999993</v>
      </c>
      <c r="F56" s="22">
        <f ca="1">OFFSET('3060LAPTOP 10000'!E$1,$A56-1,0)</f>
        <v>7295.7897999999996</v>
      </c>
      <c r="G56" s="22">
        <f ca="1">OFFSET('3060LAPTOP 10000'!F$1,$A56-1,0)</f>
        <v>14808.391999999998</v>
      </c>
      <c r="H56" s="22">
        <f ca="1">OFFSET('3060LAPTOP 10000'!G$1,$A56-1,0)</f>
        <v>0</v>
      </c>
      <c r="I56" s="22">
        <f ca="1">OFFSET('3060LAPTOP 10000'!H$1,$A56-1,0)</f>
        <v>0</v>
      </c>
      <c r="J56" s="22">
        <f ca="1">OFFSET('3060LAPTOP 10000'!I$1,$A56-1,0)</f>
        <v>0</v>
      </c>
      <c r="K56" s="22">
        <f ca="1">OFFSET('3060LAPTOP 10000'!J$1,$A56-1,0)</f>
        <v>0</v>
      </c>
    </row>
    <row r="57" spans="1:11" x14ac:dyDescent="0.25">
      <c r="C57" s="86"/>
      <c r="D57" s="1" t="s">
        <v>19</v>
      </c>
      <c r="E57" s="4">
        <f ca="1">OFFSET('3060LAPTOP 10000'!D$1,$A56-1+$A$1,0)</f>
        <v>14.554135409867982</v>
      </c>
      <c r="F57" s="4">
        <f ca="1">OFFSET('3060LAPTOP 10000'!E$1,$A56-1+$A$1,0)</f>
        <v>47.376487388959326</v>
      </c>
      <c r="G57" s="4">
        <f ca="1">OFFSET('3060LAPTOP 10000'!F$1,$A56-1+$A$1,0)</f>
        <v>166.76784632106884</v>
      </c>
      <c r="H57" s="4">
        <f ca="1">OFFSET('3060LAPTOP 10000'!G$1,$A56-1+$A$1,0)</f>
        <v>0</v>
      </c>
      <c r="I57" s="4">
        <f ca="1">OFFSET('3060LAPTOP 10000'!H$1,$A56-1+$A$1,0)</f>
        <v>0</v>
      </c>
      <c r="J57" s="4">
        <f ca="1">OFFSET('3060LAPTOP 10000'!I$1,$A56-1+$A$1,0)</f>
        <v>0</v>
      </c>
      <c r="K57" s="4">
        <f ca="1">OFFSET('3060LAPTOP 10000'!J$1,$A56-1+$A$1,0)</f>
        <v>0</v>
      </c>
    </row>
    <row r="58" spans="1:11" x14ac:dyDescent="0.25">
      <c r="A58">
        <v>6</v>
      </c>
      <c r="B58" s="23" t="str">
        <f ca="1">OFFSET('3060LAPTOP 10000'!$C$1,A58-1,0)</f>
        <v>non CUDA AVX Time</v>
      </c>
      <c r="C58" s="85" t="s">
        <v>32</v>
      </c>
      <c r="D58" s="1" t="s">
        <v>0</v>
      </c>
      <c r="E58" s="22">
        <f ca="1">OFFSET('3060LAPTOP 10000'!D$1,$A58-1,0)</f>
        <v>5014.2218000000003</v>
      </c>
      <c r="F58" s="22">
        <f ca="1">OFFSET('3060LAPTOP 10000'!E$1,$A58-1,0)</f>
        <v>7224.1119999999983</v>
      </c>
      <c r="G58" s="22">
        <f ca="1">OFFSET('3060LAPTOP 10000'!F$1,$A58-1,0)</f>
        <v>21809.186000000002</v>
      </c>
      <c r="H58" s="22">
        <f ca="1">OFFSET('3060LAPTOP 10000'!G$1,$A58-1,0)</f>
        <v>0</v>
      </c>
      <c r="I58" s="22">
        <f ca="1">OFFSET('3060LAPTOP 10000'!H$1,$A58-1,0)</f>
        <v>0</v>
      </c>
      <c r="J58" s="22">
        <f ca="1">OFFSET('3060LAPTOP 10000'!I$1,$A58-1,0)</f>
        <v>0</v>
      </c>
      <c r="K58" s="22">
        <f ca="1">OFFSET('3060LAPTOP 10000'!J$1,$A58-1,0)</f>
        <v>0</v>
      </c>
    </row>
    <row r="59" spans="1:11" x14ac:dyDescent="0.25">
      <c r="C59" s="86"/>
      <c r="D59" s="1" t="s">
        <v>19</v>
      </c>
      <c r="E59" s="4">
        <f ca="1">OFFSET('3060LAPTOP 10000'!D$1,$A58-1+$A$1,0)</f>
        <v>63.652082228721049</v>
      </c>
      <c r="F59" s="4">
        <f ca="1">OFFSET('3060LAPTOP 10000'!E$1,$A58-1+$A$1,0)</f>
        <v>48.919702165704329</v>
      </c>
      <c r="G59" s="4">
        <f ca="1">OFFSET('3060LAPTOP 10000'!F$1,$A58-1+$A$1,0)</f>
        <v>231.02781232201855</v>
      </c>
      <c r="H59" s="4">
        <f ca="1">OFFSET('3060LAPTOP 10000'!G$1,$A58-1+$A$1,0)</f>
        <v>0</v>
      </c>
      <c r="I59" s="4">
        <f ca="1">OFFSET('3060LAPTOP 10000'!H$1,$A58-1+$A$1,0)</f>
        <v>0</v>
      </c>
      <c r="J59" s="4">
        <f ca="1">OFFSET('3060LAPTOP 10000'!I$1,$A58-1+$A$1,0)</f>
        <v>0</v>
      </c>
      <c r="K59" s="4">
        <f ca="1">OFFSET('3060LAPTOP 10000'!J$1,$A58-1+$A$1,0)</f>
        <v>0</v>
      </c>
    </row>
    <row r="60" spans="1:11" ht="15" customHeight="1" x14ac:dyDescent="0.25">
      <c r="A60">
        <v>7</v>
      </c>
      <c r="B60" s="23" t="str">
        <f ca="1">OFFSET('3060LAPTOP 10000'!$C$1,A60-1,0)</f>
        <v>non CUDA AVX_OMP Time</v>
      </c>
      <c r="C60" s="85" t="s">
        <v>33</v>
      </c>
      <c r="D60" s="1" t="s">
        <v>0</v>
      </c>
      <c r="E60" s="22">
        <f ca="1">OFFSET('3060LAPTOP 10000'!D$1,$A60-1,0)</f>
        <v>3435.3452000000016</v>
      </c>
      <c r="F60" s="22">
        <f ca="1">OFFSET('3060LAPTOP 10000'!E$1,$A60-1,0)</f>
        <v>14552.846000000001</v>
      </c>
      <c r="G60" s="22">
        <f ca="1">OFFSET('3060LAPTOP 10000'!F$1,$A60-1,0)</f>
        <v>14570.165999999999</v>
      </c>
      <c r="H60" s="22">
        <f ca="1">OFFSET('3060LAPTOP 10000'!G$1,$A60-1,0)</f>
        <v>0</v>
      </c>
      <c r="I60" s="22">
        <f ca="1">OFFSET('3060LAPTOP 10000'!H$1,$A60-1,0)</f>
        <v>0</v>
      </c>
      <c r="J60" s="22">
        <f ca="1">OFFSET('3060LAPTOP 10000'!I$1,$A60-1,0)</f>
        <v>0</v>
      </c>
      <c r="K60" s="22">
        <f ca="1">OFFSET('3060LAPTOP 10000'!J$1,$A60-1,0)</f>
        <v>0</v>
      </c>
    </row>
    <row r="61" spans="1:11" x14ac:dyDescent="0.25">
      <c r="C61" s="86"/>
      <c r="D61" s="1" t="s">
        <v>19</v>
      </c>
      <c r="E61" s="4">
        <f ca="1">OFFSET('3060LAPTOP 10000'!D$1,$A60-1+$A$1,0)</f>
        <v>27.210315183091843</v>
      </c>
      <c r="F61" s="4">
        <f ca="1">OFFSET('3060LAPTOP 10000'!E$1,$A60-1+$A$1,0)</f>
        <v>72.971481651965277</v>
      </c>
      <c r="G61" s="4">
        <f ca="1">OFFSET('3060LAPTOP 10000'!F$1,$A60-1+$A$1,0)</f>
        <v>137.33668082615154</v>
      </c>
      <c r="H61" s="4">
        <f ca="1">OFFSET('3060LAPTOP 10000'!G$1,$A60-1+$A$1,0)</f>
        <v>0</v>
      </c>
      <c r="I61" s="4">
        <f ca="1">OFFSET('3060LAPTOP 10000'!H$1,$A60-1+$A$1,0)</f>
        <v>0</v>
      </c>
      <c r="J61" s="4">
        <f ca="1">OFFSET('3060LAPTOP 10000'!I$1,$A60-1+$A$1,0)</f>
        <v>0</v>
      </c>
      <c r="K61" s="4">
        <f ca="1">OFFSET('3060LAPTOP 10000'!J$1,$A60-1+$A$1,0)</f>
        <v>0</v>
      </c>
    </row>
    <row r="62" spans="1:11" ht="15" customHeight="1" x14ac:dyDescent="0.25">
      <c r="A62">
        <v>8</v>
      </c>
      <c r="B62" s="23" t="str">
        <f ca="1">OFFSET('3060LAPTOP 10000'!$C$1,A62-1,0)</f>
        <v>non CUDA transp Time</v>
      </c>
      <c r="C62" s="85" t="s">
        <v>22</v>
      </c>
      <c r="D62" s="1" t="s">
        <v>0</v>
      </c>
      <c r="E62" s="22">
        <f ca="1">OFFSET('3060LAPTOP 10000'!D$1,$A62-1,0)</f>
        <v>7780.8096000000005</v>
      </c>
      <c r="F62" s="22">
        <f ca="1">OFFSET('3060LAPTOP 10000'!E$1,$A62-1,0)</f>
        <v>14455.903999999999</v>
      </c>
      <c r="G62" s="22">
        <f ca="1">OFFSET('3060LAPTOP 10000'!F$1,$A62-1,0)</f>
        <v>39537.840000000004</v>
      </c>
      <c r="H62" s="22">
        <f ca="1">OFFSET('3060LAPTOP 10000'!G$1,$A62-1,0)</f>
        <v>0</v>
      </c>
      <c r="I62" s="22">
        <f ca="1">OFFSET('3060LAPTOP 10000'!H$1,$A62-1,0)</f>
        <v>0</v>
      </c>
      <c r="J62" s="22">
        <f ca="1">OFFSET('3060LAPTOP 10000'!I$1,$A62-1,0)</f>
        <v>0</v>
      </c>
      <c r="K62" s="22">
        <f ca="1">OFFSET('3060LAPTOP 10000'!J$1,$A62-1,0)</f>
        <v>0</v>
      </c>
    </row>
    <row r="63" spans="1:11" x14ac:dyDescent="0.25">
      <c r="C63" s="86"/>
      <c r="D63" s="1" t="s">
        <v>19</v>
      </c>
      <c r="E63" s="4">
        <f ca="1">OFFSET('3060LAPTOP 10000'!D$1,$A62-1+$A$1,0)</f>
        <v>64.505493352961963</v>
      </c>
      <c r="F63" s="4">
        <f ca="1">OFFSET('3060LAPTOP 10000'!E$1,$A62-1+$A$1,0)</f>
        <v>61.724598763501099</v>
      </c>
      <c r="G63" s="4">
        <f ca="1">OFFSET('3060LAPTOP 10000'!F$1,$A62-1+$A$1,0)</f>
        <v>1206.0420757683748</v>
      </c>
      <c r="H63" s="4">
        <f ca="1">OFFSET('3060LAPTOP 10000'!G$1,$A62-1+$A$1,0)</f>
        <v>0</v>
      </c>
      <c r="I63" s="4">
        <f ca="1">OFFSET('3060LAPTOP 10000'!H$1,$A62-1+$A$1,0)</f>
        <v>0</v>
      </c>
      <c r="J63" s="4">
        <f ca="1">OFFSET('3060LAPTOP 10000'!I$1,$A62-1+$A$1,0)</f>
        <v>0</v>
      </c>
      <c r="K63" s="4">
        <f ca="1">OFFSET('3060LAPTOP 10000'!J$1,$A62-1+$A$1,0)</f>
        <v>0</v>
      </c>
    </row>
    <row r="64" spans="1:11" x14ac:dyDescent="0.25">
      <c r="A64">
        <v>9</v>
      </c>
      <c r="B64" s="23" t="str">
        <f ca="1">OFFSET('3060LAPTOP 10000'!$C$1,A64-1,0)</f>
        <v>non CUDA transp_AVX Time</v>
      </c>
      <c r="C64" s="85" t="s">
        <v>23</v>
      </c>
      <c r="D64" s="1" t="s">
        <v>0</v>
      </c>
      <c r="E64" s="22">
        <f ca="1">OFFSET('3060LAPTOP 10000'!D$1,$A64-1,0)</f>
        <v>7597.5917999999992</v>
      </c>
      <c r="F64" s="22">
        <f ca="1">OFFSET('3060LAPTOP 10000'!E$1,$A64-1,0)</f>
        <v>14385.483999999999</v>
      </c>
      <c r="G64" s="22">
        <f ca="1">OFFSET('3060LAPTOP 10000'!F$1,$A64-1,0)</f>
        <v>38834.561999999991</v>
      </c>
      <c r="H64" s="22">
        <f ca="1">OFFSET('3060LAPTOP 10000'!G$1,$A64-1,0)</f>
        <v>0</v>
      </c>
      <c r="I64" s="22">
        <f ca="1">OFFSET('3060LAPTOP 10000'!H$1,$A64-1,0)</f>
        <v>0</v>
      </c>
      <c r="J64" s="22">
        <f ca="1">OFFSET('3060LAPTOP 10000'!I$1,$A64-1,0)</f>
        <v>0</v>
      </c>
      <c r="K64" s="22">
        <f ca="1">OFFSET('3060LAPTOP 10000'!J$1,$A64-1,0)</f>
        <v>0</v>
      </c>
    </row>
    <row r="65" spans="1:11" x14ac:dyDescent="0.25">
      <c r="C65" s="86"/>
      <c r="D65" s="1" t="s">
        <v>19</v>
      </c>
      <c r="E65" s="4">
        <f ca="1">OFFSET('3060LAPTOP 10000'!D$1,$A64-1+$A$1,0)</f>
        <v>58.759631261402241</v>
      </c>
      <c r="F65" s="4">
        <f ca="1">OFFSET('3060LAPTOP 10000'!E$1,$A64-1+$A$1,0)</f>
        <v>54.340944113991085</v>
      </c>
      <c r="G65" s="4">
        <f ca="1">OFFSET('3060LAPTOP 10000'!F$1,$A64-1+$A$1,0)</f>
        <v>1688.2358703250075</v>
      </c>
      <c r="H65" s="4">
        <f ca="1">OFFSET('3060LAPTOP 10000'!G$1,$A64-1+$A$1,0)</f>
        <v>0</v>
      </c>
      <c r="I65" s="4">
        <f ca="1">OFFSET('3060LAPTOP 10000'!H$1,$A64-1+$A$1,0)</f>
        <v>0</v>
      </c>
      <c r="J65" s="4">
        <f ca="1">OFFSET('3060LAPTOP 10000'!I$1,$A64-1+$A$1,0)</f>
        <v>0</v>
      </c>
      <c r="K65" s="4">
        <f ca="1">OFFSET('3060LAPTOP 10000'!J$1,$A64-1+$A$1,0)</f>
        <v>0</v>
      </c>
    </row>
    <row r="66" spans="1:11" x14ac:dyDescent="0.25">
      <c r="A66">
        <v>10</v>
      </c>
      <c r="B66" s="23" t="str">
        <f ca="1">OFFSET('3060LAPTOP 10000'!$C$1,A66-1,0)</f>
        <v>non CUDA transp_AVX_OMP Time</v>
      </c>
      <c r="C66" s="85" t="s">
        <v>24</v>
      </c>
      <c r="D66" s="1" t="s">
        <v>0</v>
      </c>
      <c r="E66" s="22">
        <f ca="1">OFFSET('3060LAPTOP 10000'!D$1,$A66-1,0)</f>
        <v>7623.8973999999998</v>
      </c>
      <c r="F66" s="22">
        <f ca="1">OFFSET('3060LAPTOP 10000'!E$1,$A66-1,0)</f>
        <v>14368.898000000003</v>
      </c>
      <c r="G66" s="22">
        <f ca="1">OFFSET('3060LAPTOP 10000'!F$1,$A66-1,0)</f>
        <v>38508.324000000001</v>
      </c>
      <c r="H66" s="22">
        <f ca="1">OFFSET('3060LAPTOP 10000'!G$1,$A66-1,0)</f>
        <v>0</v>
      </c>
      <c r="I66" s="22">
        <f ca="1">OFFSET('3060LAPTOP 10000'!H$1,$A66-1,0)</f>
        <v>0</v>
      </c>
      <c r="J66" s="22">
        <f ca="1">OFFSET('3060LAPTOP 10000'!I$1,$A66-1,0)</f>
        <v>0</v>
      </c>
      <c r="K66" s="22">
        <f ca="1">OFFSET('3060LAPTOP 10000'!J$1,$A66-1,0)</f>
        <v>0</v>
      </c>
    </row>
    <row r="67" spans="1:11" x14ac:dyDescent="0.25">
      <c r="C67" s="86"/>
      <c r="D67" s="1" t="s">
        <v>19</v>
      </c>
      <c r="E67" s="4">
        <f ca="1">OFFSET('3060LAPTOP 10000'!D$1,$A66-1+$A$1,0)</f>
        <v>56.619020096836074</v>
      </c>
      <c r="F67" s="4">
        <f ca="1">OFFSET('3060LAPTOP 10000'!E$1,$A66-1+$A$1,0)</f>
        <v>71.924622091909953</v>
      </c>
      <c r="G67" s="4">
        <f ca="1">OFFSET('3060LAPTOP 10000'!F$1,$A66-1+$A$1,0)</f>
        <v>784.70044598311176</v>
      </c>
      <c r="H67" s="4">
        <f ca="1">OFFSET('3060LAPTOP 10000'!G$1,$A66-1+$A$1,0)</f>
        <v>0</v>
      </c>
      <c r="I67" s="4">
        <f ca="1">OFFSET('3060LAPTOP 10000'!H$1,$A66-1+$A$1,0)</f>
        <v>0</v>
      </c>
      <c r="J67" s="4">
        <f ca="1">OFFSET('3060LAPTOP 10000'!I$1,$A66-1+$A$1,0)</f>
        <v>0</v>
      </c>
      <c r="K67" s="4">
        <f ca="1">OFFSET('3060LAPTOP 10000'!J$1,$A66-1+$A$1,0)</f>
        <v>0</v>
      </c>
    </row>
    <row r="73" spans="1:11" ht="15.75" thickBot="1" x14ac:dyDescent="0.3"/>
    <row r="74" spans="1:11" x14ac:dyDescent="0.25">
      <c r="B74" s="74"/>
      <c r="C74" s="80" t="s">
        <v>34</v>
      </c>
      <c r="D74" s="81"/>
      <c r="E74" s="41">
        <v>2</v>
      </c>
      <c r="F74" s="42">
        <v>4</v>
      </c>
      <c r="G74" s="42">
        <v>8</v>
      </c>
      <c r="H74" s="42">
        <v>16</v>
      </c>
      <c r="I74" s="42">
        <v>32</v>
      </c>
      <c r="J74" s="42">
        <v>64</v>
      </c>
      <c r="K74" s="43">
        <v>128</v>
      </c>
    </row>
    <row r="75" spans="1:11" ht="15.75" thickBot="1" x14ac:dyDescent="0.3">
      <c r="B75" s="74"/>
      <c r="C75" s="82" t="s">
        <v>35</v>
      </c>
      <c r="D75" s="83"/>
      <c r="E75" s="44">
        <v>42</v>
      </c>
      <c r="F75" s="24">
        <v>84</v>
      </c>
      <c r="G75" s="24">
        <v>168</v>
      </c>
      <c r="H75" s="24">
        <v>336</v>
      </c>
      <c r="I75" s="24">
        <v>672</v>
      </c>
      <c r="J75" s="24">
        <v>1344</v>
      </c>
      <c r="K75" s="45">
        <v>2688</v>
      </c>
    </row>
    <row r="76" spans="1:11" x14ac:dyDescent="0.25">
      <c r="B76" s="73"/>
      <c r="C76" s="84" t="s">
        <v>1</v>
      </c>
      <c r="D76" s="37" t="s">
        <v>0</v>
      </c>
      <c r="E76" s="46">
        <f ca="1">E4/E$3</f>
        <v>160.28679523809524</v>
      </c>
      <c r="F76" s="25">
        <f t="shared" ref="F76:K76" ca="1" si="0">F4/F$3</f>
        <v>152.3282142857143</v>
      </c>
      <c r="G76" s="25">
        <f t="shared" ca="1" si="0"/>
        <v>143.5269761904762</v>
      </c>
      <c r="H76" s="25">
        <f t="shared" ca="1" si="0"/>
        <v>137.08138095238095</v>
      </c>
      <c r="I76" s="25">
        <f t="shared" ca="1" si="0"/>
        <v>136.76777678571426</v>
      </c>
      <c r="J76" s="25">
        <f t="shared" ca="1" si="0"/>
        <v>137.20839285714285</v>
      </c>
      <c r="K76" s="26">
        <f t="shared" ca="1" si="0"/>
        <v>136.7449181547619</v>
      </c>
    </row>
    <row r="77" spans="1:11" x14ac:dyDescent="0.25">
      <c r="B77" s="73"/>
      <c r="C77" s="78"/>
      <c r="D77" s="38" t="s">
        <v>19</v>
      </c>
      <c r="E77" s="47">
        <f t="shared" ref="E77:K77" ca="1" si="1">E5/E$3</f>
        <v>0.70768120167968906</v>
      </c>
      <c r="F77" s="27">
        <f t="shared" ca="1" si="1"/>
        <v>0.20548907621195939</v>
      </c>
      <c r="G77" s="27">
        <f t="shared" ca="1" si="1"/>
        <v>0.58350775222737583</v>
      </c>
      <c r="H77" s="27">
        <f t="shared" ca="1" si="1"/>
        <v>0.14341345197026606</v>
      </c>
      <c r="I77" s="27">
        <f t="shared" ca="1" si="1"/>
        <v>0.76283898580657428</v>
      </c>
      <c r="J77" s="27">
        <f t="shared" ca="1" si="1"/>
        <v>0.57668301802800159</v>
      </c>
      <c r="K77" s="28">
        <f t="shared" ca="1" si="1"/>
        <v>0.50504861098573184</v>
      </c>
    </row>
    <row r="78" spans="1:11" x14ac:dyDescent="0.25">
      <c r="B78" s="73"/>
      <c r="C78" s="77" t="s">
        <v>21</v>
      </c>
      <c r="D78" s="38" t="s">
        <v>0</v>
      </c>
      <c r="E78" s="48">
        <f t="shared" ref="E78:K78" ca="1" si="2">E8/E$3</f>
        <v>12.799591904761908</v>
      </c>
      <c r="F78" s="29">
        <f t="shared" ca="1" si="2"/>
        <v>12.026235714285713</v>
      </c>
      <c r="G78" s="29">
        <f t="shared" ca="1" si="2"/>
        <v>11.548007142857143</v>
      </c>
      <c r="H78" s="29">
        <f t="shared" ca="1" si="2"/>
        <v>11.358633928571427</v>
      </c>
      <c r="I78" s="29">
        <f t="shared" ca="1" si="2"/>
        <v>11.624221130952382</v>
      </c>
      <c r="J78" s="29">
        <f t="shared" ca="1" si="2"/>
        <v>11.275946428571428</v>
      </c>
      <c r="K78" s="30">
        <f t="shared" ca="1" si="2"/>
        <v>11.194257440476187</v>
      </c>
    </row>
    <row r="79" spans="1:11" ht="15.75" thickBot="1" x14ac:dyDescent="0.3">
      <c r="B79" s="73"/>
      <c r="C79" s="79"/>
      <c r="D79" s="39" t="s">
        <v>19</v>
      </c>
      <c r="E79" s="49">
        <f t="shared" ref="E79:K79" ca="1" si="3">E9/E$3</f>
        <v>0.1073713479719576</v>
      </c>
      <c r="F79" s="31">
        <f t="shared" ca="1" si="3"/>
        <v>3.2085286411340931E-2</v>
      </c>
      <c r="G79" s="31">
        <f t="shared" ca="1" si="3"/>
        <v>1.3738236487264304E-2</v>
      </c>
      <c r="H79" s="31">
        <f t="shared" ca="1" si="3"/>
        <v>2.6108088105827824E-2</v>
      </c>
      <c r="I79" s="31">
        <f t="shared" ca="1" si="3"/>
        <v>2.532910276692877E-2</v>
      </c>
      <c r="J79" s="31">
        <f t="shared" ca="1" si="3"/>
        <v>1.846934730663647E-2</v>
      </c>
      <c r="K79" s="32">
        <f t="shared" ca="1" si="3"/>
        <v>1.1612889146121028E-2</v>
      </c>
    </row>
    <row r="80" spans="1:11" x14ac:dyDescent="0.25">
      <c r="B80" s="73"/>
      <c r="C80" s="84" t="s">
        <v>1</v>
      </c>
      <c r="D80" s="37" t="s">
        <v>0</v>
      </c>
      <c r="E80" s="46">
        <f t="shared" ref="E80:K80" ca="1" si="4">E20/E$3</f>
        <v>146.4509238095238</v>
      </c>
      <c r="F80" s="25">
        <f t="shared" ca="1" si="4"/>
        <v>139.27919047619048</v>
      </c>
      <c r="G80" s="25">
        <f t="shared" ca="1" si="4"/>
        <v>130.40441666666669</v>
      </c>
      <c r="H80" s="25">
        <f t="shared" ca="1" si="4"/>
        <v>125.57274404761904</v>
      </c>
      <c r="I80" s="25">
        <f t="shared" ca="1" si="4"/>
        <v>125.87202083333332</v>
      </c>
      <c r="J80" s="25">
        <f t="shared" ca="1" si="4"/>
        <v>124.34489583333334</v>
      </c>
      <c r="K80" s="26">
        <f t="shared" ca="1" si="4"/>
        <v>124.62458333333333</v>
      </c>
    </row>
    <row r="81" spans="2:11" x14ac:dyDescent="0.25">
      <c r="B81" s="73"/>
      <c r="C81" s="78"/>
      <c r="D81" s="38" t="s">
        <v>19</v>
      </c>
      <c r="E81" s="47">
        <f t="shared" ref="E81:K81" ca="1" si="5">E21/E$3</f>
        <v>1.8958853666195561</v>
      </c>
      <c r="F81" s="27">
        <f t="shared" ca="1" si="5"/>
        <v>1.2352117291743956</v>
      </c>
      <c r="G81" s="27">
        <f t="shared" ca="1" si="5"/>
        <v>3.2667075621815136</v>
      </c>
      <c r="H81" s="27">
        <f t="shared" ca="1" si="5"/>
        <v>0.30974409151411236</v>
      </c>
      <c r="I81" s="27">
        <f t="shared" ca="1" si="5"/>
        <v>0.73772959719820952</v>
      </c>
      <c r="J81" s="27">
        <f t="shared" ca="1" si="5"/>
        <v>8.7659142444053761E-2</v>
      </c>
      <c r="K81" s="28">
        <f t="shared" ca="1" si="5"/>
        <v>0.13533016230950115</v>
      </c>
    </row>
    <row r="82" spans="2:11" x14ac:dyDescent="0.25">
      <c r="B82" s="73"/>
      <c r="C82" s="77" t="s">
        <v>20</v>
      </c>
      <c r="D82" s="38" t="s">
        <v>0</v>
      </c>
      <c r="E82" s="48">
        <f t="shared" ref="E82:K82" ca="1" si="6">E22/E$3</f>
        <v>8.9970242857142857</v>
      </c>
      <c r="F82" s="29">
        <f t="shared" ca="1" si="6"/>
        <v>7.4824885714285712</v>
      </c>
      <c r="G82" s="29">
        <f t="shared" ca="1" si="6"/>
        <v>6.0713358333333352</v>
      </c>
      <c r="H82" s="29">
        <f t="shared" ca="1" si="6"/>
        <v>5.7122672619047616</v>
      </c>
      <c r="I82" s="29">
        <f t="shared" ca="1" si="6"/>
        <v>5.9433351190476174</v>
      </c>
      <c r="J82" s="29">
        <f t="shared" ca="1" si="6"/>
        <v>5.8973715773809525</v>
      </c>
      <c r="K82" s="30">
        <f t="shared" ca="1" si="6"/>
        <v>5.34081994047619</v>
      </c>
    </row>
    <row r="83" spans="2:11" x14ac:dyDescent="0.25">
      <c r="B83" s="73"/>
      <c r="C83" s="78"/>
      <c r="D83" s="38" t="s">
        <v>19</v>
      </c>
      <c r="E83" s="47">
        <f t="shared" ref="E83:K83" ca="1" si="7">E23/E$3</f>
        <v>0.26932671239657424</v>
      </c>
      <c r="F83" s="27">
        <f t="shared" ca="1" si="7"/>
        <v>0.13774022799477895</v>
      </c>
      <c r="G83" s="27">
        <f t="shared" ca="1" si="7"/>
        <v>6.641584688145527E-2</v>
      </c>
      <c r="H83" s="27">
        <f t="shared" ca="1" si="7"/>
        <v>3.8569727748232523E-2</v>
      </c>
      <c r="I83" s="27">
        <f t="shared" ca="1" si="7"/>
        <v>3.8925158686183708E-2</v>
      </c>
      <c r="J83" s="27">
        <f t="shared" ca="1" si="7"/>
        <v>3.2848888587854182E-2</v>
      </c>
      <c r="K83" s="28">
        <f t="shared" ca="1" si="7"/>
        <v>2.509417908423104E-2</v>
      </c>
    </row>
    <row r="84" spans="2:11" x14ac:dyDescent="0.25">
      <c r="B84" s="73"/>
      <c r="C84" s="77" t="s">
        <v>21</v>
      </c>
      <c r="D84" s="38" t="s">
        <v>0</v>
      </c>
      <c r="E84" s="48">
        <f t="shared" ref="E84:K84" ca="1" si="8">E24/E$3</f>
        <v>6.9538833333333328</v>
      </c>
      <c r="F84" s="29">
        <f t="shared" ca="1" si="8"/>
        <v>6.2501233333333346</v>
      </c>
      <c r="G84" s="29">
        <f t="shared" ca="1" si="8"/>
        <v>5.4842325000000001</v>
      </c>
      <c r="H84" s="29">
        <f t="shared" ca="1" si="8"/>
        <v>5.3138821428571434</v>
      </c>
      <c r="I84" s="29">
        <f t="shared" ca="1" si="8"/>
        <v>6.4244892857142855</v>
      </c>
      <c r="J84" s="29">
        <f t="shared" ca="1" si="8"/>
        <v>5.8324444940476194</v>
      </c>
      <c r="K84" s="30">
        <f t="shared" ca="1" si="8"/>
        <v>5.3474717261904754</v>
      </c>
    </row>
    <row r="85" spans="2:11" x14ac:dyDescent="0.25">
      <c r="B85" s="73"/>
      <c r="C85" s="78"/>
      <c r="D85" s="38" t="s">
        <v>19</v>
      </c>
      <c r="E85" s="47">
        <f t="shared" ref="E85:K85" ca="1" si="9">E25/E$3</f>
        <v>3.6848725152439116E-2</v>
      </c>
      <c r="F85" s="27">
        <f t="shared" ca="1" si="9"/>
        <v>8.4644207390241019E-2</v>
      </c>
      <c r="G85" s="27">
        <f t="shared" ca="1" si="9"/>
        <v>2.4143744078566412E-2</v>
      </c>
      <c r="H85" s="27">
        <f t="shared" ca="1" si="9"/>
        <v>2.1797900586460667E-2</v>
      </c>
      <c r="I85" s="27">
        <f t="shared" ca="1" si="9"/>
        <v>0.10144864260184942</v>
      </c>
      <c r="J85" s="27">
        <f t="shared" ca="1" si="9"/>
        <v>2.9605552006982734E-2</v>
      </c>
      <c r="K85" s="28">
        <f t="shared" ca="1" si="9"/>
        <v>1.4697364912836467E-2</v>
      </c>
    </row>
    <row r="86" spans="2:11" x14ac:dyDescent="0.25">
      <c r="B86" s="73"/>
      <c r="C86" s="77" t="s">
        <v>32</v>
      </c>
      <c r="D86" s="38" t="s">
        <v>0</v>
      </c>
      <c r="E86" s="48">
        <f t="shared" ref="E86:K86" ca="1" si="10">E26/E$3</f>
        <v>9.1962742857142867</v>
      </c>
      <c r="F86" s="29">
        <f t="shared" ca="1" si="10"/>
        <v>7.2489738095238083</v>
      </c>
      <c r="G86" s="29">
        <f t="shared" ca="1" si="10"/>
        <v>6.2403654761904761</v>
      </c>
      <c r="H86" s="29">
        <f t="shared" ca="1" si="10"/>
        <v>5.8315589285714298</v>
      </c>
      <c r="I86" s="29">
        <f t="shared" ca="1" si="10"/>
        <v>6.6193190476190482</v>
      </c>
      <c r="J86" s="29">
        <f t="shared" ca="1" si="10"/>
        <v>5.9304809523809539</v>
      </c>
      <c r="K86" s="30">
        <f t="shared" ca="1" si="10"/>
        <v>5.4403020833333331</v>
      </c>
    </row>
    <row r="87" spans="2:11" x14ac:dyDescent="0.25">
      <c r="B87" s="73"/>
      <c r="C87" s="78"/>
      <c r="D87" s="38" t="s">
        <v>19</v>
      </c>
      <c r="E87" s="47">
        <f t="shared" ref="E87:K87" ca="1" si="11">E27/E$3</f>
        <v>7.7380609379929577E-2</v>
      </c>
      <c r="F87" s="27">
        <f t="shared" ca="1" si="11"/>
        <v>3.9427616081004827E-2</v>
      </c>
      <c r="G87" s="27">
        <f t="shared" ca="1" si="11"/>
        <v>4.9890225474401952E-2</v>
      </c>
      <c r="H87" s="27">
        <f t="shared" ca="1" si="11"/>
        <v>2.528922709965209E-2</v>
      </c>
      <c r="I87" s="27">
        <f t="shared" ca="1" si="11"/>
        <v>2.2072404883618585E-2</v>
      </c>
      <c r="J87" s="27">
        <f t="shared" ca="1" si="11"/>
        <v>3.0231097716721288E-2</v>
      </c>
      <c r="K87" s="28">
        <f t="shared" ca="1" si="11"/>
        <v>1.7708337355305914E-2</v>
      </c>
    </row>
    <row r="88" spans="2:11" x14ac:dyDescent="0.25">
      <c r="B88" s="73"/>
      <c r="C88" s="75" t="s">
        <v>33</v>
      </c>
      <c r="D88" s="40" t="s">
        <v>0</v>
      </c>
      <c r="E88" s="50">
        <f t="shared" ref="E88:K88" ca="1" si="12">E28/E$3</f>
        <v>6.2269747619047635</v>
      </c>
      <c r="F88" s="33">
        <f t="shared" ca="1" si="12"/>
        <v>5.6242038095238085</v>
      </c>
      <c r="G88" s="33">
        <f t="shared" ca="1" si="12"/>
        <v>5.226633333333333</v>
      </c>
      <c r="H88" s="33">
        <f t="shared" ca="1" si="12"/>
        <v>5.3187767857142862</v>
      </c>
      <c r="I88" s="33">
        <f t="shared" ca="1" si="12"/>
        <v>5.9617717261904772</v>
      </c>
      <c r="J88" s="33">
        <f t="shared" ca="1" si="12"/>
        <v>5.2123500000000007</v>
      </c>
      <c r="K88" s="34">
        <f t="shared" ca="1" si="12"/>
        <v>5.8063541666666696</v>
      </c>
    </row>
    <row r="89" spans="2:11" x14ac:dyDescent="0.25">
      <c r="B89" s="73"/>
      <c r="C89" s="76"/>
      <c r="D89" s="40" t="s">
        <v>19</v>
      </c>
      <c r="E89" s="51">
        <f t="shared" ref="E89:K89" ca="1" si="13">E29/E$3</f>
        <v>3.2860598885508942E-2</v>
      </c>
      <c r="F89" s="35">
        <f t="shared" ca="1" si="13"/>
        <v>2.0331169739832147E-2</v>
      </c>
      <c r="G89" s="35">
        <f t="shared" ca="1" si="13"/>
        <v>1.017512912437861E-2</v>
      </c>
      <c r="H89" s="35">
        <f t="shared" ca="1" si="13"/>
        <v>1.1888826065189675E-2</v>
      </c>
      <c r="I89" s="35">
        <f t="shared" ca="1" si="13"/>
        <v>2.5260571606216236E-2</v>
      </c>
      <c r="J89" s="35">
        <f t="shared" ca="1" si="13"/>
        <v>2.426065865480715E-2</v>
      </c>
      <c r="K89" s="36">
        <f t="shared" ca="1" si="13"/>
        <v>1.9904105046296611E-2</v>
      </c>
    </row>
    <row r="90" spans="2:11" x14ac:dyDescent="0.25">
      <c r="B90" s="73"/>
      <c r="C90" s="77" t="s">
        <v>22</v>
      </c>
      <c r="D90" s="38" t="s">
        <v>0</v>
      </c>
      <c r="E90" s="48">
        <f t="shared" ref="E90:K90" ca="1" si="14">E30/E$3</f>
        <v>8.5994985714285672</v>
      </c>
      <c r="F90" s="29">
        <f t="shared" ca="1" si="14"/>
        <v>7.1523166666666649</v>
      </c>
      <c r="G90" s="29">
        <f t="shared" ca="1" si="14"/>
        <v>6.238202380952381</v>
      </c>
      <c r="H90" s="29">
        <f t="shared" ca="1" si="14"/>
        <v>5.7062642857142842</v>
      </c>
      <c r="I90" s="29">
        <f t="shared" ca="1" si="14"/>
        <v>6.6542624999999997</v>
      </c>
      <c r="J90" s="29">
        <f t="shared" ca="1" si="14"/>
        <v>5.7180403273809528</v>
      </c>
      <c r="K90" s="30">
        <f t="shared" ca="1" si="14"/>
        <v>6.1753794642857152</v>
      </c>
    </row>
    <row r="91" spans="2:11" x14ac:dyDescent="0.25">
      <c r="B91" s="73"/>
      <c r="C91" s="78"/>
      <c r="D91" s="38" t="s">
        <v>19</v>
      </c>
      <c r="E91" s="47">
        <f t="shared" ref="E91:K91" ca="1" si="15">E31/E$3</f>
        <v>8.3120338220056184E-2</v>
      </c>
      <c r="F91" s="27">
        <f t="shared" ca="1" si="15"/>
        <v>6.9817740052988436E-2</v>
      </c>
      <c r="G91" s="27">
        <f t="shared" ca="1" si="15"/>
        <v>7.5036824430112697E-2</v>
      </c>
      <c r="H91" s="27">
        <f t="shared" ca="1" si="15"/>
        <v>1.4749652531707699E-2</v>
      </c>
      <c r="I91" s="27">
        <f t="shared" ca="1" si="15"/>
        <v>2.4784835278642541E-2</v>
      </c>
      <c r="J91" s="27">
        <f t="shared" ca="1" si="15"/>
        <v>1.113014962063129E-2</v>
      </c>
      <c r="K91" s="28">
        <f t="shared" ca="1" si="15"/>
        <v>1.0829736120951236E-2</v>
      </c>
    </row>
    <row r="92" spans="2:11" x14ac:dyDescent="0.25">
      <c r="B92" s="73"/>
      <c r="C92" s="77" t="s">
        <v>23</v>
      </c>
      <c r="D92" s="38" t="s">
        <v>0</v>
      </c>
      <c r="E92" s="48">
        <f t="shared" ref="E92:K92" ca="1" si="16">E32/E$3</f>
        <v>9.4029023809523817</v>
      </c>
      <c r="F92" s="29">
        <f t="shared" ca="1" si="16"/>
        <v>7.5383064285714294</v>
      </c>
      <c r="G92" s="29">
        <f t="shared" ca="1" si="16"/>
        <v>6.4373345238095236</v>
      </c>
      <c r="H92" s="29">
        <f t="shared" ca="1" si="16"/>
        <v>6.1034452380952402</v>
      </c>
      <c r="I92" s="29">
        <f t="shared" ca="1" si="16"/>
        <v>6.766979166666669</v>
      </c>
      <c r="J92" s="29">
        <f t="shared" ca="1" si="16"/>
        <v>5.7802186011904766</v>
      </c>
      <c r="K92" s="30">
        <f t="shared" ca="1" si="16"/>
        <v>6.1976696428571429</v>
      </c>
    </row>
    <row r="93" spans="2:11" x14ac:dyDescent="0.25">
      <c r="B93" s="73"/>
      <c r="C93" s="78"/>
      <c r="D93" s="38" t="s">
        <v>19</v>
      </c>
      <c r="E93" s="47">
        <f t="shared" ref="E93:K93" ca="1" si="17">E33/E$3</f>
        <v>9.116197518824512E-2</v>
      </c>
      <c r="F93" s="27">
        <f t="shared" ca="1" si="17"/>
        <v>5.9026664075272128E-2</v>
      </c>
      <c r="G93" s="27">
        <f t="shared" ca="1" si="17"/>
        <v>3.6909895421026469E-2</v>
      </c>
      <c r="H93" s="27">
        <f t="shared" ca="1" si="17"/>
        <v>1.6560020843283989E-2</v>
      </c>
      <c r="I93" s="27">
        <f t="shared" ca="1" si="17"/>
        <v>1.915479427321801E-2</v>
      </c>
      <c r="J93" s="27">
        <f t="shared" ca="1" si="17"/>
        <v>1.8907846065422562E-2</v>
      </c>
      <c r="K93" s="28">
        <f t="shared" ca="1" si="17"/>
        <v>1.2095537737706389E-2</v>
      </c>
    </row>
    <row r="94" spans="2:11" x14ac:dyDescent="0.25">
      <c r="B94" s="73"/>
      <c r="C94" s="77" t="s">
        <v>24</v>
      </c>
      <c r="D94" s="38" t="s">
        <v>0</v>
      </c>
      <c r="E94" s="48">
        <f t="shared" ref="E94:K94" ca="1" si="18">E34/E$3</f>
        <v>9.3693128571428588</v>
      </c>
      <c r="F94" s="29">
        <f t="shared" ca="1" si="18"/>
        <v>7.5243297619047596</v>
      </c>
      <c r="G94" s="29">
        <f t="shared" ca="1" si="18"/>
        <v>6.5237273809523781</v>
      </c>
      <c r="H94" s="29">
        <f t="shared" ca="1" si="18"/>
        <v>6.0510666666666673</v>
      </c>
      <c r="I94" s="29">
        <f t="shared" ca="1" si="18"/>
        <v>6.7793970238095245</v>
      </c>
      <c r="J94" s="29">
        <f t="shared" ca="1" si="18"/>
        <v>5.7704941964285705</v>
      </c>
      <c r="K94" s="30">
        <f t="shared" ca="1" si="18"/>
        <v>6.2094903273809523</v>
      </c>
    </row>
    <row r="95" spans="2:11" ht="15.75" thickBot="1" x14ac:dyDescent="0.3">
      <c r="B95" s="73"/>
      <c r="C95" s="79"/>
      <c r="D95" s="39" t="s">
        <v>19</v>
      </c>
      <c r="E95" s="49">
        <f t="shared" ref="E95:K95" ca="1" si="19">E35/E$3</f>
        <v>9.5838135917039699E-2</v>
      </c>
      <c r="F95" s="31">
        <f t="shared" ca="1" si="19"/>
        <v>4.3568474967955115E-2</v>
      </c>
      <c r="G95" s="31">
        <f t="shared" ca="1" si="19"/>
        <v>4.762809406597935E-2</v>
      </c>
      <c r="H95" s="31">
        <f t="shared" ca="1" si="19"/>
        <v>1.6633415911017468E-2</v>
      </c>
      <c r="I95" s="31">
        <f t="shared" ca="1" si="19"/>
        <v>1.952404591681612E-2</v>
      </c>
      <c r="J95" s="31">
        <f t="shared" ca="1" si="19"/>
        <v>1.1534269132376367E-2</v>
      </c>
      <c r="K95" s="32">
        <f t="shared" ca="1" si="19"/>
        <v>9.8487506176536312E-3</v>
      </c>
    </row>
  </sheetData>
  <mergeCells count="52">
    <mergeCell ref="C4:C5"/>
    <mergeCell ref="O4:O5"/>
    <mergeCell ref="C6:C7"/>
    <mergeCell ref="O6:O7"/>
    <mergeCell ref="C8:C9"/>
    <mergeCell ref="O8:O9"/>
    <mergeCell ref="C28:C29"/>
    <mergeCell ref="C10:C11"/>
    <mergeCell ref="O10:O11"/>
    <mergeCell ref="C12:C13"/>
    <mergeCell ref="O12:O13"/>
    <mergeCell ref="C14:C15"/>
    <mergeCell ref="C16:C17"/>
    <mergeCell ref="C18:C19"/>
    <mergeCell ref="C20:C21"/>
    <mergeCell ref="C22:C23"/>
    <mergeCell ref="C24:C25"/>
    <mergeCell ref="C26:C27"/>
    <mergeCell ref="C52:C53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66:C67"/>
    <mergeCell ref="C54:C55"/>
    <mergeCell ref="C56:C57"/>
    <mergeCell ref="C58:C59"/>
    <mergeCell ref="C60:C61"/>
    <mergeCell ref="C62:C63"/>
    <mergeCell ref="C64:C65"/>
    <mergeCell ref="B76:B79"/>
    <mergeCell ref="B80:B95"/>
    <mergeCell ref="B74:B75"/>
    <mergeCell ref="C88:C89"/>
    <mergeCell ref="C90:C91"/>
    <mergeCell ref="C92:C93"/>
    <mergeCell ref="C94:C95"/>
    <mergeCell ref="C74:D74"/>
    <mergeCell ref="C75:D75"/>
    <mergeCell ref="C78:C79"/>
    <mergeCell ref="C80:C81"/>
    <mergeCell ref="C82:C83"/>
    <mergeCell ref="C76:C77"/>
    <mergeCell ref="C84:C85"/>
    <mergeCell ref="C86:C8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3"/>
  <sheetViews>
    <sheetView zoomScale="70" zoomScaleNormal="70" workbookViewId="0">
      <selection activeCell="E20" sqref="E20"/>
    </sheetView>
  </sheetViews>
  <sheetFormatPr defaultRowHeight="15" x14ac:dyDescent="0.25"/>
  <cols>
    <col min="2" max="2" width="33.28515625" bestFit="1" customWidth="1"/>
    <col min="3" max="3" width="20.5703125" customWidth="1"/>
    <col min="4" max="4" width="4.140625" bestFit="1" customWidth="1"/>
    <col min="15" max="15" width="13.28515625" customWidth="1"/>
  </cols>
  <sheetData>
    <row r="1" spans="1:33" x14ac:dyDescent="0.25">
      <c r="A1">
        <v>109</v>
      </c>
      <c r="O1" t="str">
        <f ca="1">OFFSET('1050LAPTOP'!$C$1,A4-1,0)</f>
        <v>non CUDA Time</v>
      </c>
      <c r="Y1">
        <v>3</v>
      </c>
    </row>
    <row r="2" spans="1:33" x14ac:dyDescent="0.25">
      <c r="E2" s="7">
        <v>2</v>
      </c>
      <c r="F2" s="8">
        <v>4</v>
      </c>
      <c r="G2" s="7">
        <v>8</v>
      </c>
      <c r="H2" s="7">
        <v>16</v>
      </c>
      <c r="I2" s="7">
        <v>32</v>
      </c>
      <c r="J2" s="7">
        <v>64</v>
      </c>
      <c r="K2" s="7">
        <v>128</v>
      </c>
      <c r="Q2" s="7">
        <v>2</v>
      </c>
      <c r="R2" s="8">
        <v>4</v>
      </c>
      <c r="S2" s="7">
        <v>8</v>
      </c>
      <c r="T2" s="7">
        <v>16</v>
      </c>
      <c r="U2" s="7">
        <v>32</v>
      </c>
      <c r="V2" s="7">
        <v>64</v>
      </c>
      <c r="W2" s="7">
        <v>128</v>
      </c>
      <c r="Y2">
        <v>32</v>
      </c>
    </row>
    <row r="3" spans="1:33" x14ac:dyDescent="0.25">
      <c r="E3" s="16">
        <v>42</v>
      </c>
      <c r="F3" s="16">
        <v>84</v>
      </c>
      <c r="G3" s="16">
        <v>168</v>
      </c>
      <c r="H3" s="16">
        <v>336</v>
      </c>
      <c r="I3" s="16">
        <v>672</v>
      </c>
      <c r="J3" s="16">
        <v>1344</v>
      </c>
      <c r="K3" s="16">
        <v>2688</v>
      </c>
      <c r="Q3" s="16">
        <v>42</v>
      </c>
      <c r="R3" s="16">
        <v>84</v>
      </c>
      <c r="S3" s="16">
        <v>168</v>
      </c>
      <c r="T3" s="16">
        <v>336</v>
      </c>
      <c r="U3" s="16">
        <v>672</v>
      </c>
      <c r="V3" s="16">
        <v>1344</v>
      </c>
      <c r="W3" s="16">
        <v>2688</v>
      </c>
      <c r="Y3" s="17">
        <v>57</v>
      </c>
    </row>
    <row r="4" spans="1:33" ht="15" customHeight="1" x14ac:dyDescent="0.25">
      <c r="A4">
        <v>4</v>
      </c>
      <c r="B4" t="str">
        <f ca="1">OFFSET('1050LAPTOP'!$C$1,A4-1,0)</f>
        <v>non CUDA Time</v>
      </c>
      <c r="C4" s="85" t="s">
        <v>1</v>
      </c>
      <c r="D4" s="1" t="s">
        <v>0</v>
      </c>
      <c r="E4" s="13">
        <f ca="1">OFFSET('1050LAPTOP'!D$1,$A5-1,0)</f>
        <v>14722.331999999997</v>
      </c>
      <c r="F4" s="13">
        <f ca="1">OFFSET('1050LAPTOP'!E$1,$A5-1,0)</f>
        <v>27364.667999999994</v>
      </c>
      <c r="G4" s="13">
        <f ca="1">OFFSET('1050LAPTOP'!F$1,$A5-1,0)</f>
        <v>52186.786000000007</v>
      </c>
      <c r="H4" s="13">
        <f ca="1">OFFSET('1050LAPTOP'!G$1,$A5-1,0)</f>
        <v>103402.44</v>
      </c>
      <c r="I4" s="13">
        <f ca="1">OFFSET('1050LAPTOP'!H$1,$A5-1,0)</f>
        <v>207103.35999999999</v>
      </c>
      <c r="J4" s="13">
        <f ca="1">OFFSET('1050LAPTOP'!I$1,$A5-1,0)</f>
        <v>410463.68</v>
      </c>
      <c r="K4" s="13">
        <f ca="1">OFFSET('1050LAPTOP'!J$1,$A5-1,0)</f>
        <v>835652.72</v>
      </c>
      <c r="O4" s="85" t="s">
        <v>27</v>
      </c>
      <c r="P4" s="1" t="s">
        <v>0</v>
      </c>
      <c r="Q4" s="13">
        <f ca="1">OFFSET('1050LAPTOP'!D$1,$A$4-1,0)</f>
        <v>1012.9384</v>
      </c>
      <c r="R4" s="13">
        <f ca="1">OFFSET('1050LAPTOP'!E$1,$A$4-1,0)</f>
        <v>1856.1192000000001</v>
      </c>
      <c r="S4" s="13">
        <f ca="1">OFFSET('1050LAPTOP'!F$1,$A$4-1,0)</f>
        <v>3594.4351999999994</v>
      </c>
      <c r="T4" s="13">
        <f ca="1">OFFSET('1050LAPTOP'!G$1,$A$4-1,0)</f>
        <v>7098.9367999999995</v>
      </c>
      <c r="U4" s="13">
        <f ca="1">OFFSET('1050LAPTOP'!H$1,$A$4-1,0)</f>
        <v>13991.565999999999</v>
      </c>
      <c r="V4" s="13">
        <f ca="1">OFFSET('1050LAPTOP'!I$1,$A$4-1,0)</f>
        <v>27308.063999999991</v>
      </c>
      <c r="W4" s="13">
        <f ca="1">OFFSET('1050LAPTOP'!J$1,$A$4-1,0)</f>
        <v>53372.171999999977</v>
      </c>
    </row>
    <row r="5" spans="1:33" x14ac:dyDescent="0.25">
      <c r="A5">
        <v>3</v>
      </c>
      <c r="B5" t="str">
        <f ca="1">OFFSET('1050LAPTOP'!$C$1,A5-1,0)</f>
        <v>Classic ACO</v>
      </c>
      <c r="C5" s="86"/>
      <c r="D5" s="1" t="s">
        <v>19</v>
      </c>
      <c r="E5" s="1">
        <f ca="1">OFFSET('1050LAPTOP'!D$1,$A5-1+$A$1,0)</f>
        <v>22.860765329276603</v>
      </c>
      <c r="F5" s="1">
        <f ca="1">OFFSET('1050LAPTOP'!E$1,$A5-1+$A$1,0)</f>
        <v>51.041297183147378</v>
      </c>
      <c r="G5" s="1">
        <f ca="1">OFFSET('1050LAPTOP'!F$1,$A5-1+$A$1,0)</f>
        <v>76.375324776390173</v>
      </c>
      <c r="H5" s="1">
        <f ca="1">OFFSET('1050LAPTOP'!G$1,$A5-1+$A$1,0)</f>
        <v>162.45697032136491</v>
      </c>
      <c r="I5" s="1">
        <f ca="1">OFFSET('1050LAPTOP'!H$1,$A5-1+$A$1,0)</f>
        <v>3688.3616191639235</v>
      </c>
      <c r="J5" s="1">
        <f ca="1">OFFSET('1050LAPTOP'!I$1,$A5-1+$A$1,0)</f>
        <v>581.67629817439126</v>
      </c>
      <c r="K5" s="1">
        <f ca="1">OFFSET('1050LAPTOP'!J$1,$A5-1+$A$1,0)</f>
        <v>2479.4143158927041</v>
      </c>
      <c r="O5" s="86"/>
      <c r="P5" s="1" t="s">
        <v>19</v>
      </c>
      <c r="Q5" s="12">
        <f ca="1">OFFSET('1050LAPTOP'!D$1,$A$4-1+$A$1,0)</f>
        <v>2.9942752435375874</v>
      </c>
      <c r="R5" s="12">
        <f ca="1">OFFSET('1050LAPTOP'!E$1,$A$4-1+$A$1,0)</f>
        <v>2.9249996201263873</v>
      </c>
      <c r="S5" s="12">
        <f ca="1">OFFSET('1050LAPTOP'!F$1,$A$4-1+$A$1,0)</f>
        <v>6.4636980202530152</v>
      </c>
      <c r="T5" s="12">
        <f ca="1">OFFSET('1050LAPTOP'!G$1,$A$4-1+$A$1,0)</f>
        <v>6.1107565026893624</v>
      </c>
      <c r="U5" s="12">
        <f ca="1">OFFSET('1050LAPTOP'!H$1,$A$4-1+$A$1,0)</f>
        <v>8.2559853938145888</v>
      </c>
      <c r="V5" s="12">
        <f ca="1">OFFSET('1050LAPTOP'!I$1,$A$4-1+$A$1,0)</f>
        <v>36.485382257336539</v>
      </c>
      <c r="W5" s="12">
        <f ca="1">OFFSET('1050LAPTOP'!J$1,$A$4-1+$A$1,0)</f>
        <v>132.16203636458613</v>
      </c>
      <c r="AA5">
        <f ca="1">Q5/Q$3</f>
        <v>7.1292267703275888E-2</v>
      </c>
      <c r="AB5">
        <f t="shared" ref="AB5:AE5" ca="1" si="0">R5/R$3</f>
        <v>3.482142404912366E-2</v>
      </c>
      <c r="AC5">
        <f t="shared" ca="1" si="0"/>
        <v>3.8474392977696517E-2</v>
      </c>
      <c r="AD5">
        <f t="shared" ca="1" si="0"/>
        <v>1.8186775305623102E-2</v>
      </c>
      <c r="AE5">
        <f t="shared" ca="1" si="0"/>
        <v>1.2285692550319329E-2</v>
      </c>
      <c r="AF5">
        <f t="shared" ref="AF5" ca="1" si="1">V5/V$3</f>
        <v>2.7146861798613496E-2</v>
      </c>
      <c r="AG5">
        <f t="shared" ref="AG5" ca="1" si="2">W5/W$3</f>
        <v>4.9167424242777577E-2</v>
      </c>
    </row>
    <row r="6" spans="1:33" ht="15" customHeight="1" x14ac:dyDescent="0.25">
      <c r="A6">
        <v>4</v>
      </c>
      <c r="B6" t="str">
        <f ca="1">OFFSET('1050LAPTOP'!$C$1,A6-1,0)</f>
        <v>non CUDA Time</v>
      </c>
      <c r="C6" s="85" t="s">
        <v>20</v>
      </c>
      <c r="D6" s="1" t="s">
        <v>0</v>
      </c>
      <c r="E6" s="13">
        <f ca="1">OFFSET('1050LAPTOP'!D$1,$A6-1,0)</f>
        <v>1012.9384</v>
      </c>
      <c r="F6" s="13">
        <f ca="1">OFFSET('1050LAPTOP'!E$1,$A6-1,0)</f>
        <v>1856.1192000000001</v>
      </c>
      <c r="G6" s="13">
        <f ca="1">OFFSET('1050LAPTOP'!F$1,$A6-1,0)</f>
        <v>3594.4351999999994</v>
      </c>
      <c r="H6" s="13">
        <f ca="1">OFFSET('1050LAPTOP'!G$1,$A6-1,0)</f>
        <v>7098.9367999999995</v>
      </c>
      <c r="I6" s="13">
        <f ca="1">OFFSET('1050LAPTOP'!H$1,$A6-1,0)</f>
        <v>13991.565999999999</v>
      </c>
      <c r="J6" s="13">
        <f ca="1">OFFSET('1050LAPTOP'!I$1,$A6-1,0)</f>
        <v>27308.063999999991</v>
      </c>
      <c r="K6" s="13">
        <f ca="1">OFFSET('1050LAPTOP'!J$1,$A6-1,0)</f>
        <v>53372.171999999977</v>
      </c>
      <c r="O6" s="85" t="s">
        <v>28</v>
      </c>
      <c r="P6" s="1" t="s">
        <v>0</v>
      </c>
      <c r="Q6" s="13">
        <f ca="1">OFFSET('1050COMP'!D$1,$A$4-1,0)</f>
        <v>1021.2763999999999</v>
      </c>
      <c r="R6" s="13">
        <f ca="1">OFFSET('1050COMP'!E$1,$A$4-1,0)</f>
        <v>1875.4454000000003</v>
      </c>
      <c r="S6" s="13">
        <f ca="1">OFFSET('1050COMP'!F$1,$A$4-1,0)</f>
        <v>3606.0204000000008</v>
      </c>
      <c r="T6" s="13">
        <f ca="1">OFFSET('1050COMP'!G$1,$A$4-1,0)</f>
        <v>7106.4438000000009</v>
      </c>
      <c r="U6" s="13">
        <f ca="1">OFFSET('1050COMP'!H$1,$A$4-1,0)</f>
        <v>14355.808000000001</v>
      </c>
      <c r="V6" s="13">
        <f ca="1">OFFSET('1050COMP'!I$1,$A$4-1,0)</f>
        <v>27843.877999999993</v>
      </c>
      <c r="W6" s="13">
        <f ca="1">OFFSET('1050COMP'!J$1,$A$4-1,0)</f>
        <v>54934.597999999998</v>
      </c>
    </row>
    <row r="7" spans="1:33" x14ac:dyDescent="0.25">
      <c r="C7" s="86"/>
      <c r="D7" s="1" t="s">
        <v>19</v>
      </c>
      <c r="E7" s="1">
        <f ca="1">OFFSET('1050LAPTOP'!D$1,$A6-1+$A$1,0)</f>
        <v>2.9942752435375874</v>
      </c>
      <c r="F7" s="1">
        <f ca="1">OFFSET('1050LAPTOP'!E$1,$A6-1+$A$1,0)</f>
        <v>2.9249996201263873</v>
      </c>
      <c r="G7" s="1">
        <f ca="1">OFFSET('1050LAPTOP'!F$1,$A6-1+$A$1,0)</f>
        <v>6.4636980202530152</v>
      </c>
      <c r="H7" s="1">
        <f ca="1">OFFSET('1050LAPTOP'!G$1,$A6-1+$A$1,0)</f>
        <v>6.1107565026893624</v>
      </c>
      <c r="I7" s="1">
        <f ca="1">OFFSET('1050LAPTOP'!H$1,$A6-1+$A$1,0)</f>
        <v>8.2559853938145888</v>
      </c>
      <c r="J7" s="1">
        <f ca="1">OFFSET('1050LAPTOP'!I$1,$A6-1+$A$1,0)</f>
        <v>36.485382257336539</v>
      </c>
      <c r="K7" s="1">
        <f ca="1">OFFSET('1050LAPTOP'!J$1,$A6-1+$A$1,0)</f>
        <v>132.16203636458613</v>
      </c>
      <c r="O7" s="86"/>
      <c r="P7" s="1" t="s">
        <v>19</v>
      </c>
      <c r="Q7" s="12">
        <f ca="1">OFFSET('1050COMP'!D$1,$A$4-1+$A$1,0)</f>
        <v>10.942156092201996</v>
      </c>
      <c r="R7" s="12">
        <f ca="1">OFFSET('1050COMP'!E$1,$A$4-1+$A$1,0)</f>
        <v>9.9698891291318876</v>
      </c>
      <c r="S7" s="12">
        <f ca="1">OFFSET('1050COMP'!F$1,$A$4-1+$A$1,0)</f>
        <v>8.1186352020084556</v>
      </c>
      <c r="T7" s="12">
        <f ca="1">OFFSET('1050COMP'!G$1,$A$4-1+$A$1,0)</f>
        <v>21.800473583742221</v>
      </c>
      <c r="U7" s="12">
        <f ca="1">OFFSET('1050COMP'!H$1,$A$4-1+$A$1,0)</f>
        <v>22.947847779605322</v>
      </c>
      <c r="V7" s="12">
        <f ca="1">OFFSET('1050COMP'!I$1,$A$4-1+$A$1,0)</f>
        <v>48.483805867627488</v>
      </c>
      <c r="W7" s="12">
        <f ca="1">OFFSET('1050COMP'!J$1,$A$4-1+$A$1,0)</f>
        <v>125.33519117748634</v>
      </c>
      <c r="AA7">
        <f ca="1">Q7/Q$3</f>
        <v>0.26052752600480944</v>
      </c>
      <c r="AB7">
        <f t="shared" ref="AB7" ca="1" si="3">R7/R$3</f>
        <v>0.11868915629918914</v>
      </c>
      <c r="AC7">
        <f t="shared" ref="AC7" ca="1" si="4">S7/S$3</f>
        <v>4.8325209535764614E-2</v>
      </c>
      <c r="AD7">
        <f t="shared" ref="AD7" ca="1" si="5">T7/T$3</f>
        <v>6.4882361856375664E-2</v>
      </c>
      <c r="AE7">
        <f t="shared" ref="AE7" ca="1" si="6">U7/U$3</f>
        <v>3.4148583005365066E-2</v>
      </c>
      <c r="AF7">
        <f t="shared" ref="AF7" ca="1" si="7">V7/V$3</f>
        <v>3.6074260318175212E-2</v>
      </c>
      <c r="AG7">
        <f t="shared" ref="AG7" ca="1" si="8">W7/W$3</f>
        <v>4.6627675289243428E-2</v>
      </c>
    </row>
    <row r="8" spans="1:33" ht="15" customHeight="1" x14ac:dyDescent="0.25">
      <c r="A8">
        <v>5</v>
      </c>
      <c r="B8" t="str">
        <f ca="1">OFFSET('1050LAPTOP'!$C$1,A8-1,0)</f>
        <v>omp</v>
      </c>
      <c r="C8" s="85" t="s">
        <v>21</v>
      </c>
      <c r="D8" s="1" t="s">
        <v>0</v>
      </c>
      <c r="E8" s="13">
        <f ca="1">OFFSET('1050LAPTOP'!D$1,$A8-1,0)</f>
        <v>941.88968000000011</v>
      </c>
      <c r="F8" s="13">
        <f ca="1">OFFSET('1050LAPTOP'!E$1,$A8-1,0)</f>
        <v>1766.0682000000002</v>
      </c>
      <c r="G8" s="13">
        <f ca="1">OFFSET('1050LAPTOP'!F$1,$A8-1,0)</f>
        <v>3464.2148000000002</v>
      </c>
      <c r="H8" s="13">
        <f ca="1">OFFSET('1050LAPTOP'!G$1,$A8-1,0)</f>
        <v>6900.4025999999967</v>
      </c>
      <c r="I8" s="13">
        <f ca="1">OFFSET('1050LAPTOP'!H$1,$A8-1,0)</f>
        <v>13916.54</v>
      </c>
      <c r="J8" s="13">
        <f ca="1">OFFSET('1050LAPTOP'!I$1,$A8-1,0)</f>
        <v>27036.757999999994</v>
      </c>
      <c r="K8" s="13">
        <f ca="1">OFFSET('1050LAPTOP'!J$1,$A8-1,0)</f>
        <v>52481.614000000001</v>
      </c>
      <c r="O8" s="85" t="s">
        <v>31</v>
      </c>
      <c r="P8" s="1" t="s">
        <v>0</v>
      </c>
      <c r="Q8" s="13">
        <f ca="1">OFFSET('3060LAPTOP'!D$1,$A$4-1,0)</f>
        <v>565.78236000000004</v>
      </c>
      <c r="R8" s="13">
        <f ca="1">OFFSET('3060LAPTOP'!E$1,$A$4-1,0)</f>
        <v>1048.5618000000002</v>
      </c>
      <c r="S8" s="13">
        <f ca="1">OFFSET('3060LAPTOP'!F$1,$A$4-1,0)</f>
        <v>1982.6899999999996</v>
      </c>
      <c r="T8" s="13">
        <f ca="1">OFFSET('3060LAPTOP'!G$1,$A$4-1,0)</f>
        <v>3787.3732000000014</v>
      </c>
      <c r="U8" s="13">
        <f ca="1">OFFSET('3060LAPTOP'!H$1,$A$4-1,0)</f>
        <v>7666.1589999999997</v>
      </c>
      <c r="V8" s="13">
        <f ca="1">OFFSET('3060LAPTOP'!I$1,$A$4-1,0)</f>
        <v>15021.705999999998</v>
      </c>
      <c r="W8" s="13">
        <f ca="1">OFFSET('3060LAPTOP'!J$1,$A$4-1,0)</f>
        <v>30206.626000000011</v>
      </c>
    </row>
    <row r="9" spans="1:33" x14ac:dyDescent="0.25">
      <c r="C9" s="86"/>
      <c r="D9" s="1" t="s">
        <v>19</v>
      </c>
      <c r="E9" s="1">
        <f ca="1">OFFSET('1050LAPTOP'!D$1,$A8-1+$A$1,0)</f>
        <v>1.9251445158819442</v>
      </c>
      <c r="F9" s="1">
        <f ca="1">OFFSET('1050LAPTOP'!E$1,$A8-1+$A$1,0)</f>
        <v>2.0250624154786752</v>
      </c>
      <c r="G9" s="1">
        <f ca="1">OFFSET('1050LAPTOP'!F$1,$A8-1+$A$1,0)</f>
        <v>3.9001184290406732</v>
      </c>
      <c r="H9" s="1">
        <f ca="1">OFFSET('1050LAPTOP'!G$1,$A8-1+$A$1,0)</f>
        <v>6.1884083099918081</v>
      </c>
      <c r="I9" s="1">
        <f ca="1">OFFSET('1050LAPTOP'!H$1,$A8-1+$A$1,0)</f>
        <v>10.866151308223925</v>
      </c>
      <c r="J9" s="1">
        <f ca="1">OFFSET('1050LAPTOP'!I$1,$A8-1+$A$1,0)</f>
        <v>23.752386379512775</v>
      </c>
      <c r="K9" s="1">
        <f ca="1">OFFSET('1050LAPTOP'!J$1,$A8-1+$A$1,0)</f>
        <v>66.672073313223166</v>
      </c>
      <c r="O9" s="86"/>
      <c r="P9" s="1" t="s">
        <v>19</v>
      </c>
      <c r="Q9" s="12">
        <f ca="1">OFFSET('3060LAPTOP'!D$1,$A$4-1+$A$1,0)</f>
        <v>4.1622870183002432</v>
      </c>
      <c r="R9" s="12">
        <f ca="1">OFFSET('3060LAPTOP'!E$1,$A$4-1+$A$1,0)</f>
        <v>4.1114063303731383</v>
      </c>
      <c r="S9" s="12">
        <f ca="1">OFFSET('3060LAPTOP'!F$1,$A$4-1+$A$1,0)</f>
        <v>9.9600752347793069</v>
      </c>
      <c r="T9" s="12">
        <f ca="1">OFFSET('3060LAPTOP'!G$1,$A$4-1+$A$1,0)</f>
        <v>10.371021995671997</v>
      </c>
      <c r="U9" s="12">
        <f ca="1">OFFSET('3060LAPTOP'!H$1,$A$4-1+$A$1,0)</f>
        <v>60.114894582401242</v>
      </c>
      <c r="V9" s="12">
        <f ca="1">OFFSET('3060LAPTOP'!I$1,$A$4-1+$A$1,0)</f>
        <v>32.345265111406945</v>
      </c>
      <c r="W9" s="12">
        <f ca="1">OFFSET('3060LAPTOP'!J$1,$A$4-1+$A$1,0)</f>
        <v>64.000995899131425</v>
      </c>
      <c r="AA9">
        <f ca="1">Q9/Q$3</f>
        <v>9.9102071864291499E-2</v>
      </c>
      <c r="AB9">
        <f t="shared" ref="AB9" ca="1" si="9">R9/R$3</f>
        <v>4.8945313456823077E-2</v>
      </c>
      <c r="AC9">
        <f t="shared" ref="AC9" ca="1" si="10">S9/S$3</f>
        <v>5.9286162111781587E-2</v>
      </c>
      <c r="AD9">
        <f t="shared" ref="AD9" ca="1" si="11">T9/T$3</f>
        <v>3.0866136891880943E-2</v>
      </c>
      <c r="AE9">
        <f t="shared" ref="AE9" ca="1" si="12">U9/U$3</f>
        <v>8.9456688366668508E-2</v>
      </c>
      <c r="AF9">
        <f t="shared" ref="AF9" ca="1" si="13">V9/V$3</f>
        <v>2.4066417493606357E-2</v>
      </c>
      <c r="AG9">
        <f t="shared" ref="AG9" ca="1" si="14">W9/W$3</f>
        <v>2.3809894307712583E-2</v>
      </c>
    </row>
    <row r="10" spans="1:33" x14ac:dyDescent="0.25">
      <c r="A10">
        <v>6</v>
      </c>
      <c r="B10" t="str">
        <f ca="1">OFFSET('1050LAPTOP'!$C$1,A10-1,0)</f>
        <v>non CUDA transp Time</v>
      </c>
      <c r="C10" s="85" t="s">
        <v>22</v>
      </c>
      <c r="D10" s="1" t="s">
        <v>0</v>
      </c>
      <c r="E10" s="13">
        <f ca="1">OFFSET('1050LAPTOP'!D$1,$A10-1,0)</f>
        <v>1006.4634600000004</v>
      </c>
      <c r="F10" s="13">
        <f ca="1">OFFSET('1050LAPTOP'!E$1,$A10-1,0)</f>
        <v>1833.9497999999999</v>
      </c>
      <c r="G10" s="13">
        <f ca="1">OFFSET('1050LAPTOP'!F$1,$A10-1,0)</f>
        <v>3513.4630000000006</v>
      </c>
      <c r="H10" s="13">
        <f ca="1">OFFSET('1050LAPTOP'!G$1,$A10-1,0)</f>
        <v>6889.4020000000019</v>
      </c>
      <c r="I10" s="13">
        <f ca="1">OFFSET('1050LAPTOP'!H$1,$A10-1,0)</f>
        <v>13937.790000000006</v>
      </c>
      <c r="J10" s="13">
        <f ca="1">OFFSET('1050LAPTOP'!I$1,$A10-1,0)</f>
        <v>27063.297999999999</v>
      </c>
      <c r="K10" s="13">
        <f ca="1">OFFSET('1050LAPTOP'!J$1,$A10-1,0)</f>
        <v>52241.043999999994</v>
      </c>
      <c r="O10" s="85" t="s">
        <v>36</v>
      </c>
      <c r="P10" s="1" t="s">
        <v>0</v>
      </c>
      <c r="Q10" s="13">
        <f ca="1">OFFSET('3060COMP Kaf'!D$1,$A$4-1,0)</f>
        <v>487.2340999999999</v>
      </c>
      <c r="R10" s="13">
        <f ca="1">OFFSET('3060COMP Kaf'!E$1,$A$4-1,0)</f>
        <v>885.85572000000013</v>
      </c>
      <c r="S10" s="13">
        <f ca="1">OFFSET('3060COMP Kaf'!F$1,$A$4-1,0)</f>
        <v>1657.3222000000003</v>
      </c>
      <c r="T10" s="13">
        <f ca="1">OFFSET('3060COMP Kaf'!G$1,$A$4-1,0)</f>
        <v>3201.0855999999994</v>
      </c>
      <c r="U10" s="13">
        <f ca="1">OFFSET('3060COMP Kaf'!H$1,$A$4-1,0)</f>
        <v>6411.2783999999992</v>
      </c>
      <c r="V10" s="13">
        <f ca="1">OFFSET('3060COMP Kaf'!I$1,$A$4-1,0)</f>
        <v>12839.331999999997</v>
      </c>
      <c r="W10" s="13">
        <f ca="1">OFFSET('3060COMP Kaf'!J$1,$A$4-1,0)</f>
        <v>25321.222000000002</v>
      </c>
    </row>
    <row r="11" spans="1:33" x14ac:dyDescent="0.25">
      <c r="C11" s="86"/>
      <c r="D11" s="1" t="s">
        <v>19</v>
      </c>
      <c r="E11" s="1">
        <f ca="1">OFFSET('1050LAPTOP'!D$1,$A10-1+$A$1,0)</f>
        <v>2.0435450683737097</v>
      </c>
      <c r="F11" s="1">
        <f ca="1">OFFSET('1050LAPTOP'!E$1,$A10-1+$A$1,0)</f>
        <v>2.0129871953886642</v>
      </c>
      <c r="G11" s="1">
        <f ca="1">OFFSET('1050LAPTOP'!F$1,$A10-1+$A$1,0)</f>
        <v>3.9960318300634183</v>
      </c>
      <c r="H11" s="1">
        <f ca="1">OFFSET('1050LAPTOP'!G$1,$A10-1+$A$1,0)</f>
        <v>7.7709800197236358</v>
      </c>
      <c r="I11" s="1">
        <f ca="1">OFFSET('1050LAPTOP'!H$1,$A10-1+$A$1,0)</f>
        <v>10.288429976224766</v>
      </c>
      <c r="J11" s="1">
        <f ca="1">OFFSET('1050LAPTOP'!I$1,$A10-1+$A$1,0)</f>
        <v>23.459913864162377</v>
      </c>
      <c r="K11" s="1">
        <f ca="1">OFFSET('1050LAPTOP'!J$1,$A10-1+$A$1,0)</f>
        <v>32.116369403608751</v>
      </c>
      <c r="O11" s="86"/>
      <c r="P11" s="1" t="s">
        <v>19</v>
      </c>
      <c r="Q11" s="12">
        <f ca="1">OFFSET('3060COMP Kaf'!D$1,$A$4-1+$A$1,0)</f>
        <v>0.77081041232136926</v>
      </c>
      <c r="R11" s="12">
        <f ca="1">OFFSET('3060COMP Kaf'!E$1,$A$4-1+$A$1,0)</f>
        <v>1.3447362856321425</v>
      </c>
      <c r="S11" s="12">
        <f ca="1">OFFSET('3060COMP Kaf'!F$1,$A$4-1+$A$1,0)</f>
        <v>1.4473373696678742</v>
      </c>
      <c r="T11" s="12">
        <f ca="1">OFFSET('3060COMP Kaf'!G$1,$A$4-1+$A$1,0)</f>
        <v>2.2182248826925712</v>
      </c>
      <c r="U11" s="12">
        <f ca="1">OFFSET('3060COMP Kaf'!H$1,$A$4-1+$A$1,0)</f>
        <v>16.837502989807486</v>
      </c>
      <c r="V11" s="12">
        <f ca="1">OFFSET('3060COMP Kaf'!I$1,$A$4-1+$A$1,0)</f>
        <v>5.9068433599167092</v>
      </c>
      <c r="W11" s="12">
        <f ca="1">OFFSET('3060COMP Kaf'!J$1,$A$4-1+$A$1,0)</f>
        <v>29.785562500724687</v>
      </c>
      <c r="AA11">
        <f ca="1">Q11/Q$3</f>
        <v>1.8352628864794506E-2</v>
      </c>
      <c r="AB11">
        <f t="shared" ref="AB11" ca="1" si="15">R11/R$3</f>
        <v>1.6008765305144553E-2</v>
      </c>
      <c r="AC11">
        <f t="shared" ref="AC11" ca="1" si="16">S11/S$3</f>
        <v>8.6151033908802039E-3</v>
      </c>
      <c r="AD11">
        <f t="shared" ref="AD11" ca="1" si="17">T11/T$3</f>
        <v>6.6018597699183668E-3</v>
      </c>
      <c r="AE11">
        <f t="shared" ref="AE11" ca="1" si="18">U11/U$3</f>
        <v>2.5055808020546855E-2</v>
      </c>
      <c r="AF11">
        <f t="shared" ref="AF11" ca="1" si="19">V11/V$3</f>
        <v>4.394972738033266E-3</v>
      </c>
      <c r="AG11">
        <f t="shared" ref="AG11" ca="1" si="20">W11/W$3</f>
        <v>1.1080938430329125E-2</v>
      </c>
    </row>
    <row r="12" spans="1:33" ht="15" customHeight="1" x14ac:dyDescent="0.25">
      <c r="A12">
        <v>7</v>
      </c>
      <c r="B12" t="str">
        <f ca="1">OFFSET('1050LAPTOP'!$C$1,A12-1,0)</f>
        <v>non CUDA transp_AVX Time</v>
      </c>
      <c r="C12" s="85" t="s">
        <v>23</v>
      </c>
      <c r="D12" s="1" t="s">
        <v>0</v>
      </c>
      <c r="E12" s="13">
        <f ca="1">OFFSET('1050LAPTOP'!D$1,$A12-1,0)</f>
        <v>0</v>
      </c>
      <c r="F12" s="13">
        <f ca="1">OFFSET('1050LAPTOP'!E$1,$A12-1,0)</f>
        <v>1886.6616000000001</v>
      </c>
      <c r="G12" s="13">
        <f ca="1">OFFSET('1050LAPTOP'!F$1,$A12-1,0)</f>
        <v>3617.8644000000004</v>
      </c>
      <c r="H12" s="13">
        <f ca="1">OFFSET('1050LAPTOP'!G$1,$A12-1,0)</f>
        <v>7101.9936000000025</v>
      </c>
      <c r="I12" s="13">
        <f ca="1">OFFSET('1050LAPTOP'!H$1,$A12-1,0)</f>
        <v>14317.556000000004</v>
      </c>
      <c r="J12" s="13">
        <f ca="1">OFFSET('1050LAPTOP'!I$1,$A12-1,0)</f>
        <v>28324.736000000001</v>
      </c>
      <c r="K12" s="13">
        <f ca="1">OFFSET('1050LAPTOP'!J$1,$A12-1,0)</f>
        <v>54374.391999999993</v>
      </c>
      <c r="O12" s="85" t="s">
        <v>30</v>
      </c>
      <c r="P12" s="1" t="s">
        <v>0</v>
      </c>
      <c r="Q12" s="13">
        <f ca="1">OFFSET('4060COMP'!D$1,$A$4-1,0)</f>
        <v>886.85582000000022</v>
      </c>
      <c r="R12" s="13">
        <f ca="1">OFFSET('4060COMP'!E$1,$A$4-1,0)</f>
        <v>1627.4021999999998</v>
      </c>
      <c r="S12" s="13">
        <f ca="1">OFFSET('4060COMP'!F$1,$A$4-1,0)</f>
        <v>3159.8702000000003</v>
      </c>
      <c r="T12" s="13">
        <f ca="1">OFFSET('4060COMP'!G$1,$A$4-1,0)</f>
        <v>6191.9177999999993</v>
      </c>
      <c r="U12" s="13">
        <f ca="1">OFFSET('4060COMP'!H$1,$A$4-1,0)</f>
        <v>12286.097999999998</v>
      </c>
      <c r="V12" s="13">
        <f ca="1">OFFSET('4060COMP'!I$1,$A$4-1,0)</f>
        <v>25340.31</v>
      </c>
      <c r="W12" s="13">
        <f ca="1">OFFSET('4060COMP'!J$1,$A$4-1,0)</f>
        <v>46545.16</v>
      </c>
    </row>
    <row r="13" spans="1:33" x14ac:dyDescent="0.25">
      <c r="C13" s="86"/>
      <c r="D13" s="1" t="s">
        <v>19</v>
      </c>
      <c r="E13" s="1">
        <f ca="1">OFFSET('1050LAPTOP'!D$1,$A12-1+$A$1,0)</f>
        <v>0</v>
      </c>
      <c r="F13" s="1">
        <f ca="1">OFFSET('1050LAPTOP'!E$1,$A12-1+$A$1,0)</f>
        <v>2.4833301084435146</v>
      </c>
      <c r="G13" s="1">
        <f ca="1">OFFSET('1050LAPTOP'!F$1,$A12-1+$A$1,0)</f>
        <v>3.961657704380388</v>
      </c>
      <c r="H13" s="1">
        <f ca="1">OFFSET('1050LAPTOP'!G$1,$A12-1+$A$1,0)</f>
        <v>6.5308310757612817</v>
      </c>
      <c r="I13" s="1">
        <f ca="1">OFFSET('1050LAPTOP'!H$1,$A12-1+$A$1,0)</f>
        <v>13.142033555090922</v>
      </c>
      <c r="J13" s="1">
        <f ca="1">OFFSET('1050LAPTOP'!I$1,$A12-1+$A$1,0)</f>
        <v>17.497840697138386</v>
      </c>
      <c r="K13" s="1">
        <f ca="1">OFFSET('1050LAPTOP'!J$1,$A12-1+$A$1,0)</f>
        <v>19.86815852104835</v>
      </c>
      <c r="O13" s="86"/>
      <c r="P13" s="1" t="s">
        <v>19</v>
      </c>
      <c r="Q13" s="12">
        <f ca="1">OFFSET('4060COMP'!D$1,$A$4-1+$A$1,0)</f>
        <v>3.9258114213945112</v>
      </c>
      <c r="R13" s="12">
        <f ca="1">OFFSET('4060COMP'!E$1,$A$4-1+$A$1,0)</f>
        <v>2.970566302924261</v>
      </c>
      <c r="S13" s="12">
        <f ca="1">OFFSET('4060COMP'!F$1,$A$4-1+$A$1,0)</f>
        <v>39.88817376661386</v>
      </c>
      <c r="T13" s="12">
        <f ca="1">OFFSET('4060COMP'!G$1,$A$4-1+$A$1,0)</f>
        <v>7.5779110115063402</v>
      </c>
      <c r="U13" s="12">
        <f ca="1">OFFSET('4060COMP'!H$1,$A$4-1+$A$1,0)</f>
        <v>25.186137670938898</v>
      </c>
      <c r="V13" s="12">
        <f ca="1">OFFSET('4060COMP'!I$1,$A$4-1+$A$1,0)</f>
        <v>86.386279367140645</v>
      </c>
      <c r="W13" s="12">
        <f ca="1">OFFSET('4060COMP'!J$1,$A$4-1+$A$1,0)</f>
        <v>62.364672371708785</v>
      </c>
      <c r="AA13">
        <f ca="1">Q13/Q$3</f>
        <v>9.347170050939313E-2</v>
      </c>
      <c r="AB13">
        <f t="shared" ref="AB13" ca="1" si="21">R13/R$3</f>
        <v>3.5363884558622154E-2</v>
      </c>
      <c r="AC13">
        <f t="shared" ref="AC13" ca="1" si="22">S13/S$3</f>
        <v>0.23742960575365393</v>
      </c>
      <c r="AD13">
        <f t="shared" ref="AD13" ca="1" si="23">T13/T$3</f>
        <v>2.2553306581864108E-2</v>
      </c>
      <c r="AE13">
        <f t="shared" ref="AE13" ca="1" si="24">U13/U$3</f>
        <v>3.7479371534135261E-2</v>
      </c>
      <c r="AF13">
        <f t="shared" ref="AF13" ca="1" si="25">V13/V$3</f>
        <v>6.4275505481503459E-2</v>
      </c>
      <c r="AG13">
        <f t="shared" ref="AG13" ca="1" si="26">W13/W$3</f>
        <v>2.3201142995427377E-2</v>
      </c>
    </row>
    <row r="14" spans="1:33" ht="15" customHeight="1" x14ac:dyDescent="0.25">
      <c r="A14">
        <v>8</v>
      </c>
      <c r="B14" t="str">
        <f ca="1">OFFSET('1050LAPTOP'!$C$1,A14-1,0)</f>
        <v>non CUDA transp_AVX_OMP Time</v>
      </c>
      <c r="C14" s="85" t="s">
        <v>24</v>
      </c>
      <c r="D14" s="1" t="s">
        <v>0</v>
      </c>
      <c r="E14" s="13">
        <f ca="1">OFFSET('1050LAPTOP'!D$1,$A14-1,0)</f>
        <v>0</v>
      </c>
      <c r="F14" s="13">
        <f ca="1">OFFSET('1050LAPTOP'!E$1,$A14-1,0)</f>
        <v>1906.3473999999997</v>
      </c>
      <c r="G14" s="13">
        <f ca="1">OFFSET('1050LAPTOP'!F$1,$A14-1,0)</f>
        <v>3617.8065999999999</v>
      </c>
      <c r="H14" s="13">
        <f ca="1">OFFSET('1050LAPTOP'!G$1,$A14-1,0)</f>
        <v>7097.737000000001</v>
      </c>
      <c r="I14" s="13">
        <f ca="1">OFFSET('1050LAPTOP'!H$1,$A14-1,0)</f>
        <v>14354.264000000001</v>
      </c>
      <c r="J14" s="13">
        <f ca="1">OFFSET('1050LAPTOP'!I$1,$A14-1,0)</f>
        <v>28337.321999999996</v>
      </c>
      <c r="K14" s="13">
        <f ca="1">OFFSET('1050LAPTOP'!J$1,$A14-1,0)</f>
        <v>54393.38</v>
      </c>
    </row>
    <row r="15" spans="1:33" x14ac:dyDescent="0.25">
      <c r="C15" s="86"/>
      <c r="D15" s="1" t="s">
        <v>19</v>
      </c>
      <c r="E15" s="1">
        <f ca="1">OFFSET('1050LAPTOP'!D$1,$A14-1+$A$1,0)</f>
        <v>0</v>
      </c>
      <c r="F15" s="1">
        <f ca="1">OFFSET('1050LAPTOP'!E$1,$A14-1+$A$1,0)</f>
        <v>15.006068899681614</v>
      </c>
      <c r="G15" s="1">
        <f ca="1">OFFSET('1050LAPTOP'!F$1,$A14-1+$A$1,0)</f>
        <v>3.7954440173890172</v>
      </c>
      <c r="H15" s="1">
        <f ca="1">OFFSET('1050LAPTOP'!G$1,$A14-1+$A$1,0)</f>
        <v>7.0860254753524679</v>
      </c>
      <c r="I15" s="1">
        <f ca="1">OFFSET('1050LAPTOP'!H$1,$A14-1+$A$1,0)</f>
        <v>37.701811683403449</v>
      </c>
      <c r="J15" s="1">
        <f ca="1">OFFSET('1050LAPTOP'!I$1,$A14-1+$A$1,0)</f>
        <v>22.048409929690635</v>
      </c>
      <c r="K15" s="1">
        <f ca="1">OFFSET('1050LAPTOP'!J$1,$A14-1+$A$1,0)</f>
        <v>25.805085812913649</v>
      </c>
    </row>
    <row r="16" spans="1:33" x14ac:dyDescent="0.25">
      <c r="A16">
        <v>12</v>
      </c>
      <c r="B16" t="str">
        <f ca="1">OFFSET('1050LAPTOP'!$C$1,A16-1,0)</f>
        <v>Time non CUDA AVX time 4</v>
      </c>
      <c r="C16" s="85"/>
      <c r="D16" s="1" t="s">
        <v>0</v>
      </c>
      <c r="E16" s="13">
        <f ca="1">OFFSET('1050LAPTOP'!D$1,$A16-1,0)</f>
        <v>1017.3776000000001</v>
      </c>
      <c r="F16" s="13">
        <f ca="1">OFFSET('1050LAPTOP'!E$1,$A16-1,0)</f>
        <v>1889.2707999999998</v>
      </c>
      <c r="G16" s="13">
        <f ca="1">OFFSET('1050LAPTOP'!F$1,$A16-1,0)</f>
        <v>3627.0554000000002</v>
      </c>
      <c r="H16" s="13">
        <f ca="1">OFFSET('1050LAPTOP'!G$1,$A16-1,0)</f>
        <v>7084.2337999999991</v>
      </c>
      <c r="I16" s="13">
        <f ca="1">OFFSET('1050LAPTOP'!H$1,$A16-1,0)</f>
        <v>14040.434000000001</v>
      </c>
      <c r="J16" s="13">
        <f ca="1">OFFSET('1050LAPTOP'!I$1,$A16-1,0)</f>
        <v>27472.933999999997</v>
      </c>
      <c r="K16" s="13">
        <f ca="1">OFFSET('1050LAPTOP'!J$1,$A16-1,0)</f>
        <v>52973.284000000007</v>
      </c>
    </row>
    <row r="17" spans="1:11" x14ac:dyDescent="0.25">
      <c r="C17" s="86"/>
      <c r="D17" s="1" t="s">
        <v>19</v>
      </c>
      <c r="E17" s="1">
        <f ca="1">OFFSET('1050LAPTOP'!D$1,$A16-1+$A$1,0)</f>
        <v>4.5036530975686508</v>
      </c>
      <c r="F17" s="1">
        <f ca="1">OFFSET('1050LAPTOP'!E$1,$A16-1+$A$1,0)</f>
        <v>3.1810468544520885</v>
      </c>
      <c r="G17" s="1">
        <f ca="1">OFFSET('1050LAPTOP'!F$1,$A16-1+$A$1,0)</f>
        <v>5.1561406805845467</v>
      </c>
      <c r="H17" s="1">
        <f ca="1">OFFSET('1050LAPTOP'!G$1,$A16-1+$A$1,0)</f>
        <v>11.160310691131215</v>
      </c>
      <c r="I17" s="1">
        <f ca="1">OFFSET('1050LAPTOP'!H$1,$A16-1+$A$1,0)</f>
        <v>6.3843012516465745</v>
      </c>
      <c r="J17" s="1">
        <f ca="1">OFFSET('1050LAPTOP'!I$1,$A16-1+$A$1,0)</f>
        <v>7.1438392057044746</v>
      </c>
      <c r="K17" s="1">
        <f ca="1">OFFSET('1050LAPTOP'!J$1,$A16-1+$A$1,0)</f>
        <v>240.62042675905232</v>
      </c>
    </row>
    <row r="18" spans="1:11" x14ac:dyDescent="0.25">
      <c r="A18">
        <v>13</v>
      </c>
      <c r="B18" t="str">
        <f ca="1">OFFSET('1050LAPTOP'!$C$1,A18-1,0)</f>
        <v>Time non CUDA AVX add CPU time 4</v>
      </c>
      <c r="C18" s="85"/>
      <c r="D18" s="1" t="s">
        <v>0</v>
      </c>
      <c r="E18" s="13">
        <f ca="1">OFFSET('1050LAPTOP'!D$1,$A18-1,0)</f>
        <v>627.14737999999988</v>
      </c>
      <c r="F18" s="13">
        <f ca="1">OFFSET('1050LAPTOP'!E$1,$A18-1,0)</f>
        <v>1153.4844000000005</v>
      </c>
      <c r="G18" s="13">
        <f ca="1">OFFSET('1050LAPTOP'!F$1,$A18-1,0)</f>
        <v>2244.2572000000005</v>
      </c>
      <c r="H18" s="13">
        <f ca="1">OFFSET('1050LAPTOP'!G$1,$A18-1,0)</f>
        <v>4419.3770000000004</v>
      </c>
      <c r="I18" s="13">
        <f ca="1">OFFSET('1050LAPTOP'!H$1,$A18-1,0)</f>
        <v>8817.8194000000003</v>
      </c>
      <c r="J18" s="13">
        <f ca="1">OFFSET('1050LAPTOP'!I$1,$A18-1,0)</f>
        <v>17479.466</v>
      </c>
      <c r="K18" s="13">
        <f ca="1">OFFSET('1050LAPTOP'!J$1,$A18-1,0)</f>
        <v>35108.803999999996</v>
      </c>
    </row>
    <row r="19" spans="1:11" x14ac:dyDescent="0.25">
      <c r="C19" s="86"/>
      <c r="D19" s="1" t="s">
        <v>19</v>
      </c>
      <c r="E19" s="1">
        <f ca="1">OFFSET('1050LAPTOP'!D$1,$A18-1+$A$1,0)</f>
        <v>4.1153896256351157</v>
      </c>
      <c r="F19" s="1">
        <f ca="1">OFFSET('1050LAPTOP'!E$1,$A18-1+$A$1,0)</f>
        <v>3.611629064380292</v>
      </c>
      <c r="G19" s="1">
        <f ca="1">OFFSET('1050LAPTOP'!F$1,$A18-1+$A$1,0)</f>
        <v>6.3078417126929454</v>
      </c>
      <c r="H19" s="1">
        <f ca="1">OFFSET('1050LAPTOP'!G$1,$A18-1+$A$1,0)</f>
        <v>3.1527105989100899</v>
      </c>
      <c r="I19" s="1">
        <f ca="1">OFFSET('1050LAPTOP'!H$1,$A18-1+$A$1,0)</f>
        <v>15.940904434783517</v>
      </c>
      <c r="J19" s="1">
        <f ca="1">OFFSET('1050LAPTOP'!I$1,$A18-1+$A$1,0)</f>
        <v>34.110952445405815</v>
      </c>
      <c r="K19" s="1">
        <f ca="1">OFFSET('1050LAPTOP'!J$1,$A18-1+$A$1,0)</f>
        <v>65.010017786780637</v>
      </c>
    </row>
    <row r="20" spans="1:11" s="18" customFormat="1" x14ac:dyDescent="0.25">
      <c r="A20" s="18">
        <v>3</v>
      </c>
      <c r="B20" s="18" t="str">
        <f ca="1">OFFSET('1050LAPTOP'!$C$1,A20-1,0)</f>
        <v>Classic ACO</v>
      </c>
      <c r="C20" s="85" t="s">
        <v>1</v>
      </c>
      <c r="D20" s="19" t="s">
        <v>0</v>
      </c>
      <c r="E20" s="20">
        <f ca="1">OFFSET('1050COMP'!D$1,$A20-1,0)</f>
        <v>13775.68</v>
      </c>
      <c r="F20" s="20">
        <f ca="1">OFFSET('1050COMP'!E$1,$A20-1,0)</f>
        <v>24819.016000000011</v>
      </c>
      <c r="G20" s="20">
        <f ca="1">OFFSET('1050COMP'!F$1,$A20-1,0)</f>
        <v>47399.626000000004</v>
      </c>
      <c r="H20" s="20">
        <f ca="1">OFFSET('1050COMP'!G$1,$A20-1,0)</f>
        <v>96405.03</v>
      </c>
      <c r="I20" s="20">
        <f ca="1">OFFSET('1050COMP'!H$1,$A20-1,0)</f>
        <v>197567.46</v>
      </c>
      <c r="J20" s="20">
        <f ca="1">OFFSET('1050COMP'!I$1,$A20-1,0)</f>
        <v>376437.82</v>
      </c>
      <c r="K20" s="20">
        <f ca="1">OFFSET('1050COMP'!J$1,$A20-1,0)</f>
        <v>762594.84</v>
      </c>
    </row>
    <row r="21" spans="1:11" x14ac:dyDescent="0.25">
      <c r="C21" s="86"/>
      <c r="D21" s="1" t="s">
        <v>19</v>
      </c>
      <c r="E21" s="1">
        <f ca="1">OFFSET('1050COMP'!D$1,$A20-1+$A$1,0)</f>
        <v>48.452722923816417</v>
      </c>
      <c r="F21" s="1">
        <f ca="1">OFFSET('1050COMP'!E$1,$A20-1+$A$1,0)</f>
        <v>5.5245302714428401</v>
      </c>
      <c r="G21" s="1">
        <f ca="1">OFFSET('1050COMP'!F$1,$A20-1+$A$1,0)</f>
        <v>73.476724141101002</v>
      </c>
      <c r="H21" s="1">
        <f ca="1">OFFSET('1050COMP'!G$1,$A20-1+$A$1,0)</f>
        <v>120.92401410419107</v>
      </c>
      <c r="I21" s="1">
        <f ca="1">OFFSET('1050COMP'!H$1,$A20-1+$A$1,0)</f>
        <v>4278.2048905318907</v>
      </c>
      <c r="J21" s="1">
        <f ca="1">OFFSET('1050COMP'!I$1,$A20-1+$A$1,0)</f>
        <v>465.43416454766776</v>
      </c>
      <c r="K21" s="1">
        <f ca="1">OFFSET('1050COMP'!J$1,$A20-1+$A$1,0)</f>
        <v>10015.792790492662</v>
      </c>
    </row>
    <row r="22" spans="1:11" x14ac:dyDescent="0.25">
      <c r="A22">
        <v>4</v>
      </c>
      <c r="B22" t="str">
        <f ca="1">OFFSET('1050LAPTOP'!$C$1,A22-1,0)</f>
        <v>non CUDA Time</v>
      </c>
      <c r="C22" s="85" t="s">
        <v>20</v>
      </c>
      <c r="D22" s="1" t="s">
        <v>0</v>
      </c>
      <c r="E22" s="13">
        <f ca="1">OFFSET('1050COMP'!D$1,$A22-1,0)</f>
        <v>1021.2763999999999</v>
      </c>
      <c r="F22" s="13">
        <f ca="1">OFFSET('1050COMP'!E$1,$A22-1,0)</f>
        <v>1875.4454000000003</v>
      </c>
      <c r="G22" s="13">
        <f ca="1">OFFSET('1050COMP'!F$1,$A22-1,0)</f>
        <v>3606.0204000000008</v>
      </c>
      <c r="H22" s="13">
        <f ca="1">OFFSET('1050COMP'!G$1,$A22-1,0)</f>
        <v>7106.4438000000009</v>
      </c>
      <c r="I22" s="13">
        <f ca="1">OFFSET('1050COMP'!H$1,$A22-1,0)</f>
        <v>14355.808000000001</v>
      </c>
      <c r="J22" s="13">
        <f ca="1">OFFSET('1050COMP'!I$1,$A22-1,0)</f>
        <v>27843.877999999993</v>
      </c>
      <c r="K22" s="13">
        <f ca="1">OFFSET('1050COMP'!J$1,$A22-1,0)</f>
        <v>54934.597999999998</v>
      </c>
    </row>
    <row r="23" spans="1:11" x14ac:dyDescent="0.25">
      <c r="C23" s="86"/>
      <c r="D23" s="1" t="s">
        <v>19</v>
      </c>
      <c r="E23" s="1">
        <f ca="1">OFFSET('1050COMP'!D$1,$A22-1+$A$1,0)</f>
        <v>10.942156092201996</v>
      </c>
      <c r="F23" s="1">
        <f ca="1">OFFSET('1050COMP'!E$1,$A22-1+$A$1,0)</f>
        <v>9.9698891291318876</v>
      </c>
      <c r="G23" s="1">
        <f ca="1">OFFSET('1050COMP'!F$1,$A22-1+$A$1,0)</f>
        <v>8.1186352020084556</v>
      </c>
      <c r="H23" s="1">
        <f ca="1">OFFSET('1050COMP'!G$1,$A22-1+$A$1,0)</f>
        <v>21.800473583742221</v>
      </c>
      <c r="I23" s="1">
        <f ca="1">OFFSET('1050COMP'!H$1,$A22-1+$A$1,0)</f>
        <v>22.947847779605322</v>
      </c>
      <c r="J23" s="1">
        <f ca="1">OFFSET('1050COMP'!I$1,$A22-1+$A$1,0)</f>
        <v>48.483805867627488</v>
      </c>
      <c r="K23" s="1">
        <f ca="1">OFFSET('1050COMP'!J$1,$A22-1+$A$1,0)</f>
        <v>125.33519117748634</v>
      </c>
    </row>
    <row r="24" spans="1:11" x14ac:dyDescent="0.25">
      <c r="A24">
        <v>5</v>
      </c>
      <c r="B24" t="str">
        <f ca="1">OFFSET('1050LAPTOP'!$C$1,A24-1,0)</f>
        <v>omp</v>
      </c>
      <c r="C24" s="85" t="s">
        <v>21</v>
      </c>
      <c r="D24" s="1" t="s">
        <v>0</v>
      </c>
      <c r="E24" s="13">
        <f ca="1">OFFSET('1050COMP'!D$1,$A24-1,0)</f>
        <v>936.52015999999992</v>
      </c>
      <c r="F24" s="13">
        <f ca="1">OFFSET('1050COMP'!E$1,$A24-1,0)</f>
        <v>1796.2391999999998</v>
      </c>
      <c r="G24" s="13">
        <f ca="1">OFFSET('1050COMP'!F$1,$A24-1,0)</f>
        <v>3518.9700000000012</v>
      </c>
      <c r="H24" s="13">
        <f ca="1">OFFSET('1050COMP'!G$1,$A24-1,0)</f>
        <v>7123.3737999999976</v>
      </c>
      <c r="I24" s="13">
        <f ca="1">OFFSET('1050COMP'!H$1,$A24-1,0)</f>
        <v>14467.484000000004</v>
      </c>
      <c r="J24" s="13">
        <f ca="1">OFFSET('1050COMP'!I$1,$A24-1,0)</f>
        <v>27997.418000000001</v>
      </c>
      <c r="K24" s="13">
        <f ca="1">OFFSET('1050COMP'!J$1,$A24-1,0)</f>
        <v>54080.831999999995</v>
      </c>
    </row>
    <row r="25" spans="1:11" x14ac:dyDescent="0.25">
      <c r="C25" s="86"/>
      <c r="D25" s="1" t="s">
        <v>19</v>
      </c>
      <c r="E25" s="1">
        <f ca="1">OFFSET('1050COMP'!D$1,$A24-1+$A$1,0)</f>
        <v>0.59577325919055901</v>
      </c>
      <c r="F25" s="1">
        <f ca="1">OFFSET('1050COMP'!E$1,$A24-1+$A$1,0)</f>
        <v>49.484189623541958</v>
      </c>
      <c r="G25" s="1">
        <f ca="1">OFFSET('1050COMP'!F$1,$A24-1+$A$1,0)</f>
        <v>9.1284333414193259</v>
      </c>
      <c r="H25" s="1">
        <f ca="1">OFFSET('1050COMP'!G$1,$A24-1+$A$1,0)</f>
        <v>14.493006788123514</v>
      </c>
      <c r="I25" s="1">
        <f ca="1">OFFSET('1050COMP'!H$1,$A24-1+$A$1,0)</f>
        <v>54.046573342388477</v>
      </c>
      <c r="J25" s="1">
        <f ca="1">OFFSET('1050COMP'!I$1,$A24-1+$A$1,0)</f>
        <v>50.116801290568887</v>
      </c>
      <c r="K25" s="1">
        <f ca="1">OFFSET('1050COMP'!J$1,$A24-1+$A$1,0)</f>
        <v>138.28385594594505</v>
      </c>
    </row>
    <row r="26" spans="1:11" x14ac:dyDescent="0.25">
      <c r="A26">
        <v>6</v>
      </c>
      <c r="B26" t="str">
        <f ca="1">OFFSET('1050LAPTOP'!$C$1,A26-1,0)</f>
        <v>non CUDA transp Time</v>
      </c>
      <c r="C26" s="85" t="s">
        <v>22</v>
      </c>
      <c r="D26" s="1" t="s">
        <v>0</v>
      </c>
      <c r="E26" s="13">
        <f ca="1">OFFSET('1050COMP'!D$1,$A26-1,0)</f>
        <v>989.51166000000012</v>
      </c>
      <c r="F26" s="13">
        <f ca="1">OFFSET('1050COMP'!E$1,$A26-1,0)</f>
        <v>1854.2993999999997</v>
      </c>
      <c r="G26" s="13">
        <f ca="1">OFFSET('1050COMP'!F$1,$A26-1,0)</f>
        <v>3547.5267999999992</v>
      </c>
      <c r="H26" s="13">
        <f ca="1">OFFSET('1050COMP'!G$1,$A26-1,0)</f>
        <v>7089.6243999999997</v>
      </c>
      <c r="I26" s="13">
        <f ca="1">OFFSET('1050COMP'!H$1,$A26-1,0)</f>
        <v>14367.464</v>
      </c>
      <c r="J26" s="13">
        <f ca="1">OFFSET('1050COMP'!I$1,$A26-1,0)</f>
        <v>27639.605999999992</v>
      </c>
      <c r="K26" s="13">
        <f ca="1">OFFSET('1050COMP'!J$1,$A26-1,0)</f>
        <v>53463.301999999981</v>
      </c>
    </row>
    <row r="27" spans="1:11" x14ac:dyDescent="0.25">
      <c r="C27" s="86"/>
      <c r="D27" s="1" t="s">
        <v>19</v>
      </c>
      <c r="E27" s="1">
        <f ca="1">OFFSET('1050COMP'!D$1,$A26-1+$A$1,0)</f>
        <v>1.7307590815162632</v>
      </c>
      <c r="F27" s="1">
        <f ca="1">OFFSET('1050COMP'!E$1,$A26-1+$A$1,0)</f>
        <v>6.0922639475790046</v>
      </c>
      <c r="G27" s="1">
        <f ca="1">OFFSET('1050COMP'!F$1,$A26-1+$A$1,0)</f>
        <v>11.048366028392445</v>
      </c>
      <c r="H27" s="1">
        <f ca="1">OFFSET('1050COMP'!G$1,$A26-1+$A$1,0)</f>
        <v>17.982642842027548</v>
      </c>
      <c r="I27" s="1">
        <f ca="1">OFFSET('1050COMP'!H$1,$A26-1+$A$1,0)</f>
        <v>39.631228000267065</v>
      </c>
      <c r="J27" s="1">
        <f ca="1">OFFSET('1050COMP'!I$1,$A26-1+$A$1,0)</f>
        <v>119.26054061409221</v>
      </c>
      <c r="K27" s="1">
        <f ca="1">OFFSET('1050COMP'!J$1,$A26-1+$A$1,0)</f>
        <v>142.74902668876507</v>
      </c>
    </row>
    <row r="28" spans="1:11" x14ac:dyDescent="0.25">
      <c r="A28">
        <v>7</v>
      </c>
      <c r="B28" t="str">
        <f ca="1">OFFSET('1050LAPTOP'!$C$1,A28-1,0)</f>
        <v>non CUDA transp_AVX Time</v>
      </c>
      <c r="C28" s="85" t="s">
        <v>23</v>
      </c>
      <c r="D28" s="1" t="s">
        <v>0</v>
      </c>
      <c r="E28" s="13">
        <f ca="1">OFFSET('1050COMP'!D$1,$A28-1,0)</f>
        <v>0</v>
      </c>
      <c r="F28" s="13">
        <f ca="1">OFFSET('1050COMP'!E$1,$A28-1,0)</f>
        <v>1907.0192000000002</v>
      </c>
      <c r="G28" s="13">
        <f ca="1">OFFSET('1050COMP'!F$1,$A28-1,0)</f>
        <v>3649.6616000000008</v>
      </c>
      <c r="H28" s="13">
        <f ca="1">OFFSET('1050COMP'!G$1,$A28-1,0)</f>
        <v>7350.9721999999983</v>
      </c>
      <c r="I28" s="13">
        <f ca="1">OFFSET('1050COMP'!H$1,$A28-1,0)</f>
        <v>14737.54</v>
      </c>
      <c r="J28" s="13">
        <f ca="1">OFFSET('1050COMP'!I$1,$A28-1,0)</f>
        <v>28823.407999999999</v>
      </c>
      <c r="K28" s="13">
        <f ca="1">OFFSET('1050COMP'!J$1,$A28-1,0)</f>
        <v>55301.923999999985</v>
      </c>
    </row>
    <row r="29" spans="1:11" x14ac:dyDescent="0.25">
      <c r="C29" s="86"/>
      <c r="D29" s="1" t="s">
        <v>19</v>
      </c>
      <c r="E29" s="1">
        <f ca="1">OFFSET('1050COMP'!D$1,$A28-1+$A$1,0)</f>
        <v>0</v>
      </c>
      <c r="F29" s="1">
        <f ca="1">OFFSET('1050COMP'!E$1,$A28-1+$A$1,0)</f>
        <v>5.4446487774604941</v>
      </c>
      <c r="G29" s="1">
        <f ca="1">OFFSET('1050COMP'!F$1,$A28-1+$A$1,0)</f>
        <v>10.738090871958857</v>
      </c>
      <c r="H29" s="1">
        <f ca="1">OFFSET('1050COMP'!G$1,$A28-1+$A$1,0)</f>
        <v>32.820993093572845</v>
      </c>
      <c r="I29" s="1">
        <f ca="1">OFFSET('1050COMP'!H$1,$A28-1+$A$1,0)</f>
        <v>43.205466043802922</v>
      </c>
      <c r="J29" s="1">
        <f ca="1">OFFSET('1050COMP'!I$1,$A28-1+$A$1,0)</f>
        <v>48.244699549122039</v>
      </c>
      <c r="K29" s="1">
        <f ca="1">OFFSET('1050COMP'!J$1,$A28-1+$A$1,0)</f>
        <v>116.84553494977696</v>
      </c>
    </row>
    <row r="30" spans="1:11" x14ac:dyDescent="0.25">
      <c r="A30">
        <v>8</v>
      </c>
      <c r="B30" t="str">
        <f ca="1">OFFSET('1050LAPTOP'!$C$1,A30-1,0)</f>
        <v>non CUDA transp_AVX_OMP Time</v>
      </c>
      <c r="C30" s="85" t="s">
        <v>24</v>
      </c>
      <c r="D30" s="1" t="s">
        <v>0</v>
      </c>
      <c r="E30" s="13">
        <f ca="1">OFFSET('1050COMP'!D$1,$A30-1,0)</f>
        <v>0</v>
      </c>
      <c r="F30" s="13">
        <f ca="1">OFFSET('1050COMP'!E$1,$A30-1,0)</f>
        <v>1909.2300000000005</v>
      </c>
      <c r="G30" s="13">
        <f ca="1">OFFSET('1050COMP'!F$1,$A30-1,0)</f>
        <v>3647.0057999999995</v>
      </c>
      <c r="H30" s="13">
        <f ca="1">OFFSET('1050COMP'!G$1,$A30-1,0)</f>
        <v>7340.9409999999998</v>
      </c>
      <c r="I30" s="13">
        <f ca="1">OFFSET('1050COMP'!H$1,$A30-1,0)</f>
        <v>14774.013999999997</v>
      </c>
      <c r="J30" s="13">
        <f ca="1">OFFSET('1050COMP'!I$1,$A30-1,0)</f>
        <v>28806.065999999995</v>
      </c>
      <c r="K30" s="13">
        <f ca="1">OFFSET('1050COMP'!J$1,$A30-1,0)</f>
        <v>55311.37799999999</v>
      </c>
    </row>
    <row r="31" spans="1:11" x14ac:dyDescent="0.25">
      <c r="C31" s="86"/>
      <c r="D31" s="1" t="s">
        <v>19</v>
      </c>
      <c r="E31" s="1">
        <f ca="1">OFFSET('1050COMP'!D$1,$A30-1+$A$1,0)</f>
        <v>0</v>
      </c>
      <c r="F31" s="1">
        <f ca="1">OFFSET('1050COMP'!E$1,$A30-1+$A$1,0)</f>
        <v>4.9507282629851552</v>
      </c>
      <c r="G31" s="1">
        <f ca="1">OFFSET('1050COMP'!F$1,$A30-1+$A$1,0)</f>
        <v>9.6056264837135714</v>
      </c>
      <c r="H31" s="1">
        <f ca="1">OFFSET('1050COMP'!G$1,$A30-1+$A$1,0)</f>
        <v>22.250767376534952</v>
      </c>
      <c r="I31" s="1">
        <f ca="1">OFFSET('1050COMP'!H$1,$A30-1+$A$1,0)</f>
        <v>78.156293810482097</v>
      </c>
      <c r="J31" s="1">
        <f ca="1">OFFSET('1050COMP'!I$1,$A30-1+$A$1,0)</f>
        <v>44.072031830616211</v>
      </c>
      <c r="K31" s="1">
        <f ca="1">OFFSET('1050COMP'!J$1,$A30-1+$A$1,0)</f>
        <v>116.33896848284652</v>
      </c>
    </row>
    <row r="32" spans="1:11" x14ac:dyDescent="0.25">
      <c r="A32">
        <v>12</v>
      </c>
      <c r="B32" t="str">
        <f ca="1">OFFSET('1050LAPTOP'!$C$1,A32-1,0)</f>
        <v>Time non CUDA AVX time 4</v>
      </c>
      <c r="C32" s="85"/>
      <c r="D32" s="1" t="s">
        <v>0</v>
      </c>
      <c r="E32" s="13">
        <f ca="1">OFFSET('1050COMP'!D$1,$A32-1,0)</f>
        <v>980.75398000000018</v>
      </c>
      <c r="F32" s="13">
        <f ca="1">OFFSET('1050COMP'!E$1,$A32-1,0)</f>
        <v>1822.0432000000001</v>
      </c>
      <c r="G32" s="13">
        <f ca="1">OFFSET('1050COMP'!F$1,$A32-1,0)</f>
        <v>3521.0431999999987</v>
      </c>
      <c r="H32" s="13">
        <f ca="1">OFFSET('1050COMP'!G$1,$A32-1,0)</f>
        <v>6913.7883999999995</v>
      </c>
      <c r="I32" s="13">
        <f ca="1">OFFSET('1050COMP'!H$1,$A32-1,0)</f>
        <v>14600.704000000002</v>
      </c>
      <c r="J32" s="13">
        <f ca="1">OFFSET('1050COMP'!I$1,$A32-1,0)</f>
        <v>27769.686000000005</v>
      </c>
      <c r="K32" s="13">
        <f ca="1">OFFSET('1050COMP'!J$1,$A32-1,0)</f>
        <v>53720.156000000003</v>
      </c>
    </row>
    <row r="33" spans="1:11" x14ac:dyDescent="0.25">
      <c r="C33" s="86"/>
      <c r="D33" s="1" t="s">
        <v>19</v>
      </c>
      <c r="E33" s="1">
        <f ca="1">OFFSET('1050COMP'!D$1,$A32-1+$A$1,0)</f>
        <v>4.587877587742164</v>
      </c>
      <c r="F33" s="1">
        <f ca="1">OFFSET('1050COMP'!E$1,$A32-1+$A$1,0)</f>
        <v>9.7863637522905282</v>
      </c>
      <c r="G33" s="1">
        <f ca="1">OFFSET('1050COMP'!F$1,$A32-1+$A$1,0)</f>
        <v>5.4866691789602466</v>
      </c>
      <c r="H33" s="1">
        <f ca="1">OFFSET('1050COMP'!G$1,$A32-1+$A$1,0)</f>
        <v>6.0988867173252324</v>
      </c>
      <c r="I33" s="1">
        <f ca="1">OFFSET('1050COMP'!H$1,$A32-1+$A$1,0)</f>
        <v>65.20546193073092</v>
      </c>
      <c r="J33" s="1">
        <f ca="1">OFFSET('1050COMP'!I$1,$A32-1+$A$1,0)</f>
        <v>97.697116246256201</v>
      </c>
      <c r="K33" s="1">
        <f ca="1">OFFSET('1050COMP'!J$1,$A32-1+$A$1,0)</f>
        <v>131.75917097857348</v>
      </c>
    </row>
    <row r="34" spans="1:11" x14ac:dyDescent="0.25">
      <c r="A34">
        <v>13</v>
      </c>
      <c r="B34" t="str">
        <f ca="1">OFFSET('1050LAPTOP'!$C$1,A34-1,0)</f>
        <v>Time non CUDA AVX add CPU time 4</v>
      </c>
      <c r="C34" s="85"/>
      <c r="D34" s="1" t="s">
        <v>0</v>
      </c>
      <c r="E34" s="13">
        <f ca="1">OFFSET('1050COMP'!D$1,$A34-1,0)</f>
        <v>585.59821999999997</v>
      </c>
      <c r="F34" s="13">
        <f ca="1">OFFSET('1050COMP'!E$1,$A34-1,0)</f>
        <v>1094.3245999999999</v>
      </c>
      <c r="G34" s="13">
        <f ca="1">OFFSET('1050COMP'!F$1,$A34-1,0)</f>
        <v>2120.4718000000007</v>
      </c>
      <c r="H34" s="13">
        <f ca="1">OFFSET('1050COMP'!G$1,$A34-1,0)</f>
        <v>4187.7103999999999</v>
      </c>
      <c r="I34" s="13">
        <f ca="1">OFFSET('1050COMP'!H$1,$A34-1,0)</f>
        <v>9455.6193999999996</v>
      </c>
      <c r="J34" s="13">
        <f ca="1">OFFSET('1050COMP'!I$1,$A34-1,0)</f>
        <v>19091.787999999997</v>
      </c>
      <c r="K34" s="13">
        <f ca="1">OFFSET('1050COMP'!J$1,$A34-1,0)</f>
        <v>39015.478000000003</v>
      </c>
    </row>
    <row r="35" spans="1:11" x14ac:dyDescent="0.25">
      <c r="C35" s="86"/>
      <c r="D35" s="1" t="s">
        <v>19</v>
      </c>
      <c r="E35" s="1">
        <f ca="1">OFFSET('1050COMP'!D$1,$A34-1+$A$1,0)</f>
        <v>1.0386445600597982</v>
      </c>
      <c r="F35" s="1">
        <f ca="1">OFFSET('1050COMP'!E$1,$A34-1+$A$1,0)</f>
        <v>3.0217063987343837</v>
      </c>
      <c r="G35" s="1">
        <f ca="1">OFFSET('1050COMP'!F$1,$A34-1+$A$1,0)</f>
        <v>4.0730744650860897</v>
      </c>
      <c r="H35" s="1">
        <f ca="1">OFFSET('1050COMP'!G$1,$A34-1+$A$1,0)</f>
        <v>1.8340223836875282</v>
      </c>
      <c r="I35" s="1">
        <f ca="1">OFFSET('1050COMP'!H$1,$A34-1+$A$1,0)</f>
        <v>53.129504210582695</v>
      </c>
      <c r="J35" s="1">
        <f ca="1">OFFSET('1050COMP'!I$1,$A34-1+$A$1,0)</f>
        <v>54.54526076274518</v>
      </c>
      <c r="K35" s="1">
        <f ca="1">OFFSET('1050COMP'!J$1,$A34-1+$A$1,0)</f>
        <v>97.365494932623392</v>
      </c>
    </row>
    <row r="36" spans="1:11" s="18" customFormat="1" x14ac:dyDescent="0.25">
      <c r="A36" s="18">
        <v>3</v>
      </c>
      <c r="B36" s="18" t="str">
        <f ca="1">OFFSET('1050LAPTOP'!$C$1,A36-1,0)</f>
        <v>Classic ACO</v>
      </c>
      <c r="C36" s="85" t="s">
        <v>1</v>
      </c>
      <c r="D36" s="19" t="s">
        <v>0</v>
      </c>
      <c r="E36" s="20">
        <f ca="1">OFFSET('3060LAPTOP'!D$1,$A36-1,0)</f>
        <v>6732.0454</v>
      </c>
      <c r="F36" s="20">
        <f ca="1">OFFSET('3060LAPTOP'!E$1,$A36-1,0)</f>
        <v>12795.570000000002</v>
      </c>
      <c r="G36" s="20">
        <f ca="1">OFFSET('3060LAPTOP'!F$1,$A36-1,0)</f>
        <v>24112.532000000003</v>
      </c>
      <c r="H36" s="20">
        <f ca="1">OFFSET('3060LAPTOP'!G$1,$A36-1,0)</f>
        <v>46059.343999999997</v>
      </c>
      <c r="I36" s="20">
        <f ca="1">OFFSET('3060LAPTOP'!H$1,$A36-1,0)</f>
        <v>91907.945999999982</v>
      </c>
      <c r="J36" s="20">
        <f ca="1">OFFSET('3060LAPTOP'!I$1,$A36-1,0)</f>
        <v>184408.08</v>
      </c>
      <c r="K36" s="20">
        <f ca="1">OFFSET('3060LAPTOP'!J$1,$A36-1,0)</f>
        <v>367570.34</v>
      </c>
    </row>
    <row r="37" spans="1:11" x14ac:dyDescent="0.25">
      <c r="C37" s="86"/>
      <c r="D37" s="1" t="s">
        <v>19</v>
      </c>
      <c r="E37" s="1">
        <f ca="1">OFFSET('3060LAPTOP'!D$1,$A36-1+$A$1,0)</f>
        <v>29.72261047054694</v>
      </c>
      <c r="F37" s="1">
        <f ca="1">OFFSET('3060LAPTOP'!E$1,$A36-1+$A$1,0)</f>
        <v>17.26108240180459</v>
      </c>
      <c r="G37" s="1">
        <f ca="1">OFFSET('3060LAPTOP'!F$1,$A36-1+$A$1,0)</f>
        <v>98.029302374199148</v>
      </c>
      <c r="H37" s="1">
        <f ca="1">OFFSET('3060LAPTOP'!G$1,$A36-1+$A$1,0)</f>
        <v>48.186919862009397</v>
      </c>
      <c r="I37" s="1">
        <f ca="1">OFFSET('3060LAPTOP'!H$1,$A36-1+$A$1,0)</f>
        <v>512.62779846201795</v>
      </c>
      <c r="J37" s="1">
        <f ca="1">OFFSET('3060LAPTOP'!I$1,$A36-1+$A$1,0)</f>
        <v>775.06197622963418</v>
      </c>
      <c r="K37" s="1">
        <f ca="1">OFFSET('3060LAPTOP'!J$1,$A36-1+$A$1,0)</f>
        <v>1357.5706663296471</v>
      </c>
    </row>
    <row r="38" spans="1:11" x14ac:dyDescent="0.25">
      <c r="A38">
        <v>4</v>
      </c>
      <c r="B38" t="str">
        <f ca="1">OFFSET('1050LAPTOP'!$C$1,A38-1,0)</f>
        <v>non CUDA Time</v>
      </c>
      <c r="C38" s="85" t="s">
        <v>20</v>
      </c>
      <c r="D38" s="1" t="s">
        <v>0</v>
      </c>
      <c r="E38" s="13">
        <f ca="1">OFFSET('3060LAPTOP'!D$1,$A38-1,0)</f>
        <v>565.78236000000004</v>
      </c>
      <c r="F38" s="13">
        <f ca="1">OFFSET('3060LAPTOP'!E$1,$A38-1,0)</f>
        <v>1048.5618000000002</v>
      </c>
      <c r="G38" s="13">
        <f ca="1">OFFSET('3060LAPTOP'!F$1,$A38-1,0)</f>
        <v>1982.6899999999996</v>
      </c>
      <c r="H38" s="13">
        <f ca="1">OFFSET('3060LAPTOP'!G$1,$A38-1,0)</f>
        <v>3787.3732000000014</v>
      </c>
      <c r="I38" s="13">
        <f ca="1">OFFSET('3060LAPTOP'!H$1,$A38-1,0)</f>
        <v>7666.1589999999997</v>
      </c>
      <c r="J38" s="13">
        <f ca="1">OFFSET('3060LAPTOP'!I$1,$A38-1,0)</f>
        <v>15021.705999999998</v>
      </c>
      <c r="K38" s="13">
        <f ca="1">OFFSET('3060LAPTOP'!J$1,$A38-1,0)</f>
        <v>30206.626000000011</v>
      </c>
    </row>
    <row r="39" spans="1:11" x14ac:dyDescent="0.25">
      <c r="C39" s="86"/>
      <c r="D39" s="1" t="s">
        <v>19</v>
      </c>
      <c r="E39" s="1">
        <f ca="1">OFFSET('3060LAPTOP'!D$1,$A38-1+$A$1,0)</f>
        <v>4.1622870183002432</v>
      </c>
      <c r="F39" s="1">
        <f ca="1">OFFSET('3060LAPTOP'!E$1,$A38-1+$A$1,0)</f>
        <v>4.1114063303731383</v>
      </c>
      <c r="G39" s="1">
        <f ca="1">OFFSET('3060LAPTOP'!F$1,$A38-1+$A$1,0)</f>
        <v>9.9600752347793069</v>
      </c>
      <c r="H39" s="1">
        <f ca="1">OFFSET('3060LAPTOP'!G$1,$A38-1+$A$1,0)</f>
        <v>10.371021995671997</v>
      </c>
      <c r="I39" s="1">
        <f ca="1">OFFSET('3060LAPTOP'!H$1,$A38-1+$A$1,0)</f>
        <v>60.114894582401242</v>
      </c>
      <c r="J39" s="1">
        <f ca="1">OFFSET('3060LAPTOP'!I$1,$A38-1+$A$1,0)</f>
        <v>32.345265111406945</v>
      </c>
      <c r="K39" s="1">
        <f ca="1">OFFSET('3060LAPTOP'!J$1,$A38-1+$A$1,0)</f>
        <v>64.000995899131425</v>
      </c>
    </row>
    <row r="40" spans="1:11" x14ac:dyDescent="0.25">
      <c r="A40">
        <v>5</v>
      </c>
      <c r="B40" t="str">
        <f ca="1">OFFSET('1050LAPTOP'!$C$1,A40-1,0)</f>
        <v>omp</v>
      </c>
      <c r="C40" s="85" t="s">
        <v>21</v>
      </c>
      <c r="D40" s="1" t="s">
        <v>0</v>
      </c>
      <c r="E40" s="13">
        <f ca="1">OFFSET('3060LAPTOP'!D$1,$A40-1,0)</f>
        <v>537.5828600000001</v>
      </c>
      <c r="F40" s="13">
        <f ca="1">OFFSET('3060LAPTOP'!E$1,$A40-1,0)</f>
        <v>1010.2037999999999</v>
      </c>
      <c r="G40" s="13">
        <f ca="1">OFFSET('3060LAPTOP'!F$1,$A40-1,0)</f>
        <v>1940.0652</v>
      </c>
      <c r="H40" s="13">
        <f ca="1">OFFSET('3060LAPTOP'!G$1,$A40-1,0)</f>
        <v>3816.5009999999997</v>
      </c>
      <c r="I40" s="13">
        <f ca="1">OFFSET('3060LAPTOP'!H$1,$A40-1,0)</f>
        <v>7811.4766</v>
      </c>
      <c r="J40" s="13">
        <f ca="1">OFFSET('3060LAPTOP'!I$1,$A40-1,0)</f>
        <v>15154.871999999999</v>
      </c>
      <c r="K40" s="13">
        <f ca="1">OFFSET('3060LAPTOP'!J$1,$A40-1,0)</f>
        <v>30090.163999999993</v>
      </c>
    </row>
    <row r="41" spans="1:11" x14ac:dyDescent="0.25">
      <c r="C41" s="86"/>
      <c r="D41" s="1" t="s">
        <v>19</v>
      </c>
      <c r="E41" s="1">
        <f ca="1">OFFSET('3060LAPTOP'!D$1,$A40-1+$A$1,0)</f>
        <v>4.5095966148222191</v>
      </c>
      <c r="F41" s="1">
        <f ca="1">OFFSET('3060LAPTOP'!E$1,$A40-1+$A$1,0)</f>
        <v>2.695164058552638</v>
      </c>
      <c r="G41" s="1">
        <f ca="1">OFFSET('3060LAPTOP'!F$1,$A40-1+$A$1,0)</f>
        <v>2.3080237298604032</v>
      </c>
      <c r="H41" s="1">
        <f ca="1">OFFSET('3060LAPTOP'!G$1,$A40-1+$A$1,0)</f>
        <v>8.7723176035581485</v>
      </c>
      <c r="I41" s="1">
        <f ca="1">OFFSET('3060LAPTOP'!H$1,$A40-1+$A$1,0)</f>
        <v>17.021157059376133</v>
      </c>
      <c r="J41" s="1">
        <f ca="1">OFFSET('3060LAPTOP'!I$1,$A40-1+$A$1,0)</f>
        <v>24.822802780119414</v>
      </c>
      <c r="K41" s="1">
        <f ca="1">OFFSET('3060LAPTOP'!J$1,$A40-1+$A$1,0)</f>
        <v>31.215446024773321</v>
      </c>
    </row>
    <row r="42" spans="1:11" x14ac:dyDescent="0.25">
      <c r="A42">
        <v>6</v>
      </c>
      <c r="B42" t="str">
        <f ca="1">OFFSET('1050LAPTOP'!$C$1,A42-1,0)</f>
        <v>non CUDA transp Time</v>
      </c>
      <c r="C42" s="85" t="s">
        <v>22</v>
      </c>
      <c r="D42" s="1" t="s">
        <v>0</v>
      </c>
      <c r="E42" s="13">
        <f ca="1">OFFSET('3060LAPTOP'!D$1,$A42-1,0)</f>
        <v>568.43799999999999</v>
      </c>
      <c r="F42" s="13">
        <f ca="1">OFFSET('3060LAPTOP'!E$1,$A42-1,0)</f>
        <v>1053.3364000000001</v>
      </c>
      <c r="G42" s="13">
        <f ca="1">OFFSET('3060LAPTOP'!F$1,$A42-1,0)</f>
        <v>1978.4417999999994</v>
      </c>
      <c r="H42" s="13">
        <f ca="1">OFFSET('3060LAPTOP'!G$1,$A42-1,0)</f>
        <v>3846.7940000000003</v>
      </c>
      <c r="I42" s="13">
        <f ca="1">OFFSET('3060LAPTOP'!H$1,$A42-1,0)</f>
        <v>7448.5196000000024</v>
      </c>
      <c r="J42" s="13">
        <f ca="1">OFFSET('3060LAPTOP'!I$1,$A42-1,0)</f>
        <v>14762.202000000001</v>
      </c>
      <c r="K42" s="13">
        <f ca="1">OFFSET('3060LAPTOP'!J$1,$A42-1,0)</f>
        <v>30250.245999999992</v>
      </c>
    </row>
    <row r="43" spans="1:11" x14ac:dyDescent="0.25">
      <c r="C43" s="86"/>
      <c r="D43" s="1" t="s">
        <v>19</v>
      </c>
      <c r="E43" s="1">
        <f ca="1">OFFSET('3060LAPTOP'!D$1,$A42-1+$A$1,0)</f>
        <v>1.8204706841997533</v>
      </c>
      <c r="F43" s="1">
        <f ca="1">OFFSET('3060LAPTOP'!E$1,$A42-1+$A$1,0)</f>
        <v>3.8753483115757841</v>
      </c>
      <c r="G43" s="1">
        <f ca="1">OFFSET('3060LAPTOP'!F$1,$A42-1+$A$1,0)</f>
        <v>4.5432577513242967</v>
      </c>
      <c r="H43" s="1">
        <f ca="1">OFFSET('3060LAPTOP'!G$1,$A42-1+$A$1,0)</f>
        <v>10.662724648881072</v>
      </c>
      <c r="I43" s="1">
        <f ca="1">OFFSET('3060LAPTOP'!H$1,$A42-1+$A$1,0)</f>
        <v>54.370393885308381</v>
      </c>
      <c r="J43" s="1">
        <f ca="1">OFFSET('3060LAPTOP'!I$1,$A42-1+$A$1,0)</f>
        <v>42.063281339517744</v>
      </c>
      <c r="K43" s="1">
        <f ca="1">OFFSET('3060LAPTOP'!J$1,$A42-1+$A$1,0)</f>
        <v>267.89042431445</v>
      </c>
    </row>
    <row r="44" spans="1:11" x14ac:dyDescent="0.25">
      <c r="A44">
        <v>7</v>
      </c>
      <c r="B44" t="str">
        <f ca="1">OFFSET('1050LAPTOP'!$C$1,A44-1,0)</f>
        <v>non CUDA transp_AVX Time</v>
      </c>
      <c r="C44" s="85" t="s">
        <v>23</v>
      </c>
      <c r="D44" s="1" t="s">
        <v>0</v>
      </c>
      <c r="E44" s="13">
        <f ca="1">OFFSET('3060LAPTOP'!D$1,$A44-1,0)</f>
        <v>0</v>
      </c>
      <c r="F44" s="13">
        <f ca="1">OFFSET('3060LAPTOP'!E$1,$A44-1,0)</f>
        <v>1098.6976</v>
      </c>
      <c r="G44" s="13">
        <f ca="1">OFFSET('3060LAPTOP'!F$1,$A44-1,0)</f>
        <v>2044.9888000000001</v>
      </c>
      <c r="H44" s="13">
        <f ca="1">OFFSET('3060LAPTOP'!G$1,$A44-1,0)</f>
        <v>3966.7574000000004</v>
      </c>
      <c r="I44" s="13">
        <f ca="1">OFFSET('3060LAPTOP'!H$1,$A44-1,0)</f>
        <v>7436.0804000000035</v>
      </c>
      <c r="J44" s="13">
        <f ca="1">OFFSET('3060LAPTOP'!I$1,$A44-1,0)</f>
        <v>14843.796</v>
      </c>
      <c r="K44" s="13">
        <f ca="1">OFFSET('3060LAPTOP'!J$1,$A44-1,0)</f>
        <v>31936.964000000007</v>
      </c>
    </row>
    <row r="45" spans="1:11" x14ac:dyDescent="0.25">
      <c r="C45" s="86"/>
      <c r="D45" s="1" t="s">
        <v>19</v>
      </c>
      <c r="E45" s="1" t="e">
        <f ca="1">OFFSET('3060LAPTOP'!D$1,$A44-1+$A$1,0)</f>
        <v>#DIV/0!</v>
      </c>
      <c r="F45" s="1">
        <f ca="1">OFFSET('3060LAPTOP'!E$1,$A44-1+$A$1,0)</f>
        <v>2.8504951529626745</v>
      </c>
      <c r="G45" s="1">
        <f ca="1">OFFSET('3060LAPTOP'!F$1,$A44-1+$A$1,0)</f>
        <v>5.3846165524852259</v>
      </c>
      <c r="H45" s="1">
        <f ca="1">OFFSET('3060LAPTOP'!G$1,$A44-1+$A$1,0)</f>
        <v>8.914910342132643</v>
      </c>
      <c r="I45" s="1">
        <f ca="1">OFFSET('3060LAPTOP'!H$1,$A44-1+$A$1,0)</f>
        <v>24.151619116970743</v>
      </c>
      <c r="J45" s="1">
        <f ca="1">OFFSET('3060LAPTOP'!I$1,$A44-1+$A$1,0)</f>
        <v>35.840002063424933</v>
      </c>
      <c r="K45" s="1">
        <f ca="1">OFFSET('3060LAPTOP'!J$1,$A44-1+$A$1,0)</f>
        <v>374.9837830473424</v>
      </c>
    </row>
    <row r="46" spans="1:11" x14ac:dyDescent="0.25">
      <c r="A46">
        <v>8</v>
      </c>
      <c r="B46" t="str">
        <f ca="1">OFFSET('1050LAPTOP'!$C$1,A46-1,0)</f>
        <v>non CUDA transp_AVX_OMP Time</v>
      </c>
      <c r="C46" s="85" t="s">
        <v>24</v>
      </c>
      <c r="D46" s="1" t="s">
        <v>0</v>
      </c>
      <c r="E46" s="13">
        <f ca="1">OFFSET('3060LAPTOP'!D$1,$A46-1,0)</f>
        <v>0</v>
      </c>
      <c r="F46" s="13">
        <f ca="1">OFFSET('3060LAPTOP'!E$1,$A46-1,0)</f>
        <v>1100.0655999999999</v>
      </c>
      <c r="G46" s="13">
        <f ca="1">OFFSET('3060LAPTOP'!F$1,$A46-1,0)</f>
        <v>2057.8179999999998</v>
      </c>
      <c r="H46" s="13">
        <f ca="1">OFFSET('3060LAPTOP'!G$1,$A46-1,0)</f>
        <v>3962.7250000000004</v>
      </c>
      <c r="I46" s="13">
        <f ca="1">OFFSET('3060LAPTOP'!H$1,$A46-1,0)</f>
        <v>7628.9560000000001</v>
      </c>
      <c r="J46" s="13">
        <f ca="1">OFFSET('3060LAPTOP'!I$1,$A46-1,0)</f>
        <v>14841.381999999994</v>
      </c>
      <c r="K46" s="13">
        <f ca="1">OFFSET('3060LAPTOP'!J$1,$A46-1,0)</f>
        <v>30129.48599999999</v>
      </c>
    </row>
    <row r="47" spans="1:11" x14ac:dyDescent="0.25">
      <c r="C47" s="86"/>
      <c r="D47" s="1" t="s">
        <v>19</v>
      </c>
      <c r="E47" s="1" t="e">
        <f ca="1">OFFSET('3060LAPTOP'!D$1,$A46-1+$A$1,0)</f>
        <v>#DIV/0!</v>
      </c>
      <c r="F47" s="1">
        <f ca="1">OFFSET('3060LAPTOP'!E$1,$A46-1+$A$1,0)</f>
        <v>2.8913992628325262</v>
      </c>
      <c r="G47" s="1">
        <f ca="1">OFFSET('3060LAPTOP'!F$1,$A46-1+$A$1,0)</f>
        <v>4.9380960388489825</v>
      </c>
      <c r="H47" s="1">
        <f ca="1">OFFSET('3060LAPTOP'!G$1,$A46-1+$A$1,0)</f>
        <v>7.4898968386017177</v>
      </c>
      <c r="I47" s="1">
        <f ca="1">OFFSET('3060LAPTOP'!H$1,$A46-1+$A$1,0)</f>
        <v>97.841237578613317</v>
      </c>
      <c r="J47" s="1">
        <f ca="1">OFFSET('3060LAPTOP'!I$1,$A46-1+$A$1,0)</f>
        <v>37.562936044220613</v>
      </c>
      <c r="K47" s="1">
        <f ca="1">OFFSET('3060LAPTOP'!J$1,$A46-1+$A$1,0)</f>
        <v>53.077584956101035</v>
      </c>
    </row>
    <row r="48" spans="1:11" x14ac:dyDescent="0.25">
      <c r="A48">
        <v>12</v>
      </c>
      <c r="B48" t="str">
        <f ca="1">OFFSET('1050LAPTOP'!$C$1,A48-1,0)</f>
        <v>Time non CUDA AVX time 4</v>
      </c>
      <c r="C48" s="85"/>
      <c r="D48" s="1" t="s">
        <v>0</v>
      </c>
      <c r="E48" s="13">
        <f ca="1">OFFSET('3060LAPTOP'!D$1,$A48-1,0)</f>
        <v>655.85187999999994</v>
      </c>
      <c r="F48" s="13">
        <f ca="1">OFFSET('3060LAPTOP'!E$1,$A48-1,0)</f>
        <v>1122.2881999999997</v>
      </c>
      <c r="G48" s="13">
        <f ca="1">OFFSET('3060LAPTOP'!F$1,$A48-1,0)</f>
        <v>2062.2731999999992</v>
      </c>
      <c r="H48" s="13">
        <f ca="1">OFFSET('3060LAPTOP'!G$1,$A48-1,0)</f>
        <v>3843.9814000000006</v>
      </c>
      <c r="I48" s="13">
        <f ca="1">OFFSET('3060LAPTOP'!H$1,$A48-1,0)</f>
        <v>7733.3808000000008</v>
      </c>
      <c r="J48" s="13">
        <f ca="1">OFFSET('3060LAPTOP'!I$1,$A48-1,0)</f>
        <v>14666.314000000002</v>
      </c>
      <c r="K48" s="13">
        <f ca="1">OFFSET('3060LAPTOP'!J$1,$A48-1,0)</f>
        <v>28278.648000000001</v>
      </c>
    </row>
    <row r="49" spans="1:11" x14ac:dyDescent="0.25">
      <c r="C49" s="86"/>
      <c r="D49" s="1" t="s">
        <v>19</v>
      </c>
      <c r="E49" s="1">
        <f ca="1">OFFSET('3060LAPTOP'!D$1,$A48-1+$A$1,0)</f>
        <v>6.7759496916081181</v>
      </c>
      <c r="F49" s="1">
        <f ca="1">OFFSET('3060LAPTOP'!E$1,$A48-1+$A$1,0)</f>
        <v>5.3030470028717946</v>
      </c>
      <c r="G49" s="1">
        <f ca="1">OFFSET('3060LAPTOP'!F$1,$A48-1+$A$1,0)</f>
        <v>11.448449321290999</v>
      </c>
      <c r="H49" s="1">
        <f ca="1">OFFSET('3060LAPTOP'!G$1,$A48-1+$A$1,0)</f>
        <v>9.9073160886486065</v>
      </c>
      <c r="I49" s="1">
        <f ca="1">OFFSET('3060LAPTOP'!H$1,$A48-1+$A$1,0)</f>
        <v>47.589094849248696</v>
      </c>
      <c r="J49" s="1">
        <f ca="1">OFFSET('3060LAPTOP'!I$1,$A48-1+$A$1,0)</f>
        <v>26.542539305754751</v>
      </c>
      <c r="K49" s="1">
        <f ca="1">OFFSET('3060LAPTOP'!J$1,$A48-1+$A$1,0)</f>
        <v>38.649261902017194</v>
      </c>
    </row>
    <row r="50" spans="1:11" x14ac:dyDescent="0.25">
      <c r="A50">
        <v>13</v>
      </c>
      <c r="B50" t="str">
        <f ca="1">OFFSET('1050LAPTOP'!$C$1,A50-1,0)</f>
        <v>Time non CUDA AVX add CPU time 4</v>
      </c>
      <c r="C50" s="85"/>
      <c r="D50" s="1" t="s">
        <v>0</v>
      </c>
      <c r="E50" s="13">
        <f ca="1">OFFSET('3060LAPTOP'!D$1,$A50-1,0)</f>
        <v>326.85911999999996</v>
      </c>
      <c r="F50" s="13">
        <f ca="1">OFFSET('3060LAPTOP'!E$1,$A50-1,0)</f>
        <v>560.98236000000009</v>
      </c>
      <c r="G50" s="13">
        <f ca="1">OFFSET('3060LAPTOP'!F$1,$A50-1,0)</f>
        <v>1056.0063999999995</v>
      </c>
      <c r="H50" s="13">
        <f ca="1">OFFSET('3060LAPTOP'!G$1,$A50-1,0)</f>
        <v>2086.9771999999989</v>
      </c>
      <c r="I50" s="13">
        <f ca="1">OFFSET('3060LAPTOP'!H$1,$A50-1,0)</f>
        <v>4302.8068000000003</v>
      </c>
      <c r="J50" s="13">
        <f ca="1">OFFSET('3060LAPTOP'!I$1,$A50-1,0)</f>
        <v>8533.8542000000034</v>
      </c>
      <c r="K50" s="13">
        <f ca="1">OFFSET('3060LAPTOP'!J$1,$A50-1,0)</f>
        <v>16822.824000000004</v>
      </c>
    </row>
    <row r="51" spans="1:11" x14ac:dyDescent="0.25">
      <c r="C51" s="86"/>
      <c r="D51" s="1" t="s">
        <v>19</v>
      </c>
      <c r="E51" s="1">
        <f ca="1">OFFSET('3060LAPTOP'!D$1,$A50-1+$A$1,0)</f>
        <v>3.0645100422637723</v>
      </c>
      <c r="F51" s="1">
        <f ca="1">OFFSET('3060LAPTOP'!E$1,$A50-1+$A$1,0)</f>
        <v>2.5012898125890075</v>
      </c>
      <c r="G51" s="1">
        <f ca="1">OFFSET('3060LAPTOP'!F$1,$A50-1+$A$1,0)</f>
        <v>2.5583655943675274</v>
      </c>
      <c r="H51" s="1">
        <f ca="1">OFFSET('3060LAPTOP'!G$1,$A50-1+$A$1,0)</f>
        <v>5.4142275404447799</v>
      </c>
      <c r="I51" s="1">
        <f ca="1">OFFSET('3060LAPTOP'!H$1,$A50-1+$A$1,0)</f>
        <v>5.7135497458029549</v>
      </c>
      <c r="J51" s="1">
        <f ca="1">OFFSET('3060LAPTOP'!I$1,$A50-1+$A$1,0)</f>
        <v>6.595168617154946</v>
      </c>
      <c r="K51" s="1">
        <f ca="1">OFFSET('3060LAPTOP'!J$1,$A50-1+$A$1,0)</f>
        <v>13.240136674683123</v>
      </c>
    </row>
    <row r="52" spans="1:11" s="18" customFormat="1" x14ac:dyDescent="0.25">
      <c r="A52" s="18">
        <v>3</v>
      </c>
      <c r="B52" s="18" t="str">
        <f ca="1">OFFSET('1050LAPTOP'!$C$1,A52-1,0)</f>
        <v>Classic ACO</v>
      </c>
      <c r="C52" s="85" t="s">
        <v>1</v>
      </c>
      <c r="D52" s="19" t="s">
        <v>0</v>
      </c>
      <c r="E52" s="20">
        <f ca="1">OFFSET('3060COMP Kaf'!D$1,$A52-1,0)</f>
        <v>5875.1582000000017</v>
      </c>
      <c r="F52" s="20">
        <f ca="1">OFFSET('3060COMP Kaf'!E$1,$A52-1,0)</f>
        <v>10771.412000000002</v>
      </c>
      <c r="G52" s="20">
        <f ca="1">OFFSET('3060COMP Kaf'!F$1,$A52-1,0)</f>
        <v>20160.065957446801</v>
      </c>
      <c r="H52" s="20">
        <f ca="1">OFFSET('3060COMP Kaf'!G$1,$A52-1,0)</f>
        <v>39471.227999999996</v>
      </c>
      <c r="I52" s="20">
        <f ca="1">OFFSET('3060COMP Kaf'!H$1,$A52-1,0)</f>
        <v>81942.232000000004</v>
      </c>
      <c r="J52" s="20">
        <f ca="1">OFFSET('3060COMP Kaf'!I$1,$A52-1,0)</f>
        <v>153183.06</v>
      </c>
      <c r="K52" s="20">
        <f ca="1">OFFSET('3060COMP Kaf'!J$1,$A52-1,0)</f>
        <v>307026.62</v>
      </c>
    </row>
    <row r="53" spans="1:11" x14ac:dyDescent="0.25">
      <c r="C53" s="86"/>
      <c r="D53" s="1" t="s">
        <v>19</v>
      </c>
      <c r="E53" s="1">
        <f ca="1">OFFSET('3060COMP Kaf'!D$1,$A52-1+$A$1,0)</f>
        <v>3.7987824909979078</v>
      </c>
      <c r="F53" s="1">
        <f ca="1">OFFSET('3060COMP Kaf'!E$1,$A52-1+$A$1,0)</f>
        <v>5.1738649294561121</v>
      </c>
      <c r="G53" s="1">
        <f ca="1">OFFSET('3060COMP Kaf'!F$1,$A52-1+$A$1,0)</f>
        <v>959.99251114515585</v>
      </c>
      <c r="H53" s="1">
        <f ca="1">OFFSET('3060COMP Kaf'!G$1,$A52-1+$A$1,0)</f>
        <v>146.83723977149592</v>
      </c>
      <c r="I53" s="1">
        <f ca="1">OFFSET('3060COMP Kaf'!H$1,$A52-1+$A$1,0)</f>
        <v>26.71912931796215</v>
      </c>
      <c r="J53" s="1">
        <f ca="1">OFFSET('3060COMP Kaf'!I$1,$A52-1+$A$1,0)</f>
        <v>96.278776732452684</v>
      </c>
      <c r="K53" s="1">
        <f ca="1">OFFSET('3060COMP Kaf'!J$1,$A52-1+$A$1,0)</f>
        <v>495.41915066698533</v>
      </c>
    </row>
    <row r="54" spans="1:11" x14ac:dyDescent="0.25">
      <c r="A54">
        <v>4</v>
      </c>
      <c r="B54" t="str">
        <f ca="1">OFFSET('1050LAPTOP'!$C$1,A54-1,0)</f>
        <v>non CUDA Time</v>
      </c>
      <c r="C54" s="85" t="s">
        <v>20</v>
      </c>
      <c r="D54" s="1" t="s">
        <v>0</v>
      </c>
      <c r="E54" s="13">
        <f ca="1">OFFSET('3060COMP Kaf'!D$1,$A54-1,0)</f>
        <v>487.2340999999999</v>
      </c>
      <c r="F54" s="13">
        <f ca="1">OFFSET('3060COMP Kaf'!E$1,$A54-1,0)</f>
        <v>885.85572000000013</v>
      </c>
      <c r="G54" s="13">
        <f ca="1">OFFSET('3060COMP Kaf'!F$1,$A54-1,0)</f>
        <v>1657.3222000000003</v>
      </c>
      <c r="H54" s="13">
        <f ca="1">OFFSET('3060COMP Kaf'!G$1,$A54-1,0)</f>
        <v>3201.0855999999994</v>
      </c>
      <c r="I54" s="13">
        <f ca="1">OFFSET('3060COMP Kaf'!H$1,$A54-1,0)</f>
        <v>6411.2783999999992</v>
      </c>
      <c r="J54" s="13">
        <f ca="1">OFFSET('3060COMP Kaf'!I$1,$A54-1,0)</f>
        <v>12839.331999999997</v>
      </c>
      <c r="K54" s="13">
        <f ca="1">OFFSET('3060COMP Kaf'!J$1,$A54-1,0)</f>
        <v>25321.222000000002</v>
      </c>
    </row>
    <row r="55" spans="1:11" x14ac:dyDescent="0.25">
      <c r="C55" s="86"/>
      <c r="D55" s="1" t="s">
        <v>19</v>
      </c>
      <c r="E55" s="1">
        <f ca="1">OFFSET('3060COMP Kaf'!D$1,$A54-1+$A$1,0)</f>
        <v>0.77081041232136926</v>
      </c>
      <c r="F55" s="1">
        <f ca="1">OFFSET('3060COMP Kaf'!E$1,$A54-1+$A$1,0)</f>
        <v>1.3447362856321425</v>
      </c>
      <c r="G55" s="1">
        <f ca="1">OFFSET('3060COMP Kaf'!F$1,$A54-1+$A$1,0)</f>
        <v>1.4473373696678742</v>
      </c>
      <c r="H55" s="1">
        <f ca="1">OFFSET('3060COMP Kaf'!G$1,$A54-1+$A$1,0)</f>
        <v>2.2182248826925712</v>
      </c>
      <c r="I55" s="1">
        <f ca="1">OFFSET('3060COMP Kaf'!H$1,$A54-1+$A$1,0)</f>
        <v>16.837502989807486</v>
      </c>
      <c r="J55" s="1">
        <f ca="1">OFFSET('3060COMP Kaf'!I$1,$A54-1+$A$1,0)</f>
        <v>5.9068433599167092</v>
      </c>
      <c r="K55" s="1">
        <f ca="1">OFFSET('3060COMP Kaf'!J$1,$A54-1+$A$1,0)</f>
        <v>29.785562500724687</v>
      </c>
    </row>
    <row r="56" spans="1:11" x14ac:dyDescent="0.25">
      <c r="A56">
        <v>5</v>
      </c>
      <c r="B56" t="str">
        <f ca="1">OFFSET('1050LAPTOP'!$C$1,A56-1,0)</f>
        <v>omp</v>
      </c>
      <c r="C56" s="85" t="s">
        <v>21</v>
      </c>
      <c r="D56" s="1" t="s">
        <v>0</v>
      </c>
      <c r="E56" s="13">
        <f ca="1">OFFSET('3060COMP Kaf'!D$1,$A56-1,0)</f>
        <v>454.91873999999996</v>
      </c>
      <c r="F56" s="13">
        <f ca="1">OFFSET('3060COMP Kaf'!E$1,$A56-1,0)</f>
        <v>858.29418000000021</v>
      </c>
      <c r="G56" s="13">
        <f ca="1">OFFSET('3060COMP Kaf'!F$1,$A56-1,0)</f>
        <v>1613.7754000000004</v>
      </c>
      <c r="H56" s="13">
        <f ca="1">OFFSET('3060COMP Kaf'!G$1,$A56-1,0)</f>
        <v>3156.5868</v>
      </c>
      <c r="I56" s="13">
        <f ca="1">OFFSET('3060COMP Kaf'!H$1,$A56-1,0)</f>
        <v>6325.7933999999987</v>
      </c>
      <c r="J56" s="13">
        <f ca="1">OFFSET('3060COMP Kaf'!I$1,$A56-1,0)</f>
        <v>12786.915999999999</v>
      </c>
      <c r="K56" s="13">
        <f ca="1">OFFSET('3060COMP Kaf'!J$1,$A56-1,0)</f>
        <v>25053.314000000002</v>
      </c>
    </row>
    <row r="57" spans="1:11" x14ac:dyDescent="0.25">
      <c r="C57" s="86"/>
      <c r="D57" s="1" t="s">
        <v>19</v>
      </c>
      <c r="E57" s="1">
        <f ca="1">OFFSET('3060COMP Kaf'!D$1,$A56-1+$A$1,0)</f>
        <v>0.44675414618610604</v>
      </c>
      <c r="F57" s="1">
        <f ca="1">OFFSET('3060COMP Kaf'!E$1,$A56-1+$A$1,0)</f>
        <v>1.0271882097277807</v>
      </c>
      <c r="G57" s="1">
        <f ca="1">OFFSET('3060COMP Kaf'!F$1,$A56-1+$A$1,0)</f>
        <v>1.4033079013569627</v>
      </c>
      <c r="H57" s="1">
        <f ca="1">OFFSET('3060COMP Kaf'!G$1,$A56-1+$A$1,0)</f>
        <v>8.8234347484734226</v>
      </c>
      <c r="I57" s="1">
        <f ca="1">OFFSET('3060COMP Kaf'!H$1,$A56-1+$A$1,0)</f>
        <v>2.0758534576397483</v>
      </c>
      <c r="J57" s="1">
        <f ca="1">OFFSET('3060COMP Kaf'!I$1,$A56-1+$A$1,0)</f>
        <v>5.1908621942301867</v>
      </c>
      <c r="K57" s="1">
        <f ca="1">OFFSET('3060COMP Kaf'!J$1,$A56-1+$A$1,0)</f>
        <v>17.040422522049866</v>
      </c>
    </row>
    <row r="58" spans="1:11" x14ac:dyDescent="0.25">
      <c r="A58">
        <v>6</v>
      </c>
      <c r="B58" t="str">
        <f ca="1">OFFSET('1050LAPTOP'!$C$1,A58-1,0)</f>
        <v>non CUDA transp Time</v>
      </c>
      <c r="C58" s="85" t="s">
        <v>22</v>
      </c>
      <c r="D58" s="1" t="s">
        <v>0</v>
      </c>
      <c r="E58" s="13">
        <f ca="1">OFFSET('3060COMP Kaf'!D$1,$A58-1,0)</f>
        <v>493.89566000000008</v>
      </c>
      <c r="F58" s="13">
        <f ca="1">OFFSET('3060COMP Kaf'!E$1,$A58-1,0)</f>
        <v>896.10108000000002</v>
      </c>
      <c r="G58" s="13">
        <f ca="1">OFFSET('3060COMP Kaf'!F$1,$A58-1,0)</f>
        <v>1655.2257999999997</v>
      </c>
      <c r="H58" s="13">
        <f ca="1">OFFSET('3060COMP Kaf'!G$1,$A58-1,0)</f>
        <v>3187.1957999999995</v>
      </c>
      <c r="I58" s="13">
        <f ca="1">OFFSET('3060COMP Kaf'!H$1,$A58-1,0)</f>
        <v>6341.1571999999996</v>
      </c>
      <c r="J58" s="13">
        <f ca="1">OFFSET('3060COMP Kaf'!I$1,$A58-1,0)</f>
        <v>12719.044000000002</v>
      </c>
      <c r="K58" s="13">
        <f ca="1">OFFSET('3060COMP Kaf'!J$1,$A58-1,0)</f>
        <v>24769.144</v>
      </c>
    </row>
    <row r="59" spans="1:11" x14ac:dyDescent="0.25">
      <c r="C59" s="86"/>
      <c r="D59" s="1" t="s">
        <v>19</v>
      </c>
      <c r="E59" s="1">
        <f ca="1">OFFSET('3060COMP Kaf'!D$1,$A58-1+$A$1,0)</f>
        <v>0.4729270694010872</v>
      </c>
      <c r="F59" s="1">
        <f ca="1">OFFSET('3060COMP Kaf'!E$1,$A58-1+$A$1,0)</f>
        <v>1.4833556260463345</v>
      </c>
      <c r="G59" s="1">
        <f ca="1">OFFSET('3060COMP Kaf'!F$1,$A58-1+$A$1,0)</f>
        <v>1.6521490807634518</v>
      </c>
      <c r="H59" s="1">
        <f ca="1">OFFSET('3060COMP Kaf'!G$1,$A58-1+$A$1,0)</f>
        <v>2.1274261892407709</v>
      </c>
      <c r="I59" s="1">
        <f ca="1">OFFSET('3060COMP Kaf'!H$1,$A58-1+$A$1,0)</f>
        <v>2.5898238964130376</v>
      </c>
      <c r="J59" s="1">
        <f ca="1">OFFSET('3060COMP Kaf'!I$1,$A58-1+$A$1,0)</f>
        <v>5.8710991882937913</v>
      </c>
      <c r="K59" s="1">
        <f ca="1">OFFSET('3060COMP Kaf'!J$1,$A58-1+$A$1,0)</f>
        <v>6.1118913599271645</v>
      </c>
    </row>
    <row r="60" spans="1:11" x14ac:dyDescent="0.25">
      <c r="A60">
        <v>7</v>
      </c>
      <c r="B60" t="str">
        <f ca="1">OFFSET('1050LAPTOP'!$C$1,A60-1,0)</f>
        <v>non CUDA transp_AVX Time</v>
      </c>
      <c r="C60" s="85" t="s">
        <v>23</v>
      </c>
      <c r="D60" s="1" t="s">
        <v>0</v>
      </c>
      <c r="E60" s="13">
        <f ca="1">OFFSET('3060COMP Kaf'!D$1,$A60-1,0)</f>
        <v>0</v>
      </c>
      <c r="F60" s="13">
        <f ca="1">OFFSET('3060COMP Kaf'!E$1,$A60-1,0)</f>
        <v>914.70819999999958</v>
      </c>
      <c r="G60" s="13">
        <f ca="1">OFFSET('3060COMP Kaf'!F$1,$A60-1,0)</f>
        <v>1679.3380000000002</v>
      </c>
      <c r="H60" s="13">
        <f ca="1">OFFSET('3060COMP Kaf'!G$1,$A60-1,0)</f>
        <v>3222.9352000000008</v>
      </c>
      <c r="I60" s="13">
        <f ca="1">OFFSET('3060COMP Kaf'!H$1,$A60-1,0)</f>
        <v>6435.8493999999992</v>
      </c>
      <c r="J60" s="13">
        <f ca="1">OFFSET('3060COMP Kaf'!I$1,$A60-1,0)</f>
        <v>12794.861999999997</v>
      </c>
      <c r="K60" s="13">
        <f ca="1">OFFSET('3060COMP Kaf'!J$1,$A60-1,0)</f>
        <v>24895.251999999997</v>
      </c>
    </row>
    <row r="61" spans="1:11" x14ac:dyDescent="0.25">
      <c r="C61" s="86"/>
      <c r="D61" s="1" t="s">
        <v>19</v>
      </c>
      <c r="E61" s="1">
        <f ca="1">OFFSET('3060COMP Kaf'!D$1,$A60-1+$A$1,0)</f>
        <v>0</v>
      </c>
      <c r="F61" s="1">
        <f ca="1">OFFSET('3060COMP Kaf'!E$1,$A60-1+$A$1,0)</f>
        <v>1.3828142383174391</v>
      </c>
      <c r="G61" s="1">
        <f ca="1">OFFSET('3060COMP Kaf'!F$1,$A60-1+$A$1,0)</f>
        <v>1.5924155549303078</v>
      </c>
      <c r="H61" s="1">
        <f ca="1">OFFSET('3060COMP Kaf'!G$1,$A60-1+$A$1,0)</f>
        <v>1.7847350379837128</v>
      </c>
      <c r="I61" s="1">
        <f ca="1">OFFSET('3060COMP Kaf'!H$1,$A60-1+$A$1,0)</f>
        <v>7.4410141177351639</v>
      </c>
      <c r="J61" s="1">
        <f ca="1">OFFSET('3060COMP Kaf'!I$1,$A60-1+$A$1,0)</f>
        <v>5.7933260386869287</v>
      </c>
      <c r="K61" s="1">
        <f ca="1">OFFSET('3060COMP Kaf'!J$1,$A60-1+$A$1,0)</f>
        <v>6.5921942568707879</v>
      </c>
    </row>
    <row r="62" spans="1:11" x14ac:dyDescent="0.25">
      <c r="A62">
        <v>8</v>
      </c>
      <c r="B62" t="str">
        <f ca="1">OFFSET('1050LAPTOP'!$C$1,A62-1,0)</f>
        <v>non CUDA transp_AVX_OMP Time</v>
      </c>
      <c r="C62" s="85" t="s">
        <v>24</v>
      </c>
      <c r="D62" s="1" t="s">
        <v>0</v>
      </c>
      <c r="E62" s="13">
        <f ca="1">OFFSET('3060COMP Kaf'!D$1,$A62-1,0)</f>
        <v>0</v>
      </c>
      <c r="F62" s="13">
        <f ca="1">OFFSET('3060COMP Kaf'!E$1,$A62-1,0)</f>
        <v>912.44721999999967</v>
      </c>
      <c r="G62" s="13">
        <f ca="1">OFFSET('3060COMP Kaf'!F$1,$A62-1,0)</f>
        <v>1680.4451999999999</v>
      </c>
      <c r="H62" s="13">
        <f ca="1">OFFSET('3060COMP Kaf'!G$1,$A62-1,0)</f>
        <v>3222.1063999999997</v>
      </c>
      <c r="I62" s="13">
        <f ca="1">OFFSET('3060COMP Kaf'!H$1,$A62-1,0)</f>
        <v>6441.8760000000011</v>
      </c>
      <c r="J62" s="13">
        <f ca="1">OFFSET('3060COMP Kaf'!I$1,$A62-1,0)</f>
        <v>12795.922000000006</v>
      </c>
      <c r="K62" s="13">
        <f ca="1">OFFSET('3060COMP Kaf'!J$1,$A62-1,0)</f>
        <v>24895.68</v>
      </c>
    </row>
    <row r="63" spans="1:11" x14ac:dyDescent="0.25">
      <c r="C63" s="86"/>
      <c r="D63" s="1" t="s">
        <v>19</v>
      </c>
      <c r="E63" s="1">
        <f ca="1">OFFSET('3060COMP Kaf'!D$1,$A62-1+$A$1,0)</f>
        <v>0</v>
      </c>
      <c r="F63" s="1">
        <f ca="1">OFFSET('3060COMP Kaf'!E$1,$A62-1+$A$1,0)</f>
        <v>1.7442462369842304</v>
      </c>
      <c r="G63" s="1">
        <f ca="1">OFFSET('3060COMP Kaf'!F$1,$A62-1+$A$1,0)</f>
        <v>1.7421583889597185</v>
      </c>
      <c r="H63" s="1">
        <f ca="1">OFFSET('3060COMP Kaf'!G$1,$A62-1+$A$1,0)</f>
        <v>2.335642715910391</v>
      </c>
      <c r="I63" s="1">
        <f ca="1">OFFSET('3060COMP Kaf'!H$1,$A62-1+$A$1,0)</f>
        <v>3.9404573515178263</v>
      </c>
      <c r="J63" s="1">
        <f ca="1">OFFSET('3060COMP Kaf'!I$1,$A62-1+$A$1,0)</f>
        <v>6.1968605445480165</v>
      </c>
      <c r="K63" s="1">
        <f ca="1">OFFSET('3060COMP Kaf'!J$1,$A62-1+$A$1,0)</f>
        <v>7.4784964715343838</v>
      </c>
    </row>
    <row r="64" spans="1:11" x14ac:dyDescent="0.25">
      <c r="A64">
        <v>12</v>
      </c>
      <c r="B64" t="str">
        <f ca="1">OFFSET('1050LAPTOP'!$C$1,A64-1,0)</f>
        <v>Time non CUDA AVX time 4</v>
      </c>
      <c r="C64" s="85"/>
      <c r="D64" s="1" t="s">
        <v>0</v>
      </c>
      <c r="E64" s="13">
        <f ca="1">OFFSET('3060COMP Kaf'!D$1,$A64-1,0)</f>
        <v>496.97240000000005</v>
      </c>
      <c r="F64" s="13">
        <f ca="1">OFFSET('3060COMP Kaf'!E$1,$A64-1,0)</f>
        <v>864.94587999999999</v>
      </c>
      <c r="G64" s="13">
        <f ca="1">OFFSET('3060COMP Kaf'!F$1,$A64-1,0)</f>
        <v>1599.1573999999998</v>
      </c>
      <c r="H64" s="13">
        <f ca="1">OFFSET('3060COMP Kaf'!G$1,$A64-1,0)</f>
        <v>3061.0534000000002</v>
      </c>
      <c r="I64" s="13">
        <f ca="1">OFFSET('3060COMP Kaf'!H$1,$A64-1,0)</f>
        <v>6094.9753999999994</v>
      </c>
      <c r="J64" s="13">
        <f ca="1">OFFSET('3060COMP Kaf'!I$1,$A64-1,0)</f>
        <v>12117.154000000002</v>
      </c>
      <c r="K64" s="13" t="e">
        <f ca="1">OFFSET('3060COMP Kaf'!J$1,$A64-1,0)</f>
        <v>#DIV/0!</v>
      </c>
    </row>
    <row r="65" spans="1:11" x14ac:dyDescent="0.25">
      <c r="C65" s="86"/>
      <c r="D65" s="1" t="s">
        <v>19</v>
      </c>
      <c r="E65" s="1">
        <f ca="1">OFFSET('3060COMP Kaf'!D$1,$A64-1+$A$1,0)</f>
        <v>2.4748889237899632</v>
      </c>
      <c r="F65" s="1">
        <f ca="1">OFFSET('3060COMP Kaf'!E$1,$A64-1+$A$1,0)</f>
        <v>2.2922091574722274</v>
      </c>
      <c r="G65" s="1">
        <f ca="1">OFFSET('3060COMP Kaf'!F$1,$A64-1+$A$1,0)</f>
        <v>2.4151761380089201</v>
      </c>
      <c r="H65" s="1">
        <f ca="1">OFFSET('3060COMP Kaf'!G$1,$A64-1+$A$1,0)</f>
        <v>2.6191445229521175</v>
      </c>
      <c r="I65" s="1">
        <f ca="1">OFFSET('3060COMP Kaf'!H$1,$A64-1+$A$1,0)</f>
        <v>5.4892587457249693</v>
      </c>
      <c r="J65" s="1">
        <f ca="1">OFFSET('3060COMP Kaf'!I$1,$A64-1+$A$1,0)</f>
        <v>58.540637515062855</v>
      </c>
      <c r="K65" s="1" t="e">
        <f ca="1">OFFSET('3060COMP Kaf'!J$1,$A64-1+$A$1,0)</f>
        <v>#DIV/0!</v>
      </c>
    </row>
    <row r="66" spans="1:11" x14ac:dyDescent="0.25">
      <c r="A66">
        <v>13</v>
      </c>
      <c r="B66" t="str">
        <f ca="1">OFFSET('1050LAPTOP'!$C$1,A66-1,0)</f>
        <v>Time non CUDA AVX add CPU time 4</v>
      </c>
      <c r="C66" s="85"/>
      <c r="D66" s="1" t="s">
        <v>0</v>
      </c>
      <c r="E66" s="13">
        <f ca="1">OFFSET('3060COMP Kaf'!D$1,$A66-1,0)</f>
        <v>369.48455999999999</v>
      </c>
      <c r="F66" s="13">
        <f ca="1">OFFSET('3060COMP Kaf'!E$1,$A66-1,0)</f>
        <v>602.60230000000013</v>
      </c>
      <c r="G66" s="13">
        <f ca="1">OFFSET('3060COMP Kaf'!F$1,$A66-1,0)</f>
        <v>1072.0265999999997</v>
      </c>
      <c r="H66" s="13">
        <f ca="1">OFFSET('3060COMP Kaf'!G$1,$A66-1,0)</f>
        <v>2077.2693999999992</v>
      </c>
      <c r="I66" s="13">
        <f ca="1">OFFSET('3060COMP Kaf'!H$1,$A66-1,0)</f>
        <v>4173.0254000000014</v>
      </c>
      <c r="J66" s="13">
        <f ca="1">OFFSET('3060COMP Kaf'!I$1,$A66-1,0)</f>
        <v>8534.3469999999998</v>
      </c>
      <c r="K66" s="13" t="e">
        <f ca="1">OFFSET('3060COMP Kaf'!J$1,$A66-1,0)</f>
        <v>#DIV/0!</v>
      </c>
    </row>
    <row r="67" spans="1:11" x14ac:dyDescent="0.25">
      <c r="C67" s="86"/>
      <c r="D67" s="1" t="s">
        <v>19</v>
      </c>
      <c r="E67" s="1">
        <f ca="1">OFFSET('3060COMP Kaf'!D$1,$A66-1+$A$1,0)</f>
        <v>0.57386492176766257</v>
      </c>
      <c r="F67" s="1">
        <f ca="1">OFFSET('3060COMP Kaf'!E$1,$A66-1+$A$1,0)</f>
        <v>0.95491821992227088</v>
      </c>
      <c r="G67" s="1">
        <f ca="1">OFFSET('3060COMP Kaf'!F$1,$A66-1+$A$1,0)</f>
        <v>1.5551576848815296</v>
      </c>
      <c r="H67" s="1">
        <f ca="1">OFFSET('3060COMP Kaf'!G$1,$A66-1+$A$1,0)</f>
        <v>4.1717924297764908</v>
      </c>
      <c r="I67" s="1">
        <f ca="1">OFFSET('3060COMP Kaf'!H$1,$A66-1+$A$1,0)</f>
        <v>5.1003269011603072</v>
      </c>
      <c r="J67" s="1">
        <f ca="1">OFFSET('3060COMP Kaf'!I$1,$A66-1+$A$1,0)</f>
        <v>13.18488301430817</v>
      </c>
      <c r="K67" s="1" t="e">
        <f ca="1">OFFSET('3060COMP Kaf'!J$1,$A66-1+$A$1,0)</f>
        <v>#DIV/0!</v>
      </c>
    </row>
    <row r="68" spans="1:11" s="18" customFormat="1" x14ac:dyDescent="0.25">
      <c r="A68" s="18">
        <v>3</v>
      </c>
      <c r="B68" s="18" t="str">
        <f ca="1">OFFSET('1050LAPTOP'!$C$1,A68-1,0)</f>
        <v>Classic ACO</v>
      </c>
      <c r="C68" s="85" t="s">
        <v>1</v>
      </c>
      <c r="D68" s="19" t="s">
        <v>0</v>
      </c>
      <c r="E68" s="20">
        <f ca="1">OFFSET('4060COMP'!D$1,$A68-1,0)</f>
        <v>6288.5222000000012</v>
      </c>
      <c r="F68" s="20">
        <f ca="1">OFFSET('4060COMP'!E$1,$A68-1,0)</f>
        <v>11441.451999999997</v>
      </c>
      <c r="G68" s="20">
        <f ca="1">OFFSET('4060COMP'!F$1,$A68-1,0)</f>
        <v>21547.928</v>
      </c>
      <c r="H68" s="20">
        <f ca="1">OFFSET('4060COMP'!G$1,$A68-1,0)</f>
        <v>42583.175999999999</v>
      </c>
      <c r="I68" s="20">
        <f ca="1">OFFSET('4060COMP'!H$1,$A68-1,0)</f>
        <v>98333.397999999957</v>
      </c>
      <c r="J68" s="20">
        <f ca="1">OFFSET('4060COMP'!I$1,$A68-1,0)</f>
        <v>171610.78</v>
      </c>
      <c r="K68" s="20">
        <f ca="1">OFFSET('4060COMP'!J$1,$A68-1,0)</f>
        <v>334035.68</v>
      </c>
    </row>
    <row r="69" spans="1:11" x14ac:dyDescent="0.25">
      <c r="C69" s="86"/>
      <c r="D69" s="1" t="s">
        <v>19</v>
      </c>
      <c r="E69" s="1">
        <f ca="1">OFFSET('4060COMP'!D$1,$A68-1+$A$1,0)</f>
        <v>42.608828448753066</v>
      </c>
      <c r="F69" s="1">
        <f ca="1">OFFSET('4060COMP'!E$1,$A68-1+$A$1,0)</f>
        <v>29.704050077099726</v>
      </c>
      <c r="G69" s="1">
        <f ca="1">OFFSET('4060COMP'!F$1,$A68-1+$A$1,0)</f>
        <v>80.677562784576352</v>
      </c>
      <c r="H69" s="1">
        <f ca="1">OFFSET('4060COMP'!G$1,$A68-1+$A$1,0)</f>
        <v>155.3950207963166</v>
      </c>
      <c r="I69" s="1">
        <f ca="1">OFFSET('4060COMP'!H$1,$A68-1+$A$1,0)</f>
        <v>181.95167076705664</v>
      </c>
      <c r="J69" s="1">
        <f ca="1">OFFSET('4060COMP'!I$1,$A68-1+$A$1,0)</f>
        <v>1422.3298732778471</v>
      </c>
      <c r="K69" s="1">
        <f ca="1">OFFSET('4060COMP'!J$1,$A68-1+$A$1,0)</f>
        <v>391.96957681603783</v>
      </c>
    </row>
    <row r="70" spans="1:11" x14ac:dyDescent="0.25">
      <c r="A70">
        <v>4</v>
      </c>
      <c r="B70" t="str">
        <f ca="1">OFFSET('1050LAPTOP'!$C$1,A70-1,0)</f>
        <v>non CUDA Time</v>
      </c>
      <c r="C70" s="85" t="s">
        <v>20</v>
      </c>
      <c r="D70" s="1" t="s">
        <v>0</v>
      </c>
      <c r="E70" s="13">
        <f ca="1">OFFSET('4060COMP'!D$1,$A70-1,0)</f>
        <v>886.85582000000022</v>
      </c>
      <c r="F70" s="13">
        <f ca="1">OFFSET('4060COMP'!E$1,$A70-1,0)</f>
        <v>1627.4021999999998</v>
      </c>
      <c r="G70" s="13">
        <f ca="1">OFFSET('4060COMP'!F$1,$A70-1,0)</f>
        <v>3159.8702000000003</v>
      </c>
      <c r="H70" s="13">
        <f ca="1">OFFSET('4060COMP'!G$1,$A70-1,0)</f>
        <v>6191.9177999999993</v>
      </c>
      <c r="I70" s="13">
        <f ca="1">OFFSET('4060COMP'!H$1,$A70-1,0)</f>
        <v>12286.097999999998</v>
      </c>
      <c r="J70" s="13">
        <f ca="1">OFFSET('4060COMP'!I$1,$A70-1,0)</f>
        <v>25340.31</v>
      </c>
      <c r="K70" s="13">
        <f ca="1">OFFSET('4060COMP'!J$1,$A70-1,0)</f>
        <v>46545.16</v>
      </c>
    </row>
    <row r="71" spans="1:11" x14ac:dyDescent="0.25">
      <c r="C71" s="86"/>
      <c r="D71" s="1" t="s">
        <v>19</v>
      </c>
      <c r="E71" s="1">
        <f ca="1">OFFSET('4060COMP'!D$1,$A70-1+$A$1,0)</f>
        <v>3.9258114213945112</v>
      </c>
      <c r="F71" s="1">
        <f ca="1">OFFSET('4060COMP'!E$1,$A70-1+$A$1,0)</f>
        <v>2.970566302924261</v>
      </c>
      <c r="G71" s="1">
        <f ca="1">OFFSET('4060COMP'!F$1,$A70-1+$A$1,0)</f>
        <v>39.88817376661386</v>
      </c>
      <c r="H71" s="1">
        <f ca="1">OFFSET('4060COMP'!G$1,$A70-1+$A$1,0)</f>
        <v>7.5779110115063402</v>
      </c>
      <c r="I71" s="1">
        <f ca="1">OFFSET('4060COMP'!H$1,$A70-1+$A$1,0)</f>
        <v>25.186137670938898</v>
      </c>
      <c r="J71" s="1">
        <f ca="1">OFFSET('4060COMP'!I$1,$A70-1+$A$1,0)</f>
        <v>86.386279367140645</v>
      </c>
      <c r="K71" s="1">
        <f ca="1">OFFSET('4060COMP'!J$1,$A70-1+$A$1,0)</f>
        <v>62.364672371708785</v>
      </c>
    </row>
    <row r="72" spans="1:11" x14ac:dyDescent="0.25">
      <c r="A72">
        <v>5</v>
      </c>
      <c r="B72" t="str">
        <f ca="1">OFFSET('1050LAPTOP'!$C$1,A72-1,0)</f>
        <v>omp</v>
      </c>
      <c r="C72" s="85" t="s">
        <v>21</v>
      </c>
      <c r="D72" s="1" t="s">
        <v>0</v>
      </c>
      <c r="E72" s="13">
        <f ca="1">OFFSET('4060COMP'!D$1,$A72-1,0)</f>
        <v>838.22991999999988</v>
      </c>
      <c r="F72" s="13">
        <f ca="1">OFFSET('4060COMP'!E$1,$A72-1,0)</f>
        <v>1577.8022000000003</v>
      </c>
      <c r="G72" s="13">
        <f ca="1">OFFSET('4060COMP'!F$1,$A72-1,0)</f>
        <v>3090.4849999999992</v>
      </c>
      <c r="H72" s="13">
        <f ca="1">OFFSET('4060COMP'!G$1,$A72-1,0)</f>
        <v>6131.5603999999994</v>
      </c>
      <c r="I72" s="13">
        <f ca="1">OFFSET('4060COMP'!H$1,$A72-1,0)</f>
        <v>12103.567999999997</v>
      </c>
      <c r="J72" s="13">
        <f ca="1">OFFSET('4060COMP'!I$1,$A72-1,0)</f>
        <v>23978.202000000001</v>
      </c>
      <c r="K72" s="13">
        <f ca="1">OFFSET('4060COMP'!J$1,$A72-1,0)</f>
        <v>46833.824000000022</v>
      </c>
    </row>
    <row r="73" spans="1:11" x14ac:dyDescent="0.25">
      <c r="C73" s="86"/>
      <c r="D73" s="1" t="s">
        <v>19</v>
      </c>
      <c r="E73" s="1">
        <f ca="1">OFFSET('4060COMP'!D$1,$A72-1+$A$1,0)</f>
        <v>2.779409381780142</v>
      </c>
      <c r="F73" s="1">
        <f ca="1">OFFSET('4060COMP'!E$1,$A72-1+$A$1,0)</f>
        <v>4.7675588912873561</v>
      </c>
      <c r="G73" s="1">
        <f ca="1">OFFSET('4060COMP'!F$1,$A72-1+$A$1,0)</f>
        <v>6.0600052825138659</v>
      </c>
      <c r="H73" s="1">
        <f ca="1">OFFSET('4060COMP'!G$1,$A72-1+$A$1,0)</f>
        <v>5.2359493768273655</v>
      </c>
      <c r="I73" s="1">
        <f ca="1">OFFSET('4060COMP'!H$1,$A72-1+$A$1,0)</f>
        <v>9.0442380764453549</v>
      </c>
      <c r="J73" s="1">
        <f ca="1">OFFSET('4060COMP'!I$1,$A72-1+$A$1,0)</f>
        <v>15.612465317775751</v>
      </c>
      <c r="K73" s="1">
        <f ca="1">OFFSET('4060COMP'!J$1,$A72-1+$A$1,0)</f>
        <v>41.186736832105574</v>
      </c>
    </row>
    <row r="74" spans="1:11" x14ac:dyDescent="0.25">
      <c r="A74">
        <v>6</v>
      </c>
      <c r="B74" t="str">
        <f ca="1">OFFSET('1050LAPTOP'!$C$1,A74-1,0)</f>
        <v>non CUDA transp Time</v>
      </c>
      <c r="C74" s="85" t="s">
        <v>22</v>
      </c>
      <c r="D74" s="1" t="s">
        <v>0</v>
      </c>
      <c r="E74" s="13">
        <f ca="1">OFFSET('4060COMP'!D$1,$A74-1,0)</f>
        <v>886.04631999999981</v>
      </c>
      <c r="F74" s="13">
        <f ca="1">OFFSET('4060COMP'!E$1,$A74-1,0)</f>
        <v>1637.6020000000003</v>
      </c>
      <c r="G74" s="13">
        <f ca="1">OFFSET('4060COMP'!F$1,$A74-1,0)</f>
        <v>3151.2087999999994</v>
      </c>
      <c r="H74" s="13">
        <f ca="1">OFFSET('4060COMP'!G$1,$A74-1,0)</f>
        <v>6213.1168000000016</v>
      </c>
      <c r="I74" s="13">
        <f ca="1">OFFSET('4060COMP'!H$1,$A74-1,0)</f>
        <v>12251.959999999997</v>
      </c>
      <c r="J74" s="13">
        <f ca="1">OFFSET('4060COMP'!I$1,$A74-1,0)</f>
        <v>24164.171999999999</v>
      </c>
      <c r="K74" s="13">
        <f ca="1">OFFSET('4060COMP'!J$1,$A74-1,0)</f>
        <v>46972.645999999993</v>
      </c>
    </row>
    <row r="75" spans="1:11" x14ac:dyDescent="0.25">
      <c r="C75" s="86"/>
      <c r="D75" s="1" t="s">
        <v>19</v>
      </c>
      <c r="E75" s="1">
        <f ca="1">OFFSET('4060COMP'!D$1,$A74-1+$A$1,0)</f>
        <v>6.4259705314370379</v>
      </c>
      <c r="F75" s="1">
        <f ca="1">OFFSET('4060COMP'!E$1,$A74-1+$A$1,0)</f>
        <v>6.5263474832920121</v>
      </c>
      <c r="G75" s="1">
        <f ca="1">OFFSET('4060COMP'!F$1,$A74-1+$A$1,0)</f>
        <v>4.2188599990558924</v>
      </c>
      <c r="H75" s="1">
        <f ca="1">OFFSET('4060COMP'!G$1,$A74-1+$A$1,0)</f>
        <v>9.4058423428484197</v>
      </c>
      <c r="I75" s="1">
        <f ca="1">OFFSET('4060COMP'!H$1,$A74-1+$A$1,0)</f>
        <v>21.440322197208129</v>
      </c>
      <c r="J75" s="1">
        <f ca="1">OFFSET('4060COMP'!I$1,$A74-1+$A$1,0)</f>
        <v>18.891088249099507</v>
      </c>
      <c r="K75" s="1">
        <f ca="1">OFFSET('4060COMP'!J$1,$A74-1+$A$1,0)</f>
        <v>152.49486855269717</v>
      </c>
    </row>
    <row r="76" spans="1:11" x14ac:dyDescent="0.25">
      <c r="A76">
        <v>7</v>
      </c>
      <c r="B76" t="str">
        <f ca="1">OFFSET('1050LAPTOP'!$C$1,A76-1,0)</f>
        <v>non CUDA transp_AVX Time</v>
      </c>
      <c r="C76" s="85" t="s">
        <v>23</v>
      </c>
      <c r="D76" s="1" t="s">
        <v>0</v>
      </c>
      <c r="E76" s="13">
        <f ca="1">OFFSET('4060COMP'!D$1,$A76-1,0)</f>
        <v>0</v>
      </c>
      <c r="F76" s="13">
        <f ca="1">OFFSET('4060COMP'!E$1,$A76-1,0)</f>
        <v>2127.6630000000005</v>
      </c>
      <c r="G76" s="13">
        <f ca="1">OFFSET('4060COMP'!F$1,$A76-1,0)</f>
        <v>4067.6298000000011</v>
      </c>
      <c r="H76" s="13">
        <f ca="1">OFFSET('4060COMP'!G$1,$A76-1,0)</f>
        <v>7861.0436</v>
      </c>
      <c r="I76" s="13">
        <f ca="1">OFFSET('4060COMP'!H$1,$A76-1,0)</f>
        <v>14994.266000000001</v>
      </c>
      <c r="J76" s="13">
        <f ca="1">OFFSET('4060COMP'!I$1,$A76-1,0)</f>
        <v>26465.054</v>
      </c>
      <c r="K76" s="13">
        <f ca="1">OFFSET('4060COMP'!J$1,$A76-1,0)</f>
        <v>52147.347999999976</v>
      </c>
    </row>
    <row r="77" spans="1:11" x14ac:dyDescent="0.25">
      <c r="C77" s="86"/>
      <c r="D77" s="1" t="s">
        <v>19</v>
      </c>
      <c r="E77" s="1">
        <f ca="1">OFFSET('4060COMP'!D$1,$A76-1+$A$1,0)</f>
        <v>0</v>
      </c>
      <c r="F77" s="1">
        <f ca="1">OFFSET('4060COMP'!E$1,$A76-1+$A$1,0)</f>
        <v>2.9547314053389049</v>
      </c>
      <c r="G77" s="1">
        <f ca="1">OFFSET('4060COMP'!F$1,$A76-1+$A$1,0)</f>
        <v>9.1946103758738325</v>
      </c>
      <c r="H77" s="1">
        <f ca="1">OFFSET('4060COMP'!G$1,$A76-1+$A$1,0)</f>
        <v>8.6579659640338793</v>
      </c>
      <c r="I77" s="1">
        <f ca="1">OFFSET('4060COMP'!H$1,$A76-1+$A$1,0)</f>
        <v>70.655799711061931</v>
      </c>
      <c r="J77" s="1">
        <f ca="1">OFFSET('4060COMP'!I$1,$A76-1+$A$1,0)</f>
        <v>30.58971653888619</v>
      </c>
      <c r="K77" s="1">
        <f ca="1">OFFSET('4060COMP'!J$1,$A76-1+$A$1,0)</f>
        <v>1209.995102723404</v>
      </c>
    </row>
    <row r="78" spans="1:11" x14ac:dyDescent="0.25">
      <c r="A78">
        <v>8</v>
      </c>
      <c r="B78" t="str">
        <f ca="1">OFFSET('1050LAPTOP'!$C$1,A78-1,0)</f>
        <v>non CUDA transp_AVX_OMP Time</v>
      </c>
      <c r="C78" s="85" t="s">
        <v>24</v>
      </c>
      <c r="D78" s="1" t="s">
        <v>0</v>
      </c>
      <c r="E78" s="13">
        <f ca="1">OFFSET('4060COMP'!D$1,$A78-1,0)</f>
        <v>0</v>
      </c>
      <c r="F78" s="13">
        <f ca="1">OFFSET('4060COMP'!E$1,$A78-1,0)</f>
        <v>2119.9631999999997</v>
      </c>
      <c r="G78" s="13">
        <f ca="1">OFFSET('4060COMP'!F$1,$A78-1,0)</f>
        <v>4040.9362000000001</v>
      </c>
      <c r="H78" s="13">
        <f ca="1">OFFSET('4060COMP'!G$1,$A78-1,0)</f>
        <v>7858.5309999999972</v>
      </c>
      <c r="I78" s="13">
        <f ca="1">OFFSET('4060COMP'!H$1,$A78-1,0)</f>
        <v>14976.848000000004</v>
      </c>
      <c r="J78" s="13">
        <f ca="1">OFFSET('4060COMP'!I$1,$A78-1,0)</f>
        <v>26486.423999999995</v>
      </c>
      <c r="K78" s="13">
        <f ca="1">OFFSET('4060COMP'!J$1,$A78-1,0)</f>
        <v>53563.657999999996</v>
      </c>
    </row>
    <row r="79" spans="1:11" x14ac:dyDescent="0.25">
      <c r="C79" s="86"/>
      <c r="D79" s="1" t="s">
        <v>19</v>
      </c>
      <c r="E79" s="1">
        <f ca="1">OFFSET('4060COMP'!D$1,$A78-1+$A$1,0)</f>
        <v>0</v>
      </c>
      <c r="F79" s="1">
        <f ca="1">OFFSET('4060COMP'!E$1,$A78-1+$A$1,0)</f>
        <v>4.4654515104361296</v>
      </c>
      <c r="G79" s="1">
        <f ca="1">OFFSET('4060COMP'!F$1,$A78-1+$A$1,0)</f>
        <v>6.883576414283632</v>
      </c>
      <c r="H79" s="1">
        <f ca="1">OFFSET('4060COMP'!G$1,$A78-1+$A$1,0)</f>
        <v>16.540139324580807</v>
      </c>
      <c r="I79" s="1">
        <f ca="1">OFFSET('4060COMP'!H$1,$A78-1+$A$1,0)</f>
        <v>66.235610180695019</v>
      </c>
      <c r="J79" s="1">
        <f ca="1">OFFSET('4060COMP'!I$1,$A78-1+$A$1,0)</f>
        <v>32.598750583150625</v>
      </c>
      <c r="K79" s="1">
        <f ca="1">OFFSET('4060COMP'!J$1,$A78-1+$A$1,0)</f>
        <v>1230.9255097815362</v>
      </c>
    </row>
    <row r="80" spans="1:11" x14ac:dyDescent="0.25">
      <c r="A80">
        <v>12</v>
      </c>
      <c r="B80" t="str">
        <f ca="1">OFFSET('1050LAPTOP'!$C$1,A80-1,0)</f>
        <v>Time non CUDA AVX time 4</v>
      </c>
      <c r="C80" s="85"/>
      <c r="D80" s="1" t="s">
        <v>0</v>
      </c>
      <c r="E80" s="13">
        <f ca="1">OFFSET('4060COMP'!D$1,$A80-1,0)</f>
        <v>1132.0496000000003</v>
      </c>
      <c r="F80" s="13">
        <f ca="1">OFFSET('4060COMP'!E$1,$A80-1,0)</f>
        <v>2092.4639999999995</v>
      </c>
      <c r="G80" s="13">
        <f ca="1">OFFSET('4060COMP'!F$1,$A80-1,0)</f>
        <v>3978.3183999999997</v>
      </c>
      <c r="H80" s="13">
        <f ca="1">OFFSET('4060COMP'!G$1,$A80-1,0)</f>
        <v>7709.4031999999997</v>
      </c>
      <c r="I80" s="13">
        <f ca="1">OFFSET('4060COMP'!H$1,$A80-1,0)</f>
        <v>14043.196000000002</v>
      </c>
      <c r="J80" s="13">
        <f ca="1">OFFSET('4060COMP'!I$1,$A80-1,0)</f>
        <v>26905.33</v>
      </c>
      <c r="K80" s="13">
        <f ca="1">OFFSET('4060COMP'!J$1,$A80-1,0)</f>
        <v>55996.127999999997</v>
      </c>
    </row>
    <row r="81" spans="1:11" x14ac:dyDescent="0.25">
      <c r="C81" s="86"/>
      <c r="D81" s="1" t="s">
        <v>19</v>
      </c>
      <c r="E81" s="1">
        <f ca="1">OFFSET('4060COMP'!D$1,$A80-1+$A$1,0)</f>
        <v>4.7001689200596175</v>
      </c>
      <c r="F81" s="1">
        <f ca="1">OFFSET('4060COMP'!E$1,$A80-1+$A$1,0)</f>
        <v>3.2626128415796258</v>
      </c>
      <c r="G81" s="1">
        <f ca="1">OFFSET('4060COMP'!F$1,$A80-1+$A$1,0)</f>
        <v>5.9161989428765906</v>
      </c>
      <c r="H81" s="1">
        <f ca="1">OFFSET('4060COMP'!G$1,$A80-1+$A$1,0)</f>
        <v>19.378162060134315</v>
      </c>
      <c r="I81" s="1">
        <f ca="1">OFFSET('4060COMP'!H$1,$A80-1+$A$1,0)</f>
        <v>68.750615547519871</v>
      </c>
      <c r="J81" s="1">
        <f ca="1">OFFSET('4060COMP'!I$1,$A80-1+$A$1,0)</f>
        <v>161.51920311693988</v>
      </c>
      <c r="K81" s="1">
        <f ca="1">OFFSET('4060COMP'!J$1,$A80-1+$A$1,0)</f>
        <v>163.67265838453889</v>
      </c>
    </row>
    <row r="82" spans="1:11" x14ac:dyDescent="0.25">
      <c r="A82">
        <v>13</v>
      </c>
      <c r="B82" t="str">
        <f ca="1">OFFSET('1050LAPTOP'!$C$1,A82-1,0)</f>
        <v>Time non CUDA AVX add CPU time 4</v>
      </c>
      <c r="C82" s="85"/>
      <c r="D82" s="1" t="s">
        <v>0</v>
      </c>
      <c r="E82" s="13">
        <f ca="1">OFFSET('4060COMP'!D$1,$A82-1,0)</f>
        <v>257.09768000000008</v>
      </c>
      <c r="F82" s="13">
        <f ca="1">OFFSET('4060COMP'!E$1,$A82-1,0)</f>
        <v>441.49017999999995</v>
      </c>
      <c r="G82" s="13">
        <f ca="1">OFFSET('4060COMP'!F$1,$A82-1,0)</f>
        <v>818.33375999999976</v>
      </c>
      <c r="H82" s="13">
        <f ca="1">OFFSET('4060COMP'!G$1,$A82-1,0)</f>
        <v>1549.6212000000003</v>
      </c>
      <c r="I82" s="13">
        <f ca="1">OFFSET('4060COMP'!H$1,$A82-1,0)</f>
        <v>3143.1994000000013</v>
      </c>
      <c r="J82" s="13">
        <f ca="1">OFFSET('4060COMP'!I$1,$A82-1,0)</f>
        <v>6016.168999999999</v>
      </c>
      <c r="K82" s="13">
        <f ca="1">OFFSET('4060COMP'!J$1,$A82-1,0)</f>
        <v>11876.062000000002</v>
      </c>
    </row>
    <row r="83" spans="1:11" x14ac:dyDescent="0.25">
      <c r="C83" s="86"/>
      <c r="D83" s="1" t="s">
        <v>19</v>
      </c>
      <c r="E83" s="1">
        <f ca="1">OFFSET('4060COMP'!D$1,$A82-1+$A$1,0)</f>
        <v>0.72130566020442677</v>
      </c>
      <c r="F83" s="1">
        <f ca="1">OFFSET('4060COMP'!E$1,$A82-1+$A$1,0)</f>
        <v>1.9882342191014972</v>
      </c>
      <c r="G83" s="1">
        <f ca="1">OFFSET('4060COMP'!F$1,$A82-1+$A$1,0)</f>
        <v>2.1947470831317668</v>
      </c>
      <c r="H83" s="1">
        <f ca="1">OFFSET('4060COMP'!G$1,$A82-1+$A$1,0)</f>
        <v>4.309901496455808</v>
      </c>
      <c r="I83" s="1">
        <f ca="1">OFFSET('4060COMP'!H$1,$A82-1+$A$1,0)</f>
        <v>27.373900169884397</v>
      </c>
      <c r="J83" s="1">
        <f ca="1">OFFSET('4060COMP'!I$1,$A82-1+$A$1,0)</f>
        <v>25.502625431634641</v>
      </c>
      <c r="K83" s="1">
        <f ca="1">OFFSET('4060COMP'!J$1,$A82-1+$A$1,0)</f>
        <v>23.217731171997997</v>
      </c>
    </row>
  </sheetData>
  <mergeCells count="45">
    <mergeCell ref="C26:C27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50:C51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4:C55"/>
    <mergeCell ref="C56:C57"/>
    <mergeCell ref="C58:C59"/>
    <mergeCell ref="C60:C61"/>
    <mergeCell ref="C62:C63"/>
    <mergeCell ref="C76:C77"/>
    <mergeCell ref="C78:C79"/>
    <mergeCell ref="C80:C81"/>
    <mergeCell ref="C82:C83"/>
    <mergeCell ref="O4:O5"/>
    <mergeCell ref="O6:O7"/>
    <mergeCell ref="O8:O9"/>
    <mergeCell ref="O10:O11"/>
    <mergeCell ref="O12:O13"/>
    <mergeCell ref="C64:C65"/>
    <mergeCell ref="C66:C67"/>
    <mergeCell ref="C68:C69"/>
    <mergeCell ref="C70:C71"/>
    <mergeCell ref="C72:C73"/>
    <mergeCell ref="C74:C75"/>
    <mergeCell ref="C52:C5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2" sqref="C12:J13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26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</row>
    <row r="3" spans="1:13" x14ac:dyDescent="0.25">
      <c r="A3">
        <v>1</v>
      </c>
      <c r="C3" s="1" t="s">
        <v>1</v>
      </c>
      <c r="D3" s="10">
        <v>14722.331999999997</v>
      </c>
      <c r="E3" s="10">
        <v>27364.667999999994</v>
      </c>
      <c r="F3" s="10">
        <v>52186.786000000007</v>
      </c>
      <c r="G3" s="10">
        <v>103402.44</v>
      </c>
      <c r="H3" s="10">
        <v>207103.35999999999</v>
      </c>
      <c r="I3" s="10">
        <v>410463.68</v>
      </c>
      <c r="J3" s="10">
        <v>835652.72</v>
      </c>
      <c r="K3" s="10"/>
      <c r="L3" s="10"/>
    </row>
    <row r="4" spans="1:13" x14ac:dyDescent="0.25">
      <c r="C4" s="1" t="s">
        <v>2</v>
      </c>
      <c r="D4" s="10">
        <v>1012.9384</v>
      </c>
      <c r="E4" s="10">
        <v>1856.1192000000001</v>
      </c>
      <c r="F4" s="10">
        <v>3594.4351999999994</v>
      </c>
      <c r="G4" s="10">
        <v>7098.9367999999995</v>
      </c>
      <c r="H4" s="10">
        <v>13991.565999999999</v>
      </c>
      <c r="I4" s="10">
        <v>27308.063999999991</v>
      </c>
      <c r="J4" s="10">
        <v>53372.171999999977</v>
      </c>
      <c r="K4" s="10"/>
      <c r="L4" s="10"/>
    </row>
    <row r="5" spans="1:13" x14ac:dyDescent="0.25">
      <c r="C5" s="1" t="s">
        <v>4</v>
      </c>
      <c r="D5" s="10">
        <v>941.88968000000011</v>
      </c>
      <c r="E5" s="10">
        <v>1766.0682000000002</v>
      </c>
      <c r="F5" s="10">
        <v>3464.2148000000002</v>
      </c>
      <c r="G5" s="10">
        <v>6900.4025999999967</v>
      </c>
      <c r="H5" s="11">
        <v>13916.54</v>
      </c>
      <c r="I5" s="10">
        <v>27036.757999999994</v>
      </c>
      <c r="J5" s="10">
        <v>52481.614000000001</v>
      </c>
      <c r="K5" s="10"/>
      <c r="L5" s="10"/>
    </row>
    <row r="6" spans="1:13" x14ac:dyDescent="0.25">
      <c r="C6" s="1" t="s">
        <v>5</v>
      </c>
      <c r="D6" s="10">
        <v>1006.4634600000004</v>
      </c>
      <c r="E6" s="10">
        <v>1833.9497999999999</v>
      </c>
      <c r="F6" s="10">
        <v>3513.4630000000006</v>
      </c>
      <c r="G6" s="10">
        <v>6889.4020000000019</v>
      </c>
      <c r="H6" s="10">
        <v>13937.790000000006</v>
      </c>
      <c r="I6" s="10">
        <v>27063.297999999999</v>
      </c>
      <c r="J6" s="10">
        <v>52241.043999999994</v>
      </c>
      <c r="K6" s="10"/>
      <c r="L6" s="10"/>
    </row>
    <row r="7" spans="1:13" x14ac:dyDescent="0.25">
      <c r="C7" s="1" t="s">
        <v>6</v>
      </c>
      <c r="D7" s="10">
        <v>0</v>
      </c>
      <c r="E7" s="10">
        <v>1886.6616000000001</v>
      </c>
      <c r="F7" s="10">
        <v>3617.8644000000004</v>
      </c>
      <c r="G7" s="10">
        <v>7101.9936000000025</v>
      </c>
      <c r="H7" s="10">
        <v>14317.556000000004</v>
      </c>
      <c r="I7" s="10">
        <v>28324.736000000001</v>
      </c>
      <c r="J7" s="10">
        <v>54374.391999999993</v>
      </c>
      <c r="K7" s="10"/>
      <c r="L7" s="10"/>
    </row>
    <row r="8" spans="1:13" x14ac:dyDescent="0.25">
      <c r="C8" s="1" t="s">
        <v>7</v>
      </c>
      <c r="D8" s="10">
        <v>0</v>
      </c>
      <c r="E8" s="10">
        <v>1906.3473999999997</v>
      </c>
      <c r="F8" s="10">
        <v>3617.8065999999999</v>
      </c>
      <c r="G8" s="10">
        <v>7097.737000000001</v>
      </c>
      <c r="H8" s="10">
        <v>14354.264000000001</v>
      </c>
      <c r="I8" s="10">
        <v>28337.321999999996</v>
      </c>
      <c r="J8" s="10">
        <v>54393.38</v>
      </c>
      <c r="K8" s="10"/>
      <c r="L8" s="10"/>
    </row>
    <row r="9" spans="1:13" x14ac:dyDescent="0.25">
      <c r="C9" s="1" t="s">
        <v>8</v>
      </c>
      <c r="D9" s="10">
        <v>617.83162000000016</v>
      </c>
      <c r="E9" s="10">
        <v>1125.4246000000003</v>
      </c>
      <c r="F9" s="10">
        <v>2174.7248</v>
      </c>
      <c r="G9" s="10">
        <v>4302.3360000000002</v>
      </c>
      <c r="H9" s="10">
        <v>8603.6396000000004</v>
      </c>
      <c r="I9" s="10">
        <v>17058.227999999996</v>
      </c>
      <c r="J9" s="10">
        <v>34415.259999999987</v>
      </c>
      <c r="K9" s="10"/>
      <c r="L9" s="9"/>
    </row>
    <row r="10" spans="1:13" x14ac:dyDescent="0.25">
      <c r="C10" s="1" t="s">
        <v>9</v>
      </c>
      <c r="D10" s="10">
        <v>1512.2120000000002</v>
      </c>
      <c r="E10" s="10">
        <v>2659.6365999999998</v>
      </c>
      <c r="F10" s="10">
        <v>5207.7542000000012</v>
      </c>
      <c r="G10" s="10">
        <v>10304.526000000002</v>
      </c>
      <c r="H10" s="10">
        <v>20485.600000000002</v>
      </c>
      <c r="I10" s="10">
        <v>30668.097999999998</v>
      </c>
      <c r="J10" s="10">
        <v>53579.620000000017</v>
      </c>
      <c r="K10" s="10"/>
      <c r="L10" s="10"/>
    </row>
    <row r="11" spans="1:13" x14ac:dyDescent="0.25">
      <c r="C11" s="1" t="s">
        <v>10</v>
      </c>
      <c r="D11" s="10">
        <v>0</v>
      </c>
      <c r="E11" s="10">
        <v>1138.9009999999998</v>
      </c>
      <c r="F11" s="10">
        <v>2203.5749999999998</v>
      </c>
      <c r="G11" s="10">
        <v>4345.2345999999998</v>
      </c>
      <c r="H11" s="10">
        <v>8611.4827999999961</v>
      </c>
      <c r="I11" s="10">
        <v>17137.144</v>
      </c>
      <c r="J11" s="10">
        <v>34192.435999999994</v>
      </c>
      <c r="K11" s="10"/>
      <c r="L11" s="10"/>
    </row>
    <row r="12" spans="1:13" x14ac:dyDescent="0.25">
      <c r="C12" s="1" t="s">
        <v>16</v>
      </c>
      <c r="D12" s="10">
        <v>1017.3776000000001</v>
      </c>
      <c r="E12" s="10">
        <v>1889.2707999999998</v>
      </c>
      <c r="F12" s="10">
        <v>3627.0554000000002</v>
      </c>
      <c r="G12" s="10">
        <v>7084.2337999999991</v>
      </c>
      <c r="H12" s="10">
        <v>14040.434000000001</v>
      </c>
      <c r="I12" s="10">
        <v>27472.933999999997</v>
      </c>
      <c r="J12" s="10">
        <v>52973.284000000007</v>
      </c>
      <c r="K12" s="10"/>
      <c r="L12" s="10"/>
    </row>
    <row r="13" spans="1:13" x14ac:dyDescent="0.25">
      <c r="C13" s="1" t="s">
        <v>17</v>
      </c>
      <c r="D13" s="10">
        <v>627.14737999999988</v>
      </c>
      <c r="E13" s="10">
        <v>1153.4844000000005</v>
      </c>
      <c r="F13" s="10">
        <v>2244.2572000000005</v>
      </c>
      <c r="G13" s="10">
        <v>4419.3770000000004</v>
      </c>
      <c r="H13" s="10">
        <v>8817.8194000000003</v>
      </c>
      <c r="I13" s="10">
        <v>17479.466</v>
      </c>
      <c r="J13" s="10">
        <v>35108.803999999996</v>
      </c>
      <c r="K13" s="10"/>
      <c r="L13" s="10"/>
    </row>
    <row r="14" spans="1:13" x14ac:dyDescent="0.25">
      <c r="C14" s="1"/>
      <c r="D14" s="10"/>
      <c r="E14" s="10"/>
      <c r="F14" s="10"/>
      <c r="G14" s="10"/>
      <c r="H14" s="10"/>
      <c r="I14" s="10"/>
      <c r="J14" s="10"/>
      <c r="K14" s="10"/>
      <c r="L14" s="10"/>
    </row>
    <row r="15" spans="1:13" x14ac:dyDescent="0.25">
      <c r="C15" s="1"/>
      <c r="D15" s="10"/>
      <c r="E15" s="10"/>
      <c r="F15" s="10"/>
      <c r="G15" s="10"/>
      <c r="H15" s="10"/>
      <c r="I15" s="10"/>
      <c r="J15" s="10"/>
      <c r="K15" s="10"/>
      <c r="L15" s="10"/>
    </row>
    <row r="16" spans="1:13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350.5317142857142</v>
      </c>
      <c r="E32" s="5">
        <f t="shared" ref="E32:L32" si="0">E3/E$2</f>
        <v>325.76985714285706</v>
      </c>
      <c r="F32" s="5">
        <f t="shared" si="0"/>
        <v>310.63563095238101</v>
      </c>
      <c r="G32" s="5">
        <f t="shared" si="0"/>
        <v>307.74535714285713</v>
      </c>
      <c r="H32" s="5">
        <f t="shared" si="0"/>
        <v>308.18952380952379</v>
      </c>
      <c r="I32" s="5">
        <f t="shared" si="0"/>
        <v>305.40452380952382</v>
      </c>
      <c r="J32" s="5">
        <f t="shared" si="0"/>
        <v>310.88270833333331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</v>
      </c>
      <c r="D33" s="5">
        <f t="shared" ref="D33:L37" si="1">D4/D$2</f>
        <v>24.117580952380951</v>
      </c>
      <c r="E33" s="5">
        <f t="shared" si="1"/>
        <v>22.096657142857143</v>
      </c>
      <c r="F33" s="5">
        <f t="shared" si="1"/>
        <v>21.395447619047616</v>
      </c>
      <c r="G33" s="5">
        <f t="shared" si="1"/>
        <v>21.127788095238095</v>
      </c>
      <c r="H33" s="5">
        <f t="shared" si="1"/>
        <v>20.820782738095236</v>
      </c>
      <c r="I33" s="5">
        <f t="shared" si="1"/>
        <v>20.318499999999993</v>
      </c>
      <c r="J33" s="5">
        <f t="shared" si="1"/>
        <v>19.855718749999991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4</v>
      </c>
      <c r="D34" s="5">
        <f t="shared" si="1"/>
        <v>22.425944761904766</v>
      </c>
      <c r="E34" s="5">
        <f t="shared" si="1"/>
        <v>21.024621428571429</v>
      </c>
      <c r="F34" s="5">
        <f t="shared" si="1"/>
        <v>20.620326190476192</v>
      </c>
      <c r="G34" s="5">
        <f t="shared" si="1"/>
        <v>20.536912499999989</v>
      </c>
      <c r="H34" s="5">
        <f t="shared" si="1"/>
        <v>20.709136904761905</v>
      </c>
      <c r="I34" s="5">
        <f t="shared" si="1"/>
        <v>20.116635416666661</v>
      </c>
      <c r="J34" s="5">
        <f t="shared" si="1"/>
        <v>19.524409970238096</v>
      </c>
      <c r="K34" s="5">
        <f t="shared" si="1"/>
        <v>0</v>
      </c>
      <c r="L34" s="5">
        <f t="shared" si="1"/>
        <v>0</v>
      </c>
    </row>
    <row r="35" spans="3:12" x14ac:dyDescent="0.25">
      <c r="C35" s="1" t="s">
        <v>5</v>
      </c>
      <c r="D35" s="5">
        <f t="shared" si="1"/>
        <v>23.963415714285723</v>
      </c>
      <c r="E35" s="5">
        <f t="shared" si="1"/>
        <v>21.832735714285711</v>
      </c>
      <c r="F35" s="5">
        <f t="shared" si="1"/>
        <v>20.913470238095243</v>
      </c>
      <c r="G35" s="5">
        <f t="shared" si="1"/>
        <v>20.504172619047626</v>
      </c>
      <c r="H35" s="5">
        <f t="shared" si="1"/>
        <v>20.740758928571438</v>
      </c>
      <c r="I35" s="5">
        <f t="shared" si="1"/>
        <v>20.13638244047619</v>
      </c>
      <c r="J35" s="5">
        <f t="shared" si="1"/>
        <v>19.43491220238095</v>
      </c>
      <c r="K35" s="5">
        <f t="shared" si="1"/>
        <v>0</v>
      </c>
      <c r="L35" s="5">
        <f t="shared" si="1"/>
        <v>0</v>
      </c>
    </row>
    <row r="36" spans="3:12" x14ac:dyDescent="0.25">
      <c r="C36" s="1" t="s">
        <v>6</v>
      </c>
      <c r="D36" s="5"/>
      <c r="E36" s="5">
        <f t="shared" si="1"/>
        <v>22.460257142857145</v>
      </c>
      <c r="F36" s="5">
        <f t="shared" si="1"/>
        <v>21.534907142857143</v>
      </c>
      <c r="G36" s="5">
        <f t="shared" si="1"/>
        <v>21.136885714285722</v>
      </c>
      <c r="H36" s="5">
        <f t="shared" si="1"/>
        <v>21.305886904761913</v>
      </c>
      <c r="I36" s="5">
        <f t="shared" si="1"/>
        <v>21.074952380952382</v>
      </c>
      <c r="J36" s="5">
        <f t="shared" si="1"/>
        <v>20.228568452380948</v>
      </c>
      <c r="K36" s="5">
        <f t="shared" si="1"/>
        <v>0</v>
      </c>
      <c r="L36" s="5">
        <f t="shared" si="1"/>
        <v>0</v>
      </c>
    </row>
    <row r="37" spans="3:12" x14ac:dyDescent="0.25">
      <c r="C37" s="1" t="s">
        <v>7</v>
      </c>
      <c r="D37" s="5"/>
      <c r="E37" s="5">
        <f t="shared" si="1"/>
        <v>22.694611904761899</v>
      </c>
      <c r="F37" s="5">
        <f t="shared" si="1"/>
        <v>21.534563095238095</v>
      </c>
      <c r="G37" s="5">
        <f t="shared" si="1"/>
        <v>21.124217261904764</v>
      </c>
      <c r="H37" s="5">
        <f t="shared" si="1"/>
        <v>21.360511904761907</v>
      </c>
      <c r="I37" s="5">
        <f t="shared" si="1"/>
        <v>21.084316964285712</v>
      </c>
      <c r="J37" s="5">
        <f t="shared" si="1"/>
        <v>20.235632440476188</v>
      </c>
      <c r="K37" s="5">
        <f t="shared" si="1"/>
        <v>0</v>
      </c>
      <c r="L37" s="5">
        <f t="shared" si="1"/>
        <v>0</v>
      </c>
    </row>
    <row r="38" spans="3:12" x14ac:dyDescent="0.25">
      <c r="C38" s="1" t="s">
        <v>8</v>
      </c>
      <c r="D38" s="5">
        <f t="shared" ref="D38:L42" si="2">D9/D$2</f>
        <v>14.710276666666671</v>
      </c>
      <c r="E38" s="5">
        <f t="shared" si="2"/>
        <v>13.397911904761909</v>
      </c>
      <c r="F38" s="5">
        <f t="shared" si="2"/>
        <v>12.944790476190477</v>
      </c>
      <c r="G38" s="5">
        <f t="shared" si="2"/>
        <v>12.80457142857143</v>
      </c>
      <c r="H38" s="5">
        <f t="shared" si="2"/>
        <v>12.803035119047619</v>
      </c>
      <c r="I38" s="5">
        <f t="shared" si="2"/>
        <v>12.692133928571426</v>
      </c>
      <c r="J38" s="5">
        <f t="shared" si="2"/>
        <v>12.803296130952376</v>
      </c>
      <c r="K38" s="5">
        <f t="shared" si="2"/>
        <v>0</v>
      </c>
      <c r="L38" s="5">
        <f t="shared" si="2"/>
        <v>0</v>
      </c>
    </row>
    <row r="39" spans="3:12" x14ac:dyDescent="0.25">
      <c r="C39" s="1" t="s">
        <v>9</v>
      </c>
      <c r="D39" s="5">
        <f t="shared" si="2"/>
        <v>36.005047619047623</v>
      </c>
      <c r="E39" s="5">
        <f t="shared" si="2"/>
        <v>31.662340476190472</v>
      </c>
      <c r="F39" s="5">
        <f t="shared" si="2"/>
        <v>30.998536904761913</v>
      </c>
      <c r="G39" s="5">
        <f t="shared" si="2"/>
        <v>30.668232142857146</v>
      </c>
      <c r="H39" s="5">
        <f t="shared" si="2"/>
        <v>30.484523809523814</v>
      </c>
      <c r="I39" s="5">
        <f t="shared" si="2"/>
        <v>22.818525297619047</v>
      </c>
      <c r="J39" s="5">
        <f t="shared" si="2"/>
        <v>19.9328943452381</v>
      </c>
      <c r="K39" s="5">
        <f t="shared" si="2"/>
        <v>0</v>
      </c>
      <c r="L39" s="5">
        <f t="shared" si="2"/>
        <v>0</v>
      </c>
    </row>
    <row r="40" spans="3:12" x14ac:dyDescent="0.25">
      <c r="C40" s="1" t="s">
        <v>10</v>
      </c>
      <c r="D40" s="5"/>
      <c r="E40" s="5">
        <f t="shared" si="2"/>
        <v>13.558345238095237</v>
      </c>
      <c r="F40" s="5">
        <f t="shared" si="2"/>
        <v>13.116517857142856</v>
      </c>
      <c r="G40" s="5">
        <f t="shared" si="2"/>
        <v>12.932245833333333</v>
      </c>
      <c r="H40" s="5">
        <f t="shared" si="2"/>
        <v>12.814706547619043</v>
      </c>
      <c r="I40" s="5">
        <f t="shared" si="2"/>
        <v>12.75085119047619</v>
      </c>
      <c r="J40" s="5">
        <f t="shared" si="2"/>
        <v>12.720400297619046</v>
      </c>
      <c r="K40" s="5">
        <f t="shared" si="2"/>
        <v>0</v>
      </c>
      <c r="L40" s="5">
        <f t="shared" si="2"/>
        <v>0</v>
      </c>
    </row>
    <row r="41" spans="3:12" x14ac:dyDescent="0.25">
      <c r="C41" s="1" t="s">
        <v>16</v>
      </c>
      <c r="D41" s="5">
        <f t="shared" si="2"/>
        <v>24.223276190476195</v>
      </c>
      <c r="E41" s="5">
        <f t="shared" si="2"/>
        <v>22.491319047619044</v>
      </c>
      <c r="F41" s="5">
        <f t="shared" si="2"/>
        <v>21.589615476190477</v>
      </c>
      <c r="G41" s="5">
        <f t="shared" si="2"/>
        <v>21.084029166666664</v>
      </c>
      <c r="H41" s="5">
        <f t="shared" si="2"/>
        <v>20.893502976190479</v>
      </c>
      <c r="I41" s="5">
        <f t="shared" si="2"/>
        <v>20.44117113095238</v>
      </c>
      <c r="J41" s="5">
        <f t="shared" si="2"/>
        <v>19.707322916666669</v>
      </c>
      <c r="K41" s="5"/>
      <c r="L41" s="5"/>
    </row>
    <row r="42" spans="3:12" x14ac:dyDescent="0.25">
      <c r="C42" s="1" t="s">
        <v>17</v>
      </c>
      <c r="D42" s="5">
        <f t="shared" si="2"/>
        <v>14.932080476190473</v>
      </c>
      <c r="E42" s="5">
        <f t="shared" si="2"/>
        <v>13.73195714285715</v>
      </c>
      <c r="F42" s="5">
        <f t="shared" si="2"/>
        <v>13.358673809523813</v>
      </c>
      <c r="G42" s="5">
        <f t="shared" si="2"/>
        <v>13.152907738095239</v>
      </c>
      <c r="H42" s="5">
        <f t="shared" si="2"/>
        <v>13.12175505952381</v>
      </c>
      <c r="I42" s="5">
        <f t="shared" si="2"/>
        <v>13.005555059523809</v>
      </c>
      <c r="J42" s="5">
        <f t="shared" si="2"/>
        <v>13.06131101190476</v>
      </c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4">
        <v>42</v>
      </c>
      <c r="E56" s="4">
        <v>84</v>
      </c>
      <c r="F56" s="4">
        <v>168</v>
      </c>
      <c r="G56" s="4">
        <v>336</v>
      </c>
      <c r="H56" s="4">
        <v>672</v>
      </c>
      <c r="I56" s="4">
        <v>1344</v>
      </c>
      <c r="J56" s="4">
        <v>2688</v>
      </c>
      <c r="K56" s="4">
        <v>5376</v>
      </c>
      <c r="L56" s="4">
        <v>10752</v>
      </c>
    </row>
    <row r="57" spans="3:12" x14ac:dyDescent="0.25">
      <c r="C57" s="1" t="s">
        <v>1</v>
      </c>
      <c r="D57" s="12">
        <f t="shared" ref="D57:L67" si="3">D$3/D3</f>
        <v>1</v>
      </c>
      <c r="E57" s="12">
        <f t="shared" si="3"/>
        <v>1</v>
      </c>
      <c r="F57" s="12">
        <f t="shared" si="3"/>
        <v>1</v>
      </c>
      <c r="G57" s="12">
        <f t="shared" si="3"/>
        <v>1</v>
      </c>
      <c r="H57" s="12">
        <f t="shared" si="3"/>
        <v>1</v>
      </c>
      <c r="I57" s="12">
        <f t="shared" si="3"/>
        <v>1</v>
      </c>
      <c r="J57" s="12">
        <f t="shared" si="3"/>
        <v>1</v>
      </c>
      <c r="K57" s="12" t="e">
        <f t="shared" si="3"/>
        <v>#DIV/0!</v>
      </c>
      <c r="L57" s="12" t="e">
        <f t="shared" si="3"/>
        <v>#DIV/0!</v>
      </c>
    </row>
    <row r="58" spans="3:12" x14ac:dyDescent="0.25">
      <c r="C58" s="1" t="s">
        <v>2</v>
      </c>
      <c r="D58" s="12">
        <f t="shared" si="3"/>
        <v>14.53428165029581</v>
      </c>
      <c r="E58" s="12">
        <f t="shared" si="3"/>
        <v>14.742947543455179</v>
      </c>
      <c r="F58" s="12">
        <f t="shared" si="3"/>
        <v>14.518772239933554</v>
      </c>
      <c r="G58" s="12">
        <f t="shared" si="3"/>
        <v>14.565905136667791</v>
      </c>
      <c r="H58" s="12">
        <f>H$3/H4</f>
        <v>14.802014299185666</v>
      </c>
      <c r="I58" s="12">
        <f>I$3/I4</f>
        <v>15.030859748973787</v>
      </c>
      <c r="J58" s="12">
        <f>J$3/J4</f>
        <v>15.657086618097543</v>
      </c>
      <c r="K58" s="12" t="e">
        <f>K$3/K4</f>
        <v>#DIV/0!</v>
      </c>
      <c r="L58" s="12" t="e">
        <f>L$3/L4</f>
        <v>#DIV/0!</v>
      </c>
    </row>
    <row r="59" spans="3:12" x14ac:dyDescent="0.25">
      <c r="C59" s="1" t="s">
        <v>4</v>
      </c>
      <c r="D59" s="12">
        <f t="shared" si="3"/>
        <v>15.630633090703355</v>
      </c>
      <c r="E59" s="12">
        <f t="shared" si="3"/>
        <v>15.494683614143549</v>
      </c>
      <c r="F59" s="12">
        <f t="shared" si="3"/>
        <v>15.064535259187739</v>
      </c>
      <c r="G59" s="12">
        <f t="shared" si="3"/>
        <v>14.984986528177364</v>
      </c>
      <c r="H59" s="12">
        <f t="shared" si="3"/>
        <v>14.881814014115575</v>
      </c>
      <c r="I59" s="12">
        <f t="shared" si="3"/>
        <v>15.1816900532231</v>
      </c>
      <c r="J59" s="12">
        <f t="shared" si="3"/>
        <v>15.922770972706745</v>
      </c>
      <c r="K59" s="12"/>
      <c r="L59" s="12"/>
    </row>
    <row r="60" spans="3:12" x14ac:dyDescent="0.25">
      <c r="C60" s="1" t="s">
        <v>5</v>
      </c>
      <c r="D60" s="12">
        <f t="shared" si="3"/>
        <v>14.627785891004915</v>
      </c>
      <c r="E60" s="12">
        <f t="shared" si="3"/>
        <v>14.921165235820521</v>
      </c>
      <c r="F60" s="12">
        <f t="shared" si="3"/>
        <v>14.853375715070857</v>
      </c>
      <c r="G60" s="12">
        <f t="shared" si="3"/>
        <v>15.008913690912502</v>
      </c>
      <c r="H60" s="12">
        <f t="shared" si="3"/>
        <v>14.85912472493845</v>
      </c>
      <c r="I60" s="12">
        <f t="shared" si="3"/>
        <v>15.166801917489879</v>
      </c>
      <c r="J60" s="12">
        <f t="shared" si="3"/>
        <v>15.99609533071353</v>
      </c>
      <c r="K60" s="12" t="e">
        <f t="shared" si="3"/>
        <v>#DIV/0!</v>
      </c>
      <c r="L60" s="12" t="e">
        <f t="shared" si="3"/>
        <v>#DIV/0!</v>
      </c>
    </row>
    <row r="61" spans="3:12" x14ac:dyDescent="0.25">
      <c r="C61" s="1" t="s">
        <v>6</v>
      </c>
      <c r="D61" s="12"/>
      <c r="E61" s="12">
        <f t="shared" si="3"/>
        <v>14.504279940822451</v>
      </c>
      <c r="F61" s="12">
        <f t="shared" si="3"/>
        <v>14.424749031500463</v>
      </c>
      <c r="G61" s="12">
        <f t="shared" si="3"/>
        <v>14.559635761992233</v>
      </c>
      <c r="H61" s="12">
        <f t="shared" si="3"/>
        <v>14.464993885827996</v>
      </c>
      <c r="I61" s="12">
        <f t="shared" si="3"/>
        <v>14.491350598995874</v>
      </c>
      <c r="J61" s="12">
        <f t="shared" si="3"/>
        <v>15.368497729593006</v>
      </c>
      <c r="K61" s="12"/>
      <c r="L61" s="12"/>
    </row>
    <row r="62" spans="3:12" x14ac:dyDescent="0.25">
      <c r="C62" s="1" t="s">
        <v>7</v>
      </c>
      <c r="D62" s="12"/>
      <c r="E62" s="12">
        <f t="shared" si="3"/>
        <v>14.354502227663225</v>
      </c>
      <c r="F62" s="12">
        <f t="shared" si="3"/>
        <v>14.424979488953337</v>
      </c>
      <c r="G62" s="12">
        <f t="shared" si="3"/>
        <v>14.568367354270803</v>
      </c>
      <c r="H62" s="12">
        <f t="shared" si="3"/>
        <v>14.428002717520032</v>
      </c>
      <c r="I62" s="12">
        <f t="shared" si="3"/>
        <v>14.484914276656067</v>
      </c>
      <c r="J62" s="12">
        <f t="shared" si="3"/>
        <v>15.363132792997972</v>
      </c>
      <c r="K62" s="12"/>
      <c r="L62" s="12"/>
    </row>
    <row r="63" spans="3:12" x14ac:dyDescent="0.25">
      <c r="C63" s="1" t="s">
        <v>8</v>
      </c>
      <c r="D63" s="12">
        <f t="shared" si="3"/>
        <v>23.82903613771013</v>
      </c>
      <c r="E63" s="12">
        <f t="shared" si="3"/>
        <v>24.314972322446113</v>
      </c>
      <c r="F63" s="12">
        <f t="shared" si="3"/>
        <v>23.996960902823201</v>
      </c>
      <c r="G63" s="12">
        <f t="shared" si="3"/>
        <v>24.034022447340234</v>
      </c>
      <c r="H63" s="12">
        <f t="shared" si="3"/>
        <v>24.07159872201062</v>
      </c>
      <c r="I63" s="12">
        <f t="shared" si="3"/>
        <v>24.062504030313118</v>
      </c>
      <c r="J63" s="12">
        <f t="shared" si="3"/>
        <v>24.281458864468853</v>
      </c>
      <c r="K63" s="12" t="e">
        <f t="shared" si="3"/>
        <v>#DIV/0!</v>
      </c>
      <c r="L63" s="12" t="e">
        <f t="shared" si="3"/>
        <v>#DIV/0!</v>
      </c>
    </row>
    <row r="64" spans="3:12" x14ac:dyDescent="0.25">
      <c r="C64" s="1" t="s">
        <v>9</v>
      </c>
      <c r="D64" s="12">
        <f t="shared" si="3"/>
        <v>9.7356270152597624</v>
      </c>
      <c r="E64" s="12">
        <f t="shared" si="3"/>
        <v>10.288874803422392</v>
      </c>
      <c r="F64" s="12">
        <f t="shared" si="3"/>
        <v>10.02097718052822</v>
      </c>
      <c r="G64" s="12">
        <f t="shared" si="3"/>
        <v>10.034662438621629</v>
      </c>
      <c r="H64" s="12">
        <f t="shared" si="3"/>
        <v>10.109704377709219</v>
      </c>
      <c r="I64" s="12">
        <f t="shared" si="3"/>
        <v>13.384060530913917</v>
      </c>
      <c r="J64" s="12">
        <f t="shared" si="3"/>
        <v>15.596465969710119</v>
      </c>
      <c r="K64" s="12" t="e">
        <f t="shared" si="3"/>
        <v>#DIV/0!</v>
      </c>
      <c r="L64" s="12" t="e">
        <f t="shared" si="3"/>
        <v>#DIV/0!</v>
      </c>
    </row>
    <row r="65" spans="3:12" x14ac:dyDescent="0.25">
      <c r="C65" s="1" t="s">
        <v>10</v>
      </c>
      <c r="D65" s="12"/>
      <c r="E65" s="12">
        <f t="shared" si="3"/>
        <v>24.027257856477426</v>
      </c>
      <c r="F65" s="12">
        <f t="shared" si="3"/>
        <v>23.682781843141264</v>
      </c>
      <c r="G65" s="12">
        <f t="shared" si="3"/>
        <v>23.796745059518766</v>
      </c>
      <c r="H65" s="12">
        <f t="shared" si="3"/>
        <v>24.049674697138116</v>
      </c>
      <c r="I65" s="12">
        <f t="shared" si="3"/>
        <v>23.951696968876494</v>
      </c>
      <c r="J65" s="12">
        <f t="shared" si="3"/>
        <v>24.43969537590127</v>
      </c>
      <c r="K65" s="12"/>
      <c r="L65" s="12"/>
    </row>
    <row r="66" spans="3:12" x14ac:dyDescent="0.25">
      <c r="C66" s="1" t="s">
        <v>16</v>
      </c>
      <c r="D66" s="12">
        <f t="shared" si="3"/>
        <v>14.470863128891372</v>
      </c>
      <c r="E66" s="12">
        <f t="shared" si="3"/>
        <v>14.484248631800162</v>
      </c>
      <c r="F66" s="12">
        <f t="shared" si="3"/>
        <v>14.388196551946795</v>
      </c>
      <c r="G66" s="12">
        <f t="shared" si="3"/>
        <v>14.596135999915759</v>
      </c>
      <c r="H66" s="12">
        <f t="shared" si="3"/>
        <v>14.750495604338154</v>
      </c>
      <c r="I66" s="12">
        <f t="shared" si="3"/>
        <v>14.940656866135958</v>
      </c>
      <c r="J66" s="12">
        <f t="shared" si="3"/>
        <v>15.774984235449701</v>
      </c>
      <c r="K66" s="12"/>
      <c r="L66" s="12"/>
    </row>
    <row r="67" spans="3:12" x14ac:dyDescent="0.25">
      <c r="C67" s="1" t="s">
        <v>17</v>
      </c>
      <c r="D67" s="12">
        <f t="shared" si="3"/>
        <v>23.475075348317645</v>
      </c>
      <c r="E67" s="12">
        <f t="shared" si="3"/>
        <v>23.723483386511322</v>
      </c>
      <c r="F67" s="12">
        <f t="shared" si="3"/>
        <v>23.253478255522584</v>
      </c>
      <c r="G67" s="12">
        <f t="shared" si="3"/>
        <v>23.397515079614163</v>
      </c>
      <c r="H67" s="12">
        <f t="shared" si="3"/>
        <v>23.486913329161627</v>
      </c>
      <c r="I67" s="12">
        <f t="shared" si="3"/>
        <v>23.48262126543225</v>
      </c>
      <c r="J67" s="12">
        <f t="shared" si="3"/>
        <v>23.801799685343884</v>
      </c>
      <c r="K67" s="12"/>
      <c r="L67" s="12"/>
    </row>
    <row r="68" spans="3:12" x14ac:dyDescent="0.25">
      <c r="C68" s="1"/>
      <c r="D68" s="12"/>
      <c r="E68" s="12"/>
      <c r="F68" s="12"/>
      <c r="G68" s="12"/>
      <c r="H68" s="12"/>
      <c r="I68" s="12"/>
      <c r="J68" s="12"/>
      <c r="K68" s="12"/>
      <c r="L68" s="12"/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4">
        <v>42</v>
      </c>
      <c r="E88" s="4">
        <v>84</v>
      </c>
      <c r="F88" s="4">
        <v>168</v>
      </c>
      <c r="G88" s="4">
        <v>336</v>
      </c>
      <c r="H88" s="4">
        <v>672</v>
      </c>
      <c r="I88" s="4">
        <v>1344</v>
      </c>
      <c r="J88" s="4">
        <v>2688</v>
      </c>
      <c r="K88" s="4">
        <v>5376</v>
      </c>
      <c r="L88" s="4">
        <v>10752</v>
      </c>
    </row>
    <row r="89" spans="3:12" x14ac:dyDescent="0.25">
      <c r="C89" s="1" t="s">
        <v>1</v>
      </c>
      <c r="D89" s="1">
        <v>6802.043307999993</v>
      </c>
      <c r="E89" s="1">
        <v>33907.929224000007</v>
      </c>
      <c r="F89" s="1">
        <v>75921.3639460001</v>
      </c>
      <c r="G89" s="1">
        <v>343506.18500100006</v>
      </c>
      <c r="H89" s="1">
        <v>177061789.79750001</v>
      </c>
      <c r="I89" s="1">
        <v>4403729.1214319998</v>
      </c>
      <c r="J89" s="1">
        <v>80012173.96206899</v>
      </c>
      <c r="K89" s="1"/>
      <c r="L89" s="1"/>
    </row>
    <row r="90" spans="3:12" x14ac:dyDescent="0.25">
      <c r="C90" s="1" t="s">
        <v>2</v>
      </c>
      <c r="D90" s="1">
        <v>116.69205844</v>
      </c>
      <c r="E90" s="1">
        <v>111.35494035999986</v>
      </c>
      <c r="F90" s="1">
        <v>543.77592796000033</v>
      </c>
      <c r="G90" s="1">
        <v>486.01292476000003</v>
      </c>
      <c r="H90" s="1">
        <v>887.14721499999803</v>
      </c>
      <c r="I90" s="1">
        <v>17325.894399000004</v>
      </c>
      <c r="J90" s="1">
        <v>227337.61786800018</v>
      </c>
      <c r="K90" s="1"/>
      <c r="L90" s="1"/>
    </row>
    <row r="91" spans="3:12" x14ac:dyDescent="0.25">
      <c r="C91" s="1" t="s">
        <v>4</v>
      </c>
      <c r="D91" s="1">
        <v>48.237471457600044</v>
      </c>
      <c r="E91" s="1">
        <v>53.374606760000098</v>
      </c>
      <c r="F91" s="1">
        <v>197.97641295999961</v>
      </c>
      <c r="G91" s="1">
        <v>498.44332323999976</v>
      </c>
      <c r="H91" s="6">
        <v>1536.7717130000065</v>
      </c>
      <c r="I91" s="1">
        <v>7342.9802520000021</v>
      </c>
      <c r="J91" s="1">
        <v>57855.650768999971</v>
      </c>
      <c r="K91" s="1"/>
      <c r="L91" s="1"/>
    </row>
    <row r="92" spans="3:12" x14ac:dyDescent="0.25">
      <c r="C92" s="1" t="s">
        <v>5</v>
      </c>
      <c r="D92" s="1">
        <v>54.353348168400018</v>
      </c>
      <c r="E92" s="1">
        <v>52.739970960000022</v>
      </c>
      <c r="F92" s="1">
        <v>207.8335899999999</v>
      </c>
      <c r="G92" s="1">
        <v>785.9762919999996</v>
      </c>
      <c r="H92" s="1">
        <v>1377.7044900000039</v>
      </c>
      <c r="I92" s="1">
        <v>7163.2595599999759</v>
      </c>
      <c r="J92" s="1">
        <v>13424.890458000007</v>
      </c>
      <c r="K92" s="1"/>
      <c r="L92" s="1"/>
    </row>
    <row r="93" spans="3:12" x14ac:dyDescent="0.25">
      <c r="C93" s="1" t="s">
        <v>6</v>
      </c>
      <c r="D93" s="1"/>
      <c r="E93" s="1">
        <v>80.26510343999999</v>
      </c>
      <c r="F93" s="1">
        <v>204.2733726400001</v>
      </c>
      <c r="G93" s="1">
        <v>555.13008303999982</v>
      </c>
      <c r="H93" s="1">
        <v>2247.9311479999969</v>
      </c>
      <c r="I93" s="1">
        <v>3984.9858010000048</v>
      </c>
      <c r="J93" s="1">
        <v>5137.7514970000293</v>
      </c>
      <c r="K93" s="1"/>
      <c r="L93" s="1"/>
    </row>
    <row r="94" spans="3:12" x14ac:dyDescent="0.25">
      <c r="C94" s="1" t="s">
        <v>7</v>
      </c>
      <c r="D94" s="1"/>
      <c r="E94" s="1">
        <v>2930.8374612400016</v>
      </c>
      <c r="F94" s="1">
        <v>187.49212944000004</v>
      </c>
      <c r="G94" s="1">
        <v>653.52661700000226</v>
      </c>
      <c r="H94" s="1">
        <v>18500.450388000008</v>
      </c>
      <c r="I94" s="1">
        <v>6327.2123650000094</v>
      </c>
      <c r="J94" s="1">
        <v>8666.9936199999665</v>
      </c>
      <c r="K94" s="1"/>
      <c r="L94" s="1"/>
    </row>
    <row r="95" spans="3:12" x14ac:dyDescent="0.25">
      <c r="C95" s="1" t="s">
        <v>8</v>
      </c>
      <c r="D95" s="1">
        <v>420.80370355039997</v>
      </c>
      <c r="E95" s="1">
        <v>126.2758983199999</v>
      </c>
      <c r="F95" s="1">
        <v>292.73158036000007</v>
      </c>
      <c r="G95" s="1">
        <v>135.31768043999995</v>
      </c>
      <c r="H95" s="1">
        <v>802.54317864000041</v>
      </c>
      <c r="I95" s="1">
        <v>1230.8642815600022</v>
      </c>
      <c r="J95" s="1">
        <v>2102.3650550000152</v>
      </c>
      <c r="K95" s="1"/>
      <c r="L95" s="4"/>
    </row>
    <row r="96" spans="3:12" x14ac:dyDescent="0.25">
      <c r="C96" s="1" t="s">
        <v>9</v>
      </c>
      <c r="D96" s="1">
        <v>322.78392200000002</v>
      </c>
      <c r="E96" s="1">
        <v>239.33621144000031</v>
      </c>
      <c r="F96" s="1">
        <v>363.1276663599989</v>
      </c>
      <c r="G96" s="1">
        <v>682.78439000000014</v>
      </c>
      <c r="H96" s="1">
        <v>1087793.1446740003</v>
      </c>
      <c r="I96" s="1">
        <v>626616.70326600003</v>
      </c>
      <c r="J96" s="1">
        <v>20370.716296000042</v>
      </c>
      <c r="K96" s="1"/>
      <c r="L96" s="1"/>
    </row>
    <row r="97" spans="3:12" x14ac:dyDescent="0.25">
      <c r="C97" s="1" t="s">
        <v>10</v>
      </c>
      <c r="D97" s="1"/>
      <c r="E97" s="1">
        <v>633.42138400000056</v>
      </c>
      <c r="F97" s="1">
        <v>330.30754900000085</v>
      </c>
      <c r="G97" s="1">
        <v>301.94666883999986</v>
      </c>
      <c r="H97" s="1">
        <v>4014.3245891600054</v>
      </c>
      <c r="I97" s="1">
        <v>5734.044065000001</v>
      </c>
      <c r="J97" s="1">
        <v>1545.8799219999798</v>
      </c>
      <c r="K97" s="1"/>
      <c r="L97" s="1"/>
    </row>
    <row r="98" spans="3:12" x14ac:dyDescent="0.25">
      <c r="C98" s="1" t="s">
        <v>16</v>
      </c>
      <c r="D98" s="1">
        <v>263.99015024000028</v>
      </c>
      <c r="E98" s="1">
        <v>131.70370536000007</v>
      </c>
      <c r="F98" s="1">
        <v>346.02492083999988</v>
      </c>
      <c r="G98" s="1">
        <v>1621.102336559997</v>
      </c>
      <c r="H98" s="1">
        <v>530.49904300000026</v>
      </c>
      <c r="I98" s="1">
        <v>664.23415500000442</v>
      </c>
      <c r="J98" s="1">
        <v>753568.69238999998</v>
      </c>
      <c r="K98" s="1"/>
      <c r="L98" s="1"/>
    </row>
    <row r="99" spans="3:12" x14ac:dyDescent="0.25">
      <c r="C99" s="1" t="s">
        <v>17</v>
      </c>
      <c r="D99" s="1">
        <v>220.43460759560003</v>
      </c>
      <c r="E99" s="1">
        <v>169.77124763999979</v>
      </c>
      <c r="F99" s="1">
        <v>517.86842815999944</v>
      </c>
      <c r="G99" s="1">
        <v>129.36776500000022</v>
      </c>
      <c r="H99" s="1">
        <v>3307.3775796400046</v>
      </c>
      <c r="I99" s="1">
        <v>15144.172698000011</v>
      </c>
      <c r="J99" s="1">
        <v>55007.059722999977</v>
      </c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">
        <v>22.860765329276603</v>
      </c>
      <c r="E112" s="1">
        <v>51.041297183147378</v>
      </c>
      <c r="F112" s="1">
        <v>76.375324776390173</v>
      </c>
      <c r="G112" s="1">
        <v>162.45697032136491</v>
      </c>
      <c r="H112" s="1">
        <v>3688.3616191639235</v>
      </c>
      <c r="I112" s="1">
        <v>581.67629817439126</v>
      </c>
      <c r="J112" s="1">
        <v>2479.4143158927041</v>
      </c>
      <c r="K112" s="1"/>
      <c r="L112" s="1"/>
    </row>
    <row r="113" spans="3:12" x14ac:dyDescent="0.25">
      <c r="C113" s="1" t="s">
        <v>2</v>
      </c>
      <c r="D113" s="1">
        <v>2.9942752435375874</v>
      </c>
      <c r="E113" s="1">
        <v>2.9249996201263873</v>
      </c>
      <c r="F113" s="1">
        <v>6.4636980202530152</v>
      </c>
      <c r="G113" s="1">
        <v>6.1107565026893624</v>
      </c>
      <c r="H113" s="1">
        <v>8.2559853938145888</v>
      </c>
      <c r="I113" s="1">
        <v>36.485382257336539</v>
      </c>
      <c r="J113" s="1">
        <v>132.16203636458613</v>
      </c>
      <c r="K113" s="1"/>
      <c r="L113" s="1"/>
    </row>
    <row r="114" spans="3:12" x14ac:dyDescent="0.25">
      <c r="C114" s="1" t="s">
        <v>4</v>
      </c>
      <c r="D114" s="1">
        <v>1.9251445158819442</v>
      </c>
      <c r="E114" s="1">
        <v>2.0250624154786752</v>
      </c>
      <c r="F114" s="1">
        <v>3.9001184290406732</v>
      </c>
      <c r="G114" s="1">
        <v>6.1884083099918081</v>
      </c>
      <c r="H114" s="6">
        <v>10.866151308223925</v>
      </c>
      <c r="I114" s="1">
        <v>23.752386379512775</v>
      </c>
      <c r="J114" s="1">
        <v>66.672073313223166</v>
      </c>
      <c r="K114" s="1"/>
      <c r="L114" s="1"/>
    </row>
    <row r="115" spans="3:12" x14ac:dyDescent="0.25">
      <c r="C115" s="1" t="s">
        <v>5</v>
      </c>
      <c r="D115" s="1">
        <v>2.0435450683737097</v>
      </c>
      <c r="E115" s="1">
        <v>2.0129871953886642</v>
      </c>
      <c r="F115" s="1">
        <v>3.9960318300634183</v>
      </c>
      <c r="G115" s="1">
        <v>7.7709800197236358</v>
      </c>
      <c r="H115" s="1">
        <v>10.288429976224766</v>
      </c>
      <c r="I115" s="1">
        <v>23.459913864162377</v>
      </c>
      <c r="J115" s="1">
        <v>32.116369403608751</v>
      </c>
      <c r="K115" s="1"/>
      <c r="L115" s="1"/>
    </row>
    <row r="116" spans="3:12" x14ac:dyDescent="0.25">
      <c r="C116" s="1" t="s">
        <v>6</v>
      </c>
      <c r="D116" s="1"/>
      <c r="E116" s="1">
        <v>2.4833301084435146</v>
      </c>
      <c r="F116" s="1">
        <v>3.961657704380388</v>
      </c>
      <c r="G116" s="1">
        <v>6.5308310757612817</v>
      </c>
      <c r="H116" s="1">
        <v>13.142033555090922</v>
      </c>
      <c r="I116" s="1">
        <v>17.497840697138386</v>
      </c>
      <c r="J116" s="1">
        <v>19.86815852104835</v>
      </c>
      <c r="K116" s="1"/>
      <c r="L116" s="1"/>
    </row>
    <row r="117" spans="3:12" x14ac:dyDescent="0.25">
      <c r="C117" s="1" t="s">
        <v>7</v>
      </c>
      <c r="D117" s="1"/>
      <c r="E117" s="1">
        <v>15.006068899681614</v>
      </c>
      <c r="F117" s="1">
        <v>3.7954440173890172</v>
      </c>
      <c r="G117" s="1">
        <v>7.0860254753524679</v>
      </c>
      <c r="H117" s="1">
        <v>37.701811683403449</v>
      </c>
      <c r="I117" s="1">
        <v>22.048409929690635</v>
      </c>
      <c r="J117" s="1">
        <v>25.805085812913649</v>
      </c>
      <c r="K117" s="1"/>
      <c r="L117" s="1"/>
    </row>
    <row r="118" spans="3:12" x14ac:dyDescent="0.25">
      <c r="C118" s="1" t="s">
        <v>8</v>
      </c>
      <c r="D118" s="1">
        <v>11.272396125663001</v>
      </c>
      <c r="E118" s="1">
        <v>11.183894983073245</v>
      </c>
      <c r="F118" s="1">
        <v>5.9186284634059225</v>
      </c>
      <c r="G118" s="1">
        <v>6.2283303061414594</v>
      </c>
      <c r="H118" s="1">
        <v>5.8696310347519232</v>
      </c>
      <c r="I118" s="1">
        <v>8.4204983486955278</v>
      </c>
      <c r="J118" s="1">
        <v>34.585286844854892</v>
      </c>
      <c r="K118" s="1"/>
      <c r="L118" s="4"/>
    </row>
    <row r="119" spans="3:12" x14ac:dyDescent="0.25">
      <c r="C119" s="1" t="s">
        <v>9</v>
      </c>
      <c r="D119" s="1">
        <v>4.9799733227301521</v>
      </c>
      <c r="E119" s="1">
        <v>4.2882023969675345</v>
      </c>
      <c r="F119" s="1">
        <v>5.2820284798334276</v>
      </c>
      <c r="G119" s="1">
        <v>7.2429062021042361</v>
      </c>
      <c r="H119" s="1">
        <v>289.09742802659588</v>
      </c>
      <c r="I119" s="1">
        <v>219.41789932759201</v>
      </c>
      <c r="J119" s="1">
        <v>39.561633869877959</v>
      </c>
      <c r="K119" s="1"/>
      <c r="L119" s="1"/>
    </row>
    <row r="120" spans="3:12" x14ac:dyDescent="0.25">
      <c r="C120" s="1" t="s">
        <v>10</v>
      </c>
      <c r="D120" s="1"/>
      <c r="E120" s="1">
        <v>6.9761760137978204</v>
      </c>
      <c r="F120" s="1">
        <v>5.0376770048076782</v>
      </c>
      <c r="G120" s="1">
        <v>4.8165513036107965</v>
      </c>
      <c r="H120" s="1">
        <v>17.562135030637407</v>
      </c>
      <c r="I120" s="1">
        <v>20.989475305544918</v>
      </c>
      <c r="J120" s="1">
        <v>10.898304738219721</v>
      </c>
      <c r="K120" s="1"/>
      <c r="L120" s="1"/>
    </row>
    <row r="121" spans="3:12" x14ac:dyDescent="0.25">
      <c r="C121" s="1" t="s">
        <v>16</v>
      </c>
      <c r="D121" s="1">
        <v>4.5036530975686508</v>
      </c>
      <c r="E121" s="1">
        <v>3.1810468544520885</v>
      </c>
      <c r="F121" s="1">
        <v>5.1561406805845467</v>
      </c>
      <c r="G121" s="1">
        <v>11.160310691131215</v>
      </c>
      <c r="H121" s="1">
        <v>6.3843012516465745</v>
      </c>
      <c r="I121" s="1">
        <v>7.1438392057044746</v>
      </c>
      <c r="J121" s="1">
        <v>240.62042675905232</v>
      </c>
      <c r="K121" s="1"/>
      <c r="L121" s="1"/>
    </row>
    <row r="122" spans="3:12" x14ac:dyDescent="0.25">
      <c r="C122" s="1" t="s">
        <v>17</v>
      </c>
      <c r="D122" s="1">
        <v>4.1153896256351157</v>
      </c>
      <c r="E122" s="1">
        <v>3.611629064380292</v>
      </c>
      <c r="F122" s="1">
        <v>6.3078417126929454</v>
      </c>
      <c r="G122" s="1">
        <v>3.1527105989100899</v>
      </c>
      <c r="H122" s="1">
        <v>15.940904434783517</v>
      </c>
      <c r="I122" s="1">
        <v>34.110952445405815</v>
      </c>
      <c r="J122" s="1">
        <v>65.010017786780637</v>
      </c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3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D50 D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1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 H6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 I6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 K62 K68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5 L62 L68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2" sqref="C12:J13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25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</row>
    <row r="3" spans="1:13" x14ac:dyDescent="0.25">
      <c r="A3">
        <v>1</v>
      </c>
      <c r="C3" s="1" t="s">
        <v>1</v>
      </c>
      <c r="D3" s="10">
        <v>13775.68</v>
      </c>
      <c r="E3" s="10">
        <v>24819.016000000011</v>
      </c>
      <c r="F3" s="10">
        <v>47399.626000000004</v>
      </c>
      <c r="G3" s="10">
        <v>96405.03</v>
      </c>
      <c r="H3" s="10">
        <v>197567.46</v>
      </c>
      <c r="I3" s="10">
        <v>376437.82</v>
      </c>
      <c r="J3" s="10">
        <v>762594.84</v>
      </c>
      <c r="K3" s="10"/>
      <c r="L3" s="10"/>
    </row>
    <row r="4" spans="1:13" x14ac:dyDescent="0.25">
      <c r="C4" s="1" t="s">
        <v>2</v>
      </c>
      <c r="D4" s="10">
        <v>1021.2763999999999</v>
      </c>
      <c r="E4" s="10">
        <v>1875.4454000000003</v>
      </c>
      <c r="F4" s="10">
        <v>3606.0204000000008</v>
      </c>
      <c r="G4" s="10">
        <v>7106.4438000000009</v>
      </c>
      <c r="H4" s="10">
        <v>14355.808000000001</v>
      </c>
      <c r="I4" s="10">
        <v>27843.877999999993</v>
      </c>
      <c r="J4" s="10">
        <v>54934.597999999998</v>
      </c>
      <c r="K4" s="10"/>
      <c r="L4" s="10"/>
    </row>
    <row r="5" spans="1:13" x14ac:dyDescent="0.25">
      <c r="C5" s="1" t="s">
        <v>4</v>
      </c>
      <c r="D5" s="10">
        <v>936.52015999999992</v>
      </c>
      <c r="E5" s="10">
        <v>1796.2391999999998</v>
      </c>
      <c r="F5" s="10">
        <v>3518.9700000000012</v>
      </c>
      <c r="G5" s="10">
        <v>7123.3737999999976</v>
      </c>
      <c r="H5" s="11">
        <v>14467.484000000004</v>
      </c>
      <c r="I5" s="10">
        <v>27997.418000000001</v>
      </c>
      <c r="J5" s="10">
        <v>54080.831999999995</v>
      </c>
      <c r="K5" s="10"/>
      <c r="L5" s="10"/>
    </row>
    <row r="6" spans="1:13" x14ac:dyDescent="0.25">
      <c r="C6" s="1" t="s">
        <v>5</v>
      </c>
      <c r="D6" s="10">
        <v>989.51166000000012</v>
      </c>
      <c r="E6" s="10">
        <v>1854.2993999999997</v>
      </c>
      <c r="F6" s="10">
        <v>3547.5267999999992</v>
      </c>
      <c r="G6" s="10">
        <v>7089.6243999999997</v>
      </c>
      <c r="H6" s="10">
        <v>14367.464</v>
      </c>
      <c r="I6" s="10">
        <v>27639.605999999992</v>
      </c>
      <c r="J6" s="10">
        <v>53463.301999999981</v>
      </c>
      <c r="K6" s="10"/>
      <c r="L6" s="10"/>
    </row>
    <row r="7" spans="1:13" x14ac:dyDescent="0.25">
      <c r="C7" s="1" t="s">
        <v>6</v>
      </c>
      <c r="D7" s="10"/>
      <c r="E7" s="10">
        <v>1907.0192000000002</v>
      </c>
      <c r="F7" s="10">
        <v>3649.6616000000008</v>
      </c>
      <c r="G7" s="10">
        <v>7350.9721999999983</v>
      </c>
      <c r="H7" s="10">
        <v>14737.54</v>
      </c>
      <c r="I7" s="10">
        <v>28823.407999999999</v>
      </c>
      <c r="J7" s="10">
        <v>55301.923999999985</v>
      </c>
      <c r="K7" s="10"/>
      <c r="L7" s="10"/>
    </row>
    <row r="8" spans="1:13" x14ac:dyDescent="0.25">
      <c r="C8" s="1" t="s">
        <v>7</v>
      </c>
      <c r="D8" s="10"/>
      <c r="E8" s="10">
        <v>1909.2300000000005</v>
      </c>
      <c r="F8" s="10">
        <v>3647.0057999999995</v>
      </c>
      <c r="G8" s="10">
        <v>7340.9409999999998</v>
      </c>
      <c r="H8" s="10">
        <v>14774.013999999997</v>
      </c>
      <c r="I8" s="10">
        <v>28806.065999999995</v>
      </c>
      <c r="J8" s="10">
        <v>55311.37799999999</v>
      </c>
      <c r="K8" s="10"/>
      <c r="L8" s="10"/>
    </row>
    <row r="9" spans="1:13" x14ac:dyDescent="0.25">
      <c r="C9" s="1" t="s">
        <v>8</v>
      </c>
      <c r="D9" s="10">
        <v>621.49761999999987</v>
      </c>
      <c r="E9" s="10">
        <v>1148.6859999999997</v>
      </c>
      <c r="F9" s="10">
        <v>2232.3669999999988</v>
      </c>
      <c r="G9" s="10">
        <v>4529.7836000000007</v>
      </c>
      <c r="H9" s="10">
        <v>9484.4037999999964</v>
      </c>
      <c r="I9" s="10">
        <v>19648.39</v>
      </c>
      <c r="J9" s="10">
        <v>36474.402000000009</v>
      </c>
      <c r="K9" s="10"/>
      <c r="L9" s="9"/>
    </row>
    <row r="10" spans="1:13" x14ac:dyDescent="0.25">
      <c r="C10" s="1" t="s">
        <v>9</v>
      </c>
      <c r="D10" s="10">
        <v>1858.1680000000001</v>
      </c>
      <c r="E10" s="10">
        <v>2420.1090000000004</v>
      </c>
      <c r="F10" s="10">
        <v>4527.1801999999998</v>
      </c>
      <c r="G10" s="10">
        <v>8310.85</v>
      </c>
      <c r="H10" s="10">
        <v>15832.002</v>
      </c>
      <c r="I10" s="10">
        <v>27962.48</v>
      </c>
      <c r="J10" s="10">
        <v>51638.590000000011</v>
      </c>
      <c r="K10" s="10"/>
      <c r="L10" s="10"/>
    </row>
    <row r="11" spans="1:13" x14ac:dyDescent="0.25">
      <c r="C11" s="1" t="s">
        <v>10</v>
      </c>
      <c r="D11" s="10"/>
      <c r="E11" s="10">
        <v>1191.7366000000002</v>
      </c>
      <c r="F11" s="10">
        <v>2306.6169999999997</v>
      </c>
      <c r="G11" s="10">
        <v>4894.3002000000006</v>
      </c>
      <c r="H11" s="10">
        <v>9785.1589999999997</v>
      </c>
      <c r="I11" s="10">
        <v>18785.994000000002</v>
      </c>
      <c r="J11" s="10">
        <v>57289.881999999983</v>
      </c>
      <c r="K11" s="10"/>
      <c r="L11" s="10"/>
    </row>
    <row r="12" spans="1:13" x14ac:dyDescent="0.25">
      <c r="C12" s="1" t="s">
        <v>16</v>
      </c>
      <c r="D12" s="10">
        <v>980.75398000000018</v>
      </c>
      <c r="E12" s="10">
        <v>1822.0432000000001</v>
      </c>
      <c r="F12" s="10">
        <v>3521.0431999999987</v>
      </c>
      <c r="G12" s="10">
        <v>6913.7883999999995</v>
      </c>
      <c r="H12" s="10">
        <v>14600.704000000002</v>
      </c>
      <c r="I12" s="10">
        <v>27769.686000000005</v>
      </c>
      <c r="J12" s="10">
        <v>53720.156000000003</v>
      </c>
      <c r="K12" s="10"/>
      <c r="L12" s="10"/>
    </row>
    <row r="13" spans="1:13" x14ac:dyDescent="0.25">
      <c r="C13" s="1" t="s">
        <v>17</v>
      </c>
      <c r="D13" s="10">
        <v>585.59821999999997</v>
      </c>
      <c r="E13" s="10">
        <v>1094.3245999999999</v>
      </c>
      <c r="F13" s="10">
        <v>2120.4718000000007</v>
      </c>
      <c r="G13" s="10">
        <v>4187.7103999999999</v>
      </c>
      <c r="H13" s="10">
        <v>9455.6193999999996</v>
      </c>
      <c r="I13" s="10">
        <v>19091.787999999997</v>
      </c>
      <c r="J13" s="10">
        <v>39015.478000000003</v>
      </c>
      <c r="K13" s="10"/>
      <c r="L13" s="10"/>
    </row>
    <row r="14" spans="1:13" x14ac:dyDescent="0.25">
      <c r="C14" s="1"/>
      <c r="D14" s="10"/>
      <c r="E14" s="10"/>
      <c r="F14" s="10"/>
      <c r="G14" s="10"/>
      <c r="H14" s="10"/>
      <c r="I14" s="10"/>
      <c r="J14" s="10"/>
      <c r="K14" s="10"/>
      <c r="L14" s="10"/>
    </row>
    <row r="15" spans="1:13" x14ac:dyDescent="0.25">
      <c r="C15" s="1"/>
      <c r="D15" s="10"/>
      <c r="E15" s="10"/>
      <c r="F15" s="10"/>
      <c r="G15" s="10"/>
      <c r="H15" s="10"/>
      <c r="I15" s="10"/>
      <c r="J15" s="10"/>
      <c r="K15" s="10"/>
      <c r="L15" s="10"/>
    </row>
    <row r="16" spans="1:13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327.99238095238098</v>
      </c>
      <c r="E32" s="5">
        <f t="shared" ref="E32:L32" si="0">E3/E$2</f>
        <v>295.46447619047632</v>
      </c>
      <c r="F32" s="5">
        <f t="shared" si="0"/>
        <v>282.140630952381</v>
      </c>
      <c r="G32" s="5">
        <f t="shared" si="0"/>
        <v>286.91973214285713</v>
      </c>
      <c r="H32" s="5">
        <f t="shared" si="0"/>
        <v>293.99919642857139</v>
      </c>
      <c r="I32" s="5">
        <f t="shared" si="0"/>
        <v>280.08766369047618</v>
      </c>
      <c r="J32" s="5">
        <f t="shared" si="0"/>
        <v>283.70343750000001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</v>
      </c>
      <c r="D33" s="5">
        <f t="shared" ref="D33:L37" si="1">D4/D$2</f>
        <v>24.316104761904757</v>
      </c>
      <c r="E33" s="5">
        <f t="shared" si="1"/>
        <v>22.326730952380956</v>
      </c>
      <c r="F33" s="5">
        <f t="shared" si="1"/>
        <v>21.464407142857148</v>
      </c>
      <c r="G33" s="5">
        <f t="shared" si="1"/>
        <v>21.15013035714286</v>
      </c>
      <c r="H33" s="5">
        <f t="shared" si="1"/>
        <v>21.362809523809524</v>
      </c>
      <c r="I33" s="5">
        <f t="shared" si="1"/>
        <v>20.717171130952377</v>
      </c>
      <c r="J33" s="5">
        <f t="shared" si="1"/>
        <v>20.436978422619045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4</v>
      </c>
      <c r="D34" s="5">
        <f t="shared" si="1"/>
        <v>22.298099047619047</v>
      </c>
      <c r="E34" s="5">
        <f t="shared" si="1"/>
        <v>21.383799999999997</v>
      </c>
      <c r="F34" s="5">
        <f t="shared" si="1"/>
        <v>20.946250000000006</v>
      </c>
      <c r="G34" s="5">
        <f t="shared" si="1"/>
        <v>21.200517261904753</v>
      </c>
      <c r="H34" s="5">
        <f t="shared" si="1"/>
        <v>21.528994047619054</v>
      </c>
      <c r="I34" s="5">
        <f t="shared" si="1"/>
        <v>20.831412202380953</v>
      </c>
      <c r="J34" s="5">
        <f t="shared" si="1"/>
        <v>20.11935714285714</v>
      </c>
      <c r="K34" s="5">
        <f t="shared" si="1"/>
        <v>0</v>
      </c>
      <c r="L34" s="5">
        <f t="shared" si="1"/>
        <v>0</v>
      </c>
    </row>
    <row r="35" spans="3:12" x14ac:dyDescent="0.25">
      <c r="C35" s="1" t="s">
        <v>5</v>
      </c>
      <c r="D35" s="5">
        <f t="shared" si="1"/>
        <v>23.559801428571433</v>
      </c>
      <c r="E35" s="5">
        <f t="shared" si="1"/>
        <v>22.074992857142853</v>
      </c>
      <c r="F35" s="5">
        <f t="shared" si="1"/>
        <v>21.116230952380949</v>
      </c>
      <c r="G35" s="5">
        <f t="shared" si="1"/>
        <v>21.100072619047619</v>
      </c>
      <c r="H35" s="5">
        <f t="shared" si="1"/>
        <v>21.380154761904762</v>
      </c>
      <c r="I35" s="5">
        <f t="shared" si="1"/>
        <v>20.565183035714281</v>
      </c>
      <c r="J35" s="5">
        <f t="shared" si="1"/>
        <v>19.889621279761897</v>
      </c>
      <c r="K35" s="5">
        <f t="shared" si="1"/>
        <v>0</v>
      </c>
      <c r="L35" s="5">
        <f t="shared" si="1"/>
        <v>0</v>
      </c>
    </row>
    <row r="36" spans="3:12" x14ac:dyDescent="0.25">
      <c r="C36" s="1" t="s">
        <v>6</v>
      </c>
      <c r="D36" s="5"/>
      <c r="E36" s="5">
        <f t="shared" si="1"/>
        <v>22.702609523809524</v>
      </c>
      <c r="F36" s="5">
        <f t="shared" si="1"/>
        <v>21.724176190476197</v>
      </c>
      <c r="G36" s="5">
        <f t="shared" si="1"/>
        <v>21.877893452380949</v>
      </c>
      <c r="H36" s="5">
        <f t="shared" si="1"/>
        <v>21.930863095238095</v>
      </c>
      <c r="I36" s="5">
        <f t="shared" si="1"/>
        <v>21.445988095238096</v>
      </c>
      <c r="J36" s="5">
        <f t="shared" si="1"/>
        <v>20.573632440476185</v>
      </c>
      <c r="K36" s="5">
        <f t="shared" si="1"/>
        <v>0</v>
      </c>
      <c r="L36" s="5">
        <f t="shared" si="1"/>
        <v>0</v>
      </c>
    </row>
    <row r="37" spans="3:12" x14ac:dyDescent="0.25">
      <c r="C37" s="1" t="s">
        <v>7</v>
      </c>
      <c r="D37" s="5"/>
      <c r="E37" s="5">
        <f t="shared" si="1"/>
        <v>22.728928571428575</v>
      </c>
      <c r="F37" s="5">
        <f t="shared" si="1"/>
        <v>21.708367857142854</v>
      </c>
      <c r="G37" s="5">
        <f t="shared" si="1"/>
        <v>21.848038690476191</v>
      </c>
      <c r="H37" s="5">
        <f t="shared" si="1"/>
        <v>21.985139880952378</v>
      </c>
      <c r="I37" s="5">
        <f t="shared" si="1"/>
        <v>21.433084821428569</v>
      </c>
      <c r="J37" s="5">
        <f t="shared" si="1"/>
        <v>20.577149553571424</v>
      </c>
      <c r="K37" s="5">
        <f t="shared" si="1"/>
        <v>0</v>
      </c>
      <c r="L37" s="5">
        <f t="shared" si="1"/>
        <v>0</v>
      </c>
    </row>
    <row r="38" spans="3:12" x14ac:dyDescent="0.25">
      <c r="C38" s="1" t="s">
        <v>8</v>
      </c>
      <c r="D38" s="5">
        <f t="shared" ref="D38:L42" si="2">D9/D$2</f>
        <v>14.797562380952378</v>
      </c>
      <c r="E38" s="5">
        <f t="shared" si="2"/>
        <v>13.67483333333333</v>
      </c>
      <c r="F38" s="5">
        <f t="shared" si="2"/>
        <v>13.287898809523803</v>
      </c>
      <c r="G38" s="5">
        <f t="shared" si="2"/>
        <v>13.481498809523812</v>
      </c>
      <c r="H38" s="5">
        <f t="shared" si="2"/>
        <v>14.113696130952375</v>
      </c>
      <c r="I38" s="5">
        <f t="shared" si="2"/>
        <v>14.619337797619048</v>
      </c>
      <c r="J38" s="5">
        <f t="shared" si="2"/>
        <v>13.56934598214286</v>
      </c>
      <c r="K38" s="5">
        <f t="shared" si="2"/>
        <v>0</v>
      </c>
      <c r="L38" s="5">
        <f t="shared" si="2"/>
        <v>0</v>
      </c>
    </row>
    <row r="39" spans="3:12" x14ac:dyDescent="0.25">
      <c r="C39" s="1" t="s">
        <v>9</v>
      </c>
      <c r="D39" s="5">
        <f t="shared" si="2"/>
        <v>44.242095238095239</v>
      </c>
      <c r="E39" s="5">
        <f t="shared" si="2"/>
        <v>28.810821428571433</v>
      </c>
      <c r="F39" s="5">
        <f t="shared" si="2"/>
        <v>26.947501190476189</v>
      </c>
      <c r="G39" s="5">
        <f t="shared" si="2"/>
        <v>24.734672619047622</v>
      </c>
      <c r="H39" s="5">
        <f t="shared" si="2"/>
        <v>23.559526785714286</v>
      </c>
      <c r="I39" s="5">
        <f t="shared" si="2"/>
        <v>20.805416666666666</v>
      </c>
      <c r="J39" s="5">
        <f t="shared" si="2"/>
        <v>19.210784970238098</v>
      </c>
      <c r="K39" s="5">
        <f t="shared" si="2"/>
        <v>0</v>
      </c>
      <c r="L39" s="5">
        <f t="shared" si="2"/>
        <v>0</v>
      </c>
    </row>
    <row r="40" spans="3:12" x14ac:dyDescent="0.25">
      <c r="C40" s="1" t="s">
        <v>10</v>
      </c>
      <c r="D40" s="5"/>
      <c r="E40" s="5">
        <f t="shared" si="2"/>
        <v>14.187340476190478</v>
      </c>
      <c r="F40" s="5">
        <f t="shared" si="2"/>
        <v>13.729863095238093</v>
      </c>
      <c r="G40" s="5">
        <f t="shared" si="2"/>
        <v>14.566369642857145</v>
      </c>
      <c r="H40" s="5">
        <f t="shared" si="2"/>
        <v>14.561248511904761</v>
      </c>
      <c r="I40" s="5">
        <f t="shared" si="2"/>
        <v>13.977674107142859</v>
      </c>
      <c r="J40" s="5">
        <f t="shared" si="2"/>
        <v>21.313200148809518</v>
      </c>
      <c r="K40" s="5">
        <f t="shared" si="2"/>
        <v>0</v>
      </c>
      <c r="L40" s="5">
        <f t="shared" si="2"/>
        <v>0</v>
      </c>
    </row>
    <row r="41" spans="3:12" x14ac:dyDescent="0.25">
      <c r="C41" s="1" t="s">
        <v>16</v>
      </c>
      <c r="D41" s="5">
        <f t="shared" si="2"/>
        <v>23.351285238095244</v>
      </c>
      <c r="E41" s="5">
        <f t="shared" si="2"/>
        <v>21.690990476190478</v>
      </c>
      <c r="F41" s="5">
        <f t="shared" si="2"/>
        <v>20.958590476190469</v>
      </c>
      <c r="G41" s="5">
        <f t="shared" si="2"/>
        <v>20.576751190476188</v>
      </c>
      <c r="H41" s="5">
        <f t="shared" si="2"/>
        <v>21.727238095238096</v>
      </c>
      <c r="I41" s="5">
        <f t="shared" si="2"/>
        <v>20.661968750000003</v>
      </c>
      <c r="J41" s="5">
        <f t="shared" si="2"/>
        <v>19.985177083333333</v>
      </c>
      <c r="K41" s="5"/>
      <c r="L41" s="5"/>
    </row>
    <row r="42" spans="3:12" x14ac:dyDescent="0.25">
      <c r="C42" s="1" t="s">
        <v>17</v>
      </c>
      <c r="D42" s="5">
        <f t="shared" si="2"/>
        <v>13.942814761904762</v>
      </c>
      <c r="E42" s="5">
        <f t="shared" si="2"/>
        <v>13.027673809523808</v>
      </c>
      <c r="F42" s="5">
        <f t="shared" si="2"/>
        <v>12.621855952380956</v>
      </c>
      <c r="G42" s="5">
        <f t="shared" si="2"/>
        <v>12.463423809523809</v>
      </c>
      <c r="H42" s="5">
        <f t="shared" si="2"/>
        <v>14.070862202380951</v>
      </c>
      <c r="I42" s="5">
        <f t="shared" si="2"/>
        <v>14.205199404761903</v>
      </c>
      <c r="J42" s="5">
        <f t="shared" si="2"/>
        <v>14.514686755952383</v>
      </c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4">
        <v>42</v>
      </c>
      <c r="E56" s="4">
        <v>84</v>
      </c>
      <c r="F56" s="4">
        <v>168</v>
      </c>
      <c r="G56" s="4">
        <v>336</v>
      </c>
      <c r="H56" s="4">
        <v>672</v>
      </c>
      <c r="I56" s="4">
        <v>1344</v>
      </c>
      <c r="J56" s="4">
        <v>2688</v>
      </c>
      <c r="K56" s="4">
        <v>5376</v>
      </c>
      <c r="L56" s="4">
        <v>10752</v>
      </c>
    </row>
    <row r="57" spans="3:12" x14ac:dyDescent="0.25">
      <c r="C57" s="1" t="s">
        <v>1</v>
      </c>
      <c r="D57" s="12">
        <f t="shared" ref="D57:L67" si="3">D$3/D3</f>
        <v>1</v>
      </c>
      <c r="E57" s="12">
        <f t="shared" si="3"/>
        <v>1</v>
      </c>
      <c r="F57" s="12">
        <f t="shared" si="3"/>
        <v>1</v>
      </c>
      <c r="G57" s="12">
        <f t="shared" si="3"/>
        <v>1</v>
      </c>
      <c r="H57" s="12">
        <f t="shared" si="3"/>
        <v>1</v>
      </c>
      <c r="I57" s="12">
        <f t="shared" si="3"/>
        <v>1</v>
      </c>
      <c r="J57" s="12">
        <f t="shared" si="3"/>
        <v>1</v>
      </c>
      <c r="K57" s="12" t="e">
        <f t="shared" si="3"/>
        <v>#DIV/0!</v>
      </c>
      <c r="L57" s="12" t="e">
        <f t="shared" si="3"/>
        <v>#DIV/0!</v>
      </c>
    </row>
    <row r="58" spans="3:12" x14ac:dyDescent="0.25">
      <c r="C58" s="1" t="s">
        <v>2</v>
      </c>
      <c r="D58" s="12">
        <f t="shared" si="3"/>
        <v>13.488689251998775</v>
      </c>
      <c r="E58" s="12">
        <f t="shared" si="3"/>
        <v>13.233664920343726</v>
      </c>
      <c r="F58" s="12">
        <f t="shared" si="3"/>
        <v>13.144580657391732</v>
      </c>
      <c r="G58" s="12">
        <f t="shared" si="3"/>
        <v>13.565861169548683</v>
      </c>
      <c r="H58" s="12">
        <f>H$3/H4</f>
        <v>13.7621971539324</v>
      </c>
      <c r="I58" s="12">
        <f>I$3/I4</f>
        <v>13.519590195015224</v>
      </c>
      <c r="J58" s="12">
        <f>J$3/J4</f>
        <v>13.881868035149724</v>
      </c>
      <c r="K58" s="12" t="e">
        <f>K$3/K4</f>
        <v>#DIV/0!</v>
      </c>
      <c r="L58" s="12" t="e">
        <f>L$3/L4</f>
        <v>#DIV/0!</v>
      </c>
    </row>
    <row r="59" spans="3:12" x14ac:dyDescent="0.25">
      <c r="C59" s="1" t="s">
        <v>4</v>
      </c>
      <c r="D59" s="12">
        <f t="shared" si="3"/>
        <v>14.709432416276016</v>
      </c>
      <c r="E59" s="12">
        <f t="shared" si="3"/>
        <v>13.817210981699995</v>
      </c>
      <c r="F59" s="12">
        <f t="shared" si="3"/>
        <v>13.469744271761336</v>
      </c>
      <c r="G59" s="12">
        <f t="shared" si="3"/>
        <v>13.533619420617802</v>
      </c>
      <c r="H59" s="12">
        <f t="shared" si="3"/>
        <v>13.655965335783328</v>
      </c>
      <c r="I59" s="12">
        <f t="shared" si="3"/>
        <v>13.44544771950042</v>
      </c>
      <c r="J59" s="12">
        <f t="shared" si="3"/>
        <v>14.101019007991594</v>
      </c>
      <c r="K59" s="12"/>
      <c r="L59" s="12"/>
    </row>
    <row r="60" spans="3:12" x14ac:dyDescent="0.25">
      <c r="C60" s="1" t="s">
        <v>5</v>
      </c>
      <c r="D60" s="12">
        <f t="shared" si="3"/>
        <v>13.921695475523753</v>
      </c>
      <c r="E60" s="12">
        <f t="shared" si="3"/>
        <v>13.384578563742195</v>
      </c>
      <c r="F60" s="12">
        <f t="shared" si="3"/>
        <v>13.361315832765523</v>
      </c>
      <c r="G60" s="12">
        <f t="shared" si="3"/>
        <v>13.598044770890825</v>
      </c>
      <c r="H60" s="12">
        <f t="shared" si="3"/>
        <v>13.751032193294515</v>
      </c>
      <c r="I60" s="12">
        <f t="shared" si="3"/>
        <v>13.619507456075898</v>
      </c>
      <c r="J60" s="12">
        <f t="shared" si="3"/>
        <v>14.263893389899492</v>
      </c>
      <c r="K60" s="12" t="e">
        <f t="shared" si="3"/>
        <v>#DIV/0!</v>
      </c>
      <c r="L60" s="12" t="e">
        <f t="shared" si="3"/>
        <v>#DIV/0!</v>
      </c>
    </row>
    <row r="61" spans="3:12" x14ac:dyDescent="0.25">
      <c r="C61" s="1" t="s">
        <v>6</v>
      </c>
      <c r="D61" s="12"/>
      <c r="E61" s="12">
        <f t="shared" si="3"/>
        <v>13.01456010511064</v>
      </c>
      <c r="F61" s="12">
        <f t="shared" si="3"/>
        <v>12.987402996486029</v>
      </c>
      <c r="G61" s="12">
        <f t="shared" si="3"/>
        <v>13.11459591698633</v>
      </c>
      <c r="H61" s="12">
        <f t="shared" si="3"/>
        <v>13.405728500143171</v>
      </c>
      <c r="I61" s="12">
        <f t="shared" si="3"/>
        <v>13.060142645172286</v>
      </c>
      <c r="J61" s="12">
        <f t="shared" si="3"/>
        <v>13.789662001633074</v>
      </c>
      <c r="K61" s="12"/>
      <c r="L61" s="12"/>
    </row>
    <row r="62" spans="3:12" x14ac:dyDescent="0.25">
      <c r="C62" s="1" t="s">
        <v>7</v>
      </c>
      <c r="D62" s="12"/>
      <c r="E62" s="12">
        <f t="shared" si="3"/>
        <v>12.999489846692125</v>
      </c>
      <c r="F62" s="12">
        <f t="shared" si="3"/>
        <v>12.996860602744315</v>
      </c>
      <c r="G62" s="12">
        <f t="shared" si="3"/>
        <v>13.132516662373394</v>
      </c>
      <c r="H62" s="12">
        <f t="shared" si="3"/>
        <v>13.372632515442318</v>
      </c>
      <c r="I62" s="12">
        <f t="shared" si="3"/>
        <v>13.068005190295684</v>
      </c>
      <c r="J62" s="12">
        <f t="shared" si="3"/>
        <v>13.787305027909449</v>
      </c>
      <c r="K62" s="12"/>
      <c r="L62" s="12"/>
    </row>
    <row r="63" spans="3:12" x14ac:dyDescent="0.25">
      <c r="C63" s="1" t="s">
        <v>8</v>
      </c>
      <c r="D63" s="12">
        <f t="shared" si="3"/>
        <v>22.165298074673245</v>
      </c>
      <c r="E63" s="12">
        <f t="shared" si="3"/>
        <v>21.606440750561962</v>
      </c>
      <c r="F63" s="12">
        <f t="shared" si="3"/>
        <v>21.232900325080969</v>
      </c>
      <c r="G63" s="12">
        <f t="shared" si="3"/>
        <v>21.282480249166866</v>
      </c>
      <c r="H63" s="12">
        <f t="shared" si="3"/>
        <v>20.830772726062133</v>
      </c>
      <c r="I63" s="12">
        <f t="shared" si="3"/>
        <v>19.158710713702241</v>
      </c>
      <c r="J63" s="12">
        <f t="shared" si="3"/>
        <v>20.907672180615869</v>
      </c>
      <c r="K63" s="12" t="e">
        <f t="shared" si="3"/>
        <v>#DIV/0!</v>
      </c>
      <c r="L63" s="12" t="e">
        <f t="shared" si="3"/>
        <v>#DIV/0!</v>
      </c>
    </row>
    <row r="64" spans="3:12" x14ac:dyDescent="0.25">
      <c r="C64" s="1" t="s">
        <v>9</v>
      </c>
      <c r="D64" s="12">
        <f t="shared" si="3"/>
        <v>7.4135815491387209</v>
      </c>
      <c r="E64" s="12">
        <f t="shared" si="3"/>
        <v>10.255329821921247</v>
      </c>
      <c r="F64" s="12">
        <f t="shared" si="3"/>
        <v>10.470010891106126</v>
      </c>
      <c r="G64" s="12">
        <f t="shared" si="3"/>
        <v>11.599900130552228</v>
      </c>
      <c r="H64" s="12">
        <f t="shared" si="3"/>
        <v>12.478994128474717</v>
      </c>
      <c r="I64" s="12">
        <f t="shared" si="3"/>
        <v>13.462247268482624</v>
      </c>
      <c r="J64" s="12">
        <f t="shared" si="3"/>
        <v>14.767925305474062</v>
      </c>
      <c r="K64" s="12" t="e">
        <f t="shared" si="3"/>
        <v>#DIV/0!</v>
      </c>
      <c r="L64" s="12" t="e">
        <f t="shared" si="3"/>
        <v>#DIV/0!</v>
      </c>
    </row>
    <row r="65" spans="3:12" x14ac:dyDescent="0.25">
      <c r="C65" s="1" t="s">
        <v>10</v>
      </c>
      <c r="D65" s="12"/>
      <c r="E65" s="12">
        <f t="shared" si="3"/>
        <v>20.825924117795832</v>
      </c>
      <c r="F65" s="12">
        <f t="shared" si="3"/>
        <v>20.549413274939017</v>
      </c>
      <c r="G65" s="12">
        <f t="shared" si="3"/>
        <v>19.697408426234251</v>
      </c>
      <c r="H65" s="12">
        <f t="shared" si="3"/>
        <v>20.190521175997244</v>
      </c>
      <c r="I65" s="12">
        <f t="shared" si="3"/>
        <v>20.038216769365516</v>
      </c>
      <c r="J65" s="12">
        <f t="shared" si="3"/>
        <v>13.311160948105988</v>
      </c>
      <c r="K65" s="12"/>
      <c r="L65" s="12"/>
    </row>
    <row r="66" spans="3:12" x14ac:dyDescent="0.25">
      <c r="C66" s="1" t="s">
        <v>16</v>
      </c>
      <c r="D66" s="12">
        <f t="shared" si="3"/>
        <v>14.046009785247058</v>
      </c>
      <c r="E66" s="12">
        <f t="shared" si="3"/>
        <v>13.621529939575533</v>
      </c>
      <c r="F66" s="12">
        <f t="shared" si="3"/>
        <v>13.46181324898258</v>
      </c>
      <c r="G66" s="12">
        <f t="shared" si="3"/>
        <v>13.943879161821037</v>
      </c>
      <c r="H66" s="12">
        <f t="shared" si="3"/>
        <v>13.531365336904301</v>
      </c>
      <c r="I66" s="12">
        <f t="shared" si="3"/>
        <v>13.555710352648566</v>
      </c>
      <c r="J66" s="12">
        <f t="shared" si="3"/>
        <v>14.195692953683901</v>
      </c>
      <c r="K66" s="12"/>
      <c r="L66" s="12"/>
    </row>
    <row r="67" spans="3:12" x14ac:dyDescent="0.25">
      <c r="C67" s="1" t="s">
        <v>17</v>
      </c>
      <c r="D67" s="12">
        <f t="shared" si="3"/>
        <v>23.524115220158968</v>
      </c>
      <c r="E67" s="12">
        <f t="shared" si="3"/>
        <v>22.679756993491704</v>
      </c>
      <c r="F67" s="12">
        <f t="shared" si="3"/>
        <v>22.353339478506616</v>
      </c>
      <c r="G67" s="12">
        <f t="shared" si="3"/>
        <v>23.020940034439821</v>
      </c>
      <c r="H67" s="12">
        <f t="shared" si="3"/>
        <v>20.894184890732806</v>
      </c>
      <c r="I67" s="12">
        <f t="shared" si="3"/>
        <v>19.717263778541856</v>
      </c>
      <c r="J67" s="12">
        <f t="shared" si="3"/>
        <v>19.545956607272629</v>
      </c>
      <c r="K67" s="12"/>
      <c r="L67" s="12"/>
    </row>
    <row r="68" spans="3:12" x14ac:dyDescent="0.25">
      <c r="C68" s="1"/>
      <c r="D68" s="12"/>
      <c r="E68" s="12"/>
      <c r="F68" s="12"/>
      <c r="G68" s="12"/>
      <c r="H68" s="12"/>
      <c r="I68" s="12"/>
      <c r="J68" s="12"/>
      <c r="K68" s="12"/>
      <c r="L68" s="12"/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4">
        <v>42</v>
      </c>
      <c r="E88" s="4">
        <v>84</v>
      </c>
      <c r="F88" s="4">
        <v>168</v>
      </c>
      <c r="G88" s="4">
        <v>336</v>
      </c>
      <c r="H88" s="4">
        <v>672</v>
      </c>
      <c r="I88" s="4">
        <v>1344</v>
      </c>
      <c r="J88" s="4">
        <v>2688</v>
      </c>
      <c r="K88" s="4">
        <v>5376</v>
      </c>
      <c r="L88" s="4">
        <v>10752</v>
      </c>
    </row>
    <row r="89" spans="3:12" x14ac:dyDescent="0.25">
      <c r="C89" s="1" t="s">
        <v>1</v>
      </c>
      <c r="D89" s="1">
        <v>30555.840778999969</v>
      </c>
      <c r="E89" s="1">
        <v>27529.520607000031</v>
      </c>
      <c r="F89" s="1">
        <v>70267.974157999983</v>
      </c>
      <c r="G89" s="1">
        <v>190319.36155600016</v>
      </c>
      <c r="H89" s="1">
        <v>238221536.40893099</v>
      </c>
      <c r="I89" s="1">
        <v>2819514.8053959999</v>
      </c>
      <c r="J89" s="1">
        <v>1305655263.719346</v>
      </c>
      <c r="K89" s="1"/>
      <c r="L89" s="1"/>
    </row>
    <row r="90" spans="3:12" x14ac:dyDescent="0.25">
      <c r="C90" s="1" t="s">
        <v>2</v>
      </c>
      <c r="D90" s="1">
        <v>1558.34522004</v>
      </c>
      <c r="E90" s="1">
        <v>680.88772984000002</v>
      </c>
      <c r="F90" s="1">
        <v>857.87481184000001</v>
      </c>
      <c r="G90" s="1">
        <v>6185.7123135600086</v>
      </c>
      <c r="H90" s="1">
        <v>6853.9634230000111</v>
      </c>
      <c r="I90" s="1">
        <v>30595.057155999973</v>
      </c>
      <c r="J90" s="1">
        <v>204457.91008299994</v>
      </c>
      <c r="K90" s="1"/>
      <c r="L90" s="1"/>
    </row>
    <row r="91" spans="3:12" x14ac:dyDescent="0.25">
      <c r="C91" s="1" t="s">
        <v>4</v>
      </c>
      <c r="D91" s="1">
        <v>4.6197648944000029</v>
      </c>
      <c r="E91" s="1">
        <v>518.74568235999993</v>
      </c>
      <c r="F91" s="1">
        <v>1084.551948</v>
      </c>
      <c r="G91" s="1">
        <v>2733.8510745600047</v>
      </c>
      <c r="H91" s="6">
        <v>38018.430993000009</v>
      </c>
      <c r="I91" s="1">
        <v>32690.724848999995</v>
      </c>
      <c r="J91" s="1">
        <v>248886.20386400042</v>
      </c>
      <c r="K91" s="1"/>
      <c r="L91" s="1"/>
    </row>
    <row r="92" spans="3:12" x14ac:dyDescent="0.25">
      <c r="C92" s="1" t="s">
        <v>5</v>
      </c>
      <c r="D92" s="1">
        <v>38.988012784399984</v>
      </c>
      <c r="E92" s="1">
        <v>339.76517763999993</v>
      </c>
      <c r="F92" s="1">
        <v>1588.7441677599993</v>
      </c>
      <c r="G92" s="1">
        <v>4208.8640616400016</v>
      </c>
      <c r="H92" s="1">
        <v>20442.448886000013</v>
      </c>
      <c r="I92" s="1">
        <v>185119.17622300005</v>
      </c>
      <c r="J92" s="1">
        <v>265218.71903099969</v>
      </c>
      <c r="K92" s="1"/>
      <c r="L92" s="1"/>
    </row>
    <row r="93" spans="3:12" x14ac:dyDescent="0.25">
      <c r="C93" s="1" t="s">
        <v>6</v>
      </c>
      <c r="D93" s="1"/>
      <c r="E93" s="1">
        <v>464.24031736000046</v>
      </c>
      <c r="F93" s="1">
        <v>1500.7626454400006</v>
      </c>
      <c r="G93" s="1">
        <v>14020.428827159991</v>
      </c>
      <c r="H93" s="1">
        <v>24296.026343999991</v>
      </c>
      <c r="I93" s="1">
        <v>30294.031583000011</v>
      </c>
      <c r="J93" s="1">
        <v>177697.82171100003</v>
      </c>
      <c r="K93" s="1"/>
      <c r="L93" s="1"/>
    </row>
    <row r="94" spans="3:12" x14ac:dyDescent="0.25">
      <c r="C94" s="1" t="s">
        <v>7</v>
      </c>
      <c r="D94" s="1"/>
      <c r="E94" s="1">
        <v>316.4193470000003</v>
      </c>
      <c r="F94" s="1">
        <v>1200.9066553600007</v>
      </c>
      <c r="G94" s="1">
        <v>6443.8859960000009</v>
      </c>
      <c r="H94" s="1">
        <v>79503.413450000036</v>
      </c>
      <c r="I94" s="1">
        <v>25280.403864000011</v>
      </c>
      <c r="J94" s="1">
        <v>176160.39654899985</v>
      </c>
      <c r="K94" s="1"/>
      <c r="L94" s="1"/>
    </row>
    <row r="95" spans="3:12" x14ac:dyDescent="0.25">
      <c r="C95" s="1" t="s">
        <v>8</v>
      </c>
      <c r="D95" s="1">
        <v>167.51600903560004</v>
      </c>
      <c r="E95" s="1">
        <v>558.86905800000022</v>
      </c>
      <c r="F95" s="1">
        <v>333.57509099999993</v>
      </c>
      <c r="G95" s="1">
        <v>2851.737513040001</v>
      </c>
      <c r="H95" s="1">
        <v>42269.478490560025</v>
      </c>
      <c r="I95" s="1">
        <v>133384.94100100003</v>
      </c>
      <c r="J95" s="1">
        <v>120448.13017200015</v>
      </c>
      <c r="K95" s="1"/>
      <c r="L95" s="4"/>
    </row>
    <row r="96" spans="3:12" x14ac:dyDescent="0.25">
      <c r="C96" s="1" t="s">
        <v>9</v>
      </c>
      <c r="D96" s="1">
        <v>919.66778799999952</v>
      </c>
      <c r="E96" s="1">
        <v>1645.878142999999</v>
      </c>
      <c r="F96" s="1">
        <v>20295.816985960013</v>
      </c>
      <c r="G96" s="1">
        <v>7997.4668329999968</v>
      </c>
      <c r="H96" s="1">
        <v>4124999.3539469992</v>
      </c>
      <c r="I96" s="1">
        <v>2418842.8982990002</v>
      </c>
      <c r="J96" s="1">
        <v>3236315.8949239999</v>
      </c>
      <c r="K96" s="1"/>
      <c r="L96" s="1"/>
    </row>
    <row r="97" spans="3:12" x14ac:dyDescent="0.25">
      <c r="C97" s="1" t="s">
        <v>10</v>
      </c>
      <c r="D97" s="1"/>
      <c r="E97" s="1">
        <v>440.2211454399997</v>
      </c>
      <c r="F97" s="1">
        <v>1116.0678930000015</v>
      </c>
      <c r="G97" s="1">
        <v>7097.6773539599953</v>
      </c>
      <c r="H97" s="1">
        <v>6993.6841080000067</v>
      </c>
      <c r="I97" s="1">
        <v>52919.376373999949</v>
      </c>
      <c r="J97" s="1">
        <v>7423274.5401530024</v>
      </c>
      <c r="K97" s="1"/>
      <c r="L97" s="1"/>
    </row>
    <row r="98" spans="3:12" x14ac:dyDescent="0.25">
      <c r="C98" s="1" t="s">
        <v>16</v>
      </c>
      <c r="D98" s="1">
        <v>273.95643429959989</v>
      </c>
      <c r="E98" s="1">
        <v>118.83993075999997</v>
      </c>
      <c r="F98" s="1">
        <v>391.80990575999988</v>
      </c>
      <c r="G98" s="1">
        <v>484.12665544000095</v>
      </c>
      <c r="H98" s="1">
        <v>55338.299999999988</v>
      </c>
      <c r="I98" s="1">
        <v>124228.531378</v>
      </c>
      <c r="J98" s="1">
        <v>225953.75803</v>
      </c>
      <c r="K98" s="1"/>
      <c r="L98" s="1"/>
    </row>
    <row r="99" spans="3:12" x14ac:dyDescent="0.25">
      <c r="C99" s="1" t="s">
        <v>17</v>
      </c>
      <c r="D99" s="1">
        <v>14.040797091600009</v>
      </c>
      <c r="E99" s="1">
        <v>50.267364839999971</v>
      </c>
      <c r="F99" s="1">
        <v>215.92481776000022</v>
      </c>
      <c r="G99" s="1">
        <v>43.779129840000046</v>
      </c>
      <c r="H99" s="1">
        <v>36739.174011640003</v>
      </c>
      <c r="I99" s="1">
        <v>38723.259470999968</v>
      </c>
      <c r="J99" s="1">
        <v>123386.60458499991</v>
      </c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">
        <v>48.452722923816417</v>
      </c>
      <c r="E112" s="1">
        <v>5.5245302714428401</v>
      </c>
      <c r="F112" s="1">
        <v>73.476724141101002</v>
      </c>
      <c r="G112" s="1">
        <v>120.92401410419107</v>
      </c>
      <c r="H112" s="1">
        <v>4278.2048905318907</v>
      </c>
      <c r="I112" s="1">
        <v>465.43416454766776</v>
      </c>
      <c r="J112" s="1">
        <v>10015.792790492662</v>
      </c>
      <c r="K112" s="1"/>
      <c r="L112" s="1"/>
    </row>
    <row r="113" spans="3:12" x14ac:dyDescent="0.25">
      <c r="C113" s="1" t="s">
        <v>2</v>
      </c>
      <c r="D113" s="1">
        <v>10.942156092201996</v>
      </c>
      <c r="E113" s="1">
        <v>9.9698891291318876</v>
      </c>
      <c r="F113" s="1">
        <v>8.1186352020084556</v>
      </c>
      <c r="G113" s="1">
        <v>21.800473583742221</v>
      </c>
      <c r="H113" s="1">
        <v>22.947847779605322</v>
      </c>
      <c r="I113" s="1">
        <v>48.483805867627488</v>
      </c>
      <c r="J113" s="1">
        <v>125.33519117748634</v>
      </c>
      <c r="K113" s="1"/>
      <c r="L113" s="1"/>
    </row>
    <row r="114" spans="3:12" x14ac:dyDescent="0.25">
      <c r="C114" s="1" t="s">
        <v>4</v>
      </c>
      <c r="D114" s="1">
        <v>0.59577325919055901</v>
      </c>
      <c r="E114" s="1">
        <v>49.484189623541958</v>
      </c>
      <c r="F114" s="1">
        <v>9.1284333414193259</v>
      </c>
      <c r="G114" s="1">
        <v>14.493006788123514</v>
      </c>
      <c r="H114" s="6">
        <v>54.046573342388477</v>
      </c>
      <c r="I114" s="1">
        <v>50.116801290568887</v>
      </c>
      <c r="J114" s="1">
        <v>138.28385594594505</v>
      </c>
      <c r="K114" s="1"/>
      <c r="L114" s="1"/>
    </row>
    <row r="115" spans="3:12" x14ac:dyDescent="0.25">
      <c r="C115" s="1" t="s">
        <v>5</v>
      </c>
      <c r="D115" s="1">
        <v>1.7307590815162632</v>
      </c>
      <c r="E115" s="1">
        <v>6.0922639475790046</v>
      </c>
      <c r="F115" s="1">
        <v>11.048366028392445</v>
      </c>
      <c r="G115" s="1">
        <v>17.982642842027548</v>
      </c>
      <c r="H115" s="1">
        <v>39.631228000267065</v>
      </c>
      <c r="I115" s="1">
        <v>119.26054061409221</v>
      </c>
      <c r="J115" s="1">
        <v>142.74902668876507</v>
      </c>
      <c r="K115" s="1"/>
      <c r="L115" s="1"/>
    </row>
    <row r="116" spans="3:12" x14ac:dyDescent="0.25">
      <c r="C116" s="1" t="s">
        <v>6</v>
      </c>
      <c r="D116" s="1"/>
      <c r="E116" s="1">
        <v>5.4446487774604941</v>
      </c>
      <c r="F116" s="1">
        <v>10.738090871958857</v>
      </c>
      <c r="G116" s="1">
        <v>32.820993093572845</v>
      </c>
      <c r="H116" s="1">
        <v>43.205466043802922</v>
      </c>
      <c r="I116" s="1">
        <v>48.244699549122039</v>
      </c>
      <c r="J116" s="1">
        <v>116.84553494977696</v>
      </c>
      <c r="K116" s="1"/>
      <c r="L116" s="1"/>
    </row>
    <row r="117" spans="3:12" x14ac:dyDescent="0.25">
      <c r="C117" s="1" t="s">
        <v>7</v>
      </c>
      <c r="D117" s="1"/>
      <c r="E117" s="1">
        <v>4.9507282629851552</v>
      </c>
      <c r="F117" s="1">
        <v>9.6056264837135714</v>
      </c>
      <c r="G117" s="1">
        <v>22.250767376534952</v>
      </c>
      <c r="H117" s="1">
        <v>78.156293810482097</v>
      </c>
      <c r="I117" s="1">
        <v>44.072031830616211</v>
      </c>
      <c r="J117" s="1">
        <v>116.33896848284652</v>
      </c>
      <c r="K117" s="1"/>
      <c r="L117" s="1"/>
    </row>
    <row r="118" spans="3:12" x14ac:dyDescent="0.25">
      <c r="C118" s="1" t="s">
        <v>8</v>
      </c>
      <c r="D118" s="1">
        <v>3.5875604533196679</v>
      </c>
      <c r="E118" s="1">
        <v>4.1065281632991741</v>
      </c>
      <c r="F118" s="1">
        <v>5.0625331003077889</v>
      </c>
      <c r="G118" s="1">
        <v>14.802185534639449</v>
      </c>
      <c r="H118" s="1">
        <v>56.98814413004434</v>
      </c>
      <c r="I118" s="1">
        <v>101.23355069831757</v>
      </c>
      <c r="J118" s="1">
        <v>96.199120252604772</v>
      </c>
      <c r="K118" s="1"/>
      <c r="L118" s="4"/>
    </row>
    <row r="119" spans="3:12" x14ac:dyDescent="0.25">
      <c r="C119" s="1" t="s">
        <v>9</v>
      </c>
      <c r="D119" s="1">
        <v>8.405945246527363</v>
      </c>
      <c r="E119" s="1">
        <v>5.3887980018311676</v>
      </c>
      <c r="F119" s="1">
        <v>39.488836532180585</v>
      </c>
      <c r="G119" s="1">
        <v>24.788331362014983</v>
      </c>
      <c r="H119" s="1">
        <v>562.96709527507539</v>
      </c>
      <c r="I119" s="1">
        <v>431.09690043203602</v>
      </c>
      <c r="J119" s="1">
        <v>498.65080250492002</v>
      </c>
      <c r="K119" s="1"/>
      <c r="L119" s="1"/>
    </row>
    <row r="120" spans="3:12" x14ac:dyDescent="0.25">
      <c r="C120" s="1" t="s">
        <v>10</v>
      </c>
      <c r="D120" s="1"/>
      <c r="E120" s="1">
        <v>5.759945097080009</v>
      </c>
      <c r="F120" s="1">
        <v>9.2601149212618363</v>
      </c>
      <c r="G120" s="1">
        <v>23.352274973960338</v>
      </c>
      <c r="H120" s="1">
        <v>23.180568098859364</v>
      </c>
      <c r="I120" s="1">
        <v>63.764422098590089</v>
      </c>
      <c r="J120" s="1">
        <v>755.21191030666057</v>
      </c>
      <c r="K120" s="1"/>
      <c r="L120" s="1"/>
    </row>
    <row r="121" spans="3:12" x14ac:dyDescent="0.25">
      <c r="C121" s="1" t="s">
        <v>16</v>
      </c>
      <c r="D121" s="1">
        <v>4.587877587742164</v>
      </c>
      <c r="E121" s="1">
        <v>9.7863637522905282</v>
      </c>
      <c r="F121" s="1">
        <v>5.4866691789602466</v>
      </c>
      <c r="G121" s="1">
        <v>6.0988867173252324</v>
      </c>
      <c r="H121" s="1">
        <v>65.20546193073092</v>
      </c>
      <c r="I121" s="1">
        <v>97.697116246256201</v>
      </c>
      <c r="J121" s="1">
        <v>131.75917097857348</v>
      </c>
      <c r="K121" s="1"/>
      <c r="L121" s="1"/>
    </row>
    <row r="122" spans="3:12" x14ac:dyDescent="0.25">
      <c r="C122" s="1" t="s">
        <v>17</v>
      </c>
      <c r="D122" s="1">
        <v>1.0386445600597982</v>
      </c>
      <c r="E122" s="1">
        <v>3.0217063987343837</v>
      </c>
      <c r="F122" s="1">
        <v>4.0730744650860897</v>
      </c>
      <c r="G122" s="1">
        <v>1.8340223836875282</v>
      </c>
      <c r="H122" s="1">
        <v>53.129504210582695</v>
      </c>
      <c r="I122" s="1">
        <v>54.54526076274518</v>
      </c>
      <c r="J122" s="1">
        <v>97.365494932623392</v>
      </c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3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D50 D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1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 H6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 I6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 K62 K68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5 L62 L68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2" sqref="C12:J13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2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</row>
    <row r="2" spans="1:12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</row>
    <row r="3" spans="1:12" x14ac:dyDescent="0.25">
      <c r="A3">
        <v>1</v>
      </c>
      <c r="C3" s="1" t="s">
        <v>1</v>
      </c>
      <c r="D3" s="9">
        <v>5875.1582000000017</v>
      </c>
      <c r="E3" s="9">
        <v>10771.412000000002</v>
      </c>
      <c r="F3" s="9">
        <v>20160.065957446801</v>
      </c>
      <c r="G3" s="9">
        <v>39471.227999999996</v>
      </c>
      <c r="H3" s="9">
        <v>81942.232000000004</v>
      </c>
      <c r="I3" s="9">
        <v>153183.06</v>
      </c>
      <c r="J3" s="9">
        <v>307026.62</v>
      </c>
      <c r="K3" s="10"/>
      <c r="L3" s="10"/>
    </row>
    <row r="4" spans="1:12" x14ac:dyDescent="0.25">
      <c r="C4" s="1" t="s">
        <v>2</v>
      </c>
      <c r="D4" s="10">
        <v>487.2340999999999</v>
      </c>
      <c r="E4" s="10">
        <v>885.85572000000013</v>
      </c>
      <c r="F4" s="10">
        <v>1657.3222000000003</v>
      </c>
      <c r="G4" s="10">
        <v>3201.0855999999994</v>
      </c>
      <c r="H4" s="10">
        <v>6411.2783999999992</v>
      </c>
      <c r="I4" s="10">
        <v>12839.331999999997</v>
      </c>
      <c r="J4" s="10">
        <v>25321.222000000002</v>
      </c>
      <c r="K4" s="10"/>
      <c r="L4" s="10"/>
    </row>
    <row r="5" spans="1:12" x14ac:dyDescent="0.25">
      <c r="C5" s="1" t="s">
        <v>4</v>
      </c>
      <c r="D5" s="10">
        <v>454.91873999999996</v>
      </c>
      <c r="E5" s="10">
        <v>858.29418000000021</v>
      </c>
      <c r="F5" s="10">
        <v>1613.7754000000004</v>
      </c>
      <c r="G5" s="10">
        <v>3156.5868</v>
      </c>
      <c r="H5" s="11">
        <v>6325.7933999999987</v>
      </c>
      <c r="I5" s="10">
        <v>12786.915999999999</v>
      </c>
      <c r="J5" s="10">
        <v>25053.314000000002</v>
      </c>
      <c r="K5" s="10"/>
      <c r="L5" s="10"/>
    </row>
    <row r="6" spans="1:12" x14ac:dyDescent="0.25">
      <c r="C6" s="1" t="s">
        <v>5</v>
      </c>
      <c r="D6" s="10">
        <v>493.89566000000008</v>
      </c>
      <c r="E6" s="10">
        <v>896.10108000000002</v>
      </c>
      <c r="F6" s="10">
        <v>1655.2257999999997</v>
      </c>
      <c r="G6" s="10">
        <v>3187.1957999999995</v>
      </c>
      <c r="H6" s="10">
        <v>6341.1571999999996</v>
      </c>
      <c r="I6" s="10">
        <v>12719.044000000002</v>
      </c>
      <c r="J6" s="10">
        <v>24769.144</v>
      </c>
      <c r="K6" s="10"/>
      <c r="L6" s="10"/>
    </row>
    <row r="7" spans="1:12" x14ac:dyDescent="0.25">
      <c r="C7" s="1" t="s">
        <v>6</v>
      </c>
      <c r="D7" s="10"/>
      <c r="E7" s="10">
        <v>914.70819999999958</v>
      </c>
      <c r="F7" s="10">
        <v>1679.3380000000002</v>
      </c>
      <c r="G7" s="10">
        <v>3222.9352000000008</v>
      </c>
      <c r="H7" s="10">
        <v>6435.8493999999992</v>
      </c>
      <c r="I7" s="10">
        <v>12794.861999999997</v>
      </c>
      <c r="J7" s="10">
        <v>24895.251999999997</v>
      </c>
      <c r="K7" s="10"/>
      <c r="L7" s="10"/>
    </row>
    <row r="8" spans="1:12" x14ac:dyDescent="0.25">
      <c r="C8" s="1" t="s">
        <v>7</v>
      </c>
      <c r="D8" s="10"/>
      <c r="E8" s="10">
        <v>912.44721999999967</v>
      </c>
      <c r="F8" s="10">
        <v>1680.4451999999999</v>
      </c>
      <c r="G8" s="10">
        <v>3222.1063999999997</v>
      </c>
      <c r="H8" s="10">
        <v>6441.8760000000011</v>
      </c>
      <c r="I8" s="10">
        <v>12795.922000000006</v>
      </c>
      <c r="J8" s="10">
        <v>24895.68</v>
      </c>
      <c r="K8" s="10"/>
      <c r="L8" s="10"/>
    </row>
    <row r="9" spans="1:12" x14ac:dyDescent="0.25">
      <c r="C9" s="1" t="s">
        <v>8</v>
      </c>
      <c r="D9" s="10">
        <v>369.77572000000009</v>
      </c>
      <c r="E9" s="10">
        <v>624.92944000000011</v>
      </c>
      <c r="F9" s="10">
        <v>1114.7125999999998</v>
      </c>
      <c r="G9" s="10">
        <v>2183.9791999999998</v>
      </c>
      <c r="H9" s="10">
        <v>4352.3423999999995</v>
      </c>
      <c r="I9" s="10">
        <v>8236.9945999999982</v>
      </c>
      <c r="J9" s="10">
        <v>16276.933999999997</v>
      </c>
      <c r="K9" s="10"/>
      <c r="L9" s="9"/>
    </row>
    <row r="10" spans="1:12" x14ac:dyDescent="0.25">
      <c r="C10" s="1" t="s">
        <v>9</v>
      </c>
      <c r="D10" s="10">
        <v>939.67485999999985</v>
      </c>
      <c r="E10" s="10">
        <v>1388.7272</v>
      </c>
      <c r="F10" s="10">
        <v>2797.8443999999995</v>
      </c>
      <c r="G10" s="10">
        <v>5044.6311999999998</v>
      </c>
      <c r="H10" s="10">
        <v>9473.4002000000019</v>
      </c>
      <c r="I10" s="10">
        <v>18078.732000000004</v>
      </c>
      <c r="J10" s="10">
        <v>27833.843999999994</v>
      </c>
      <c r="K10" s="10"/>
      <c r="L10" s="10"/>
    </row>
    <row r="11" spans="1:12" x14ac:dyDescent="0.25">
      <c r="C11" s="1" t="s">
        <v>10</v>
      </c>
      <c r="D11" s="10"/>
      <c r="E11" s="10">
        <v>608.9235799999999</v>
      </c>
      <c r="F11" s="10">
        <v>1080.6356000000001</v>
      </c>
      <c r="G11" s="10">
        <v>2093.2955999999995</v>
      </c>
      <c r="H11" s="10">
        <v>4132.5428000000002</v>
      </c>
      <c r="I11" s="10">
        <v>7803.6633999999985</v>
      </c>
      <c r="J11" s="10">
        <v>15500.211999999998</v>
      </c>
      <c r="K11" s="10"/>
      <c r="L11" s="10"/>
    </row>
    <row r="12" spans="1:12" x14ac:dyDescent="0.25">
      <c r="C12" s="1" t="s">
        <v>16</v>
      </c>
      <c r="D12" s="10">
        <v>496.97240000000005</v>
      </c>
      <c r="E12" s="10">
        <v>864.94587999999999</v>
      </c>
      <c r="F12" s="10">
        <v>1599.1573999999998</v>
      </c>
      <c r="G12" s="10">
        <v>3061.0534000000002</v>
      </c>
      <c r="H12" s="10">
        <v>6094.9753999999994</v>
      </c>
      <c r="I12" s="10">
        <v>12117.154000000002</v>
      </c>
      <c r="J12" s="10" t="e">
        <v>#DIV/0!</v>
      </c>
      <c r="K12" s="10"/>
      <c r="L12" s="10"/>
    </row>
    <row r="13" spans="1:12" x14ac:dyDescent="0.25">
      <c r="C13" s="1" t="s">
        <v>17</v>
      </c>
      <c r="D13" s="10">
        <v>369.48455999999999</v>
      </c>
      <c r="E13" s="10">
        <v>602.60230000000013</v>
      </c>
      <c r="F13" s="10">
        <v>1072.0265999999997</v>
      </c>
      <c r="G13" s="10">
        <v>2077.2693999999992</v>
      </c>
      <c r="H13" s="10">
        <v>4173.0254000000014</v>
      </c>
      <c r="I13" s="10">
        <v>8534.3469999999998</v>
      </c>
      <c r="J13" s="10" t="e">
        <v>#DIV/0!</v>
      </c>
      <c r="K13" s="10"/>
      <c r="L13" s="10"/>
    </row>
    <row r="14" spans="1:12" x14ac:dyDescent="0.25">
      <c r="C14" s="1" t="s">
        <v>16</v>
      </c>
      <c r="D14" s="10">
        <v>473.80989999999997</v>
      </c>
      <c r="E14" s="10">
        <v>842.57024000000001</v>
      </c>
      <c r="F14" s="10">
        <v>1590.4436000000005</v>
      </c>
      <c r="G14" s="10">
        <v>3040.9573999999993</v>
      </c>
      <c r="H14" s="10" t="e">
        <v>#DIV/0!</v>
      </c>
      <c r="I14" s="10" t="e">
        <v>#DIV/0!</v>
      </c>
      <c r="J14" s="10" t="e">
        <v>#DIV/0!</v>
      </c>
      <c r="K14" s="10"/>
      <c r="L14" s="10"/>
    </row>
    <row r="15" spans="1:12" x14ac:dyDescent="0.25">
      <c r="C15" s="1" t="s">
        <v>17</v>
      </c>
      <c r="D15" s="10">
        <v>366.36204000000004</v>
      </c>
      <c r="E15" s="10">
        <v>601.6727800000001</v>
      </c>
      <c r="F15" s="10">
        <v>1069.6906000000004</v>
      </c>
      <c r="G15" s="10">
        <v>2059.7913999999996</v>
      </c>
      <c r="H15" s="10" t="e">
        <v>#DIV/0!</v>
      </c>
      <c r="I15" s="10" t="e">
        <v>#DIV/0!</v>
      </c>
      <c r="J15" s="10" t="e">
        <v>#DIV/0!</v>
      </c>
      <c r="K15" s="10"/>
      <c r="L15" s="10"/>
    </row>
    <row r="16" spans="1:12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139.88471904761909</v>
      </c>
      <c r="E32" s="5">
        <f t="shared" ref="E32:L32" si="0">E3/E$2</f>
        <v>128.23109523809526</v>
      </c>
      <c r="F32" s="5">
        <f t="shared" si="0"/>
        <v>120.00039260385</v>
      </c>
      <c r="G32" s="5">
        <f t="shared" si="0"/>
        <v>117.47389285714284</v>
      </c>
      <c r="H32" s="5">
        <f t="shared" si="0"/>
        <v>121.93784523809525</v>
      </c>
      <c r="I32" s="5">
        <f t="shared" si="0"/>
        <v>113.97549107142856</v>
      </c>
      <c r="J32" s="5">
        <f t="shared" si="0"/>
        <v>114.22121279761905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</v>
      </c>
      <c r="D33" s="5">
        <f t="shared" ref="D33:L37" si="1">D4/D$2</f>
        <v>11.600811904761903</v>
      </c>
      <c r="E33" s="5">
        <f t="shared" si="1"/>
        <v>10.54590142857143</v>
      </c>
      <c r="F33" s="5">
        <f t="shared" si="1"/>
        <v>9.8650130952380977</v>
      </c>
      <c r="G33" s="5">
        <f t="shared" si="1"/>
        <v>9.527040476190475</v>
      </c>
      <c r="H33" s="5">
        <f t="shared" si="1"/>
        <v>9.5405928571428564</v>
      </c>
      <c r="I33" s="5">
        <f t="shared" si="1"/>
        <v>9.5530744047619027</v>
      </c>
      <c r="J33" s="5">
        <f t="shared" si="1"/>
        <v>9.4200974702380957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4</v>
      </c>
      <c r="D34" s="5">
        <f t="shared" si="1"/>
        <v>10.83139857142857</v>
      </c>
      <c r="E34" s="5">
        <f t="shared" si="1"/>
        <v>10.217787857142859</v>
      </c>
      <c r="F34" s="5">
        <f t="shared" si="1"/>
        <v>9.6058059523809547</v>
      </c>
      <c r="G34" s="5">
        <f t="shared" si="1"/>
        <v>9.3946035714285721</v>
      </c>
      <c r="H34" s="5">
        <f t="shared" si="1"/>
        <v>9.4133830357142845</v>
      </c>
      <c r="I34" s="5">
        <f t="shared" si="1"/>
        <v>9.5140744047619048</v>
      </c>
      <c r="J34" s="5">
        <f t="shared" si="1"/>
        <v>9.3204293154761917</v>
      </c>
      <c r="K34" s="5">
        <f t="shared" si="1"/>
        <v>0</v>
      </c>
      <c r="L34" s="5">
        <f t="shared" si="1"/>
        <v>0</v>
      </c>
    </row>
    <row r="35" spans="3:12" x14ac:dyDescent="0.25">
      <c r="C35" s="1" t="s">
        <v>5</v>
      </c>
      <c r="D35" s="5">
        <f t="shared" si="1"/>
        <v>11.759420476190478</v>
      </c>
      <c r="E35" s="5">
        <f t="shared" si="1"/>
        <v>10.667870000000001</v>
      </c>
      <c r="F35" s="5">
        <f t="shared" si="1"/>
        <v>9.8525345238095223</v>
      </c>
      <c r="G35" s="5">
        <f t="shared" si="1"/>
        <v>9.4857017857142836</v>
      </c>
      <c r="H35" s="5">
        <f t="shared" si="1"/>
        <v>9.4362458333333326</v>
      </c>
      <c r="I35" s="5">
        <f t="shared" si="1"/>
        <v>9.4635744047619053</v>
      </c>
      <c r="J35" s="5">
        <f t="shared" si="1"/>
        <v>9.2147113095238105</v>
      </c>
      <c r="K35" s="5">
        <f t="shared" si="1"/>
        <v>0</v>
      </c>
      <c r="L35" s="5">
        <f t="shared" si="1"/>
        <v>0</v>
      </c>
    </row>
    <row r="36" spans="3:12" x14ac:dyDescent="0.25">
      <c r="C36" s="1" t="s">
        <v>6</v>
      </c>
      <c r="D36" s="5"/>
      <c r="E36" s="5">
        <f t="shared" si="1"/>
        <v>10.889383333333328</v>
      </c>
      <c r="F36" s="5">
        <f t="shared" si="1"/>
        <v>9.9960595238095244</v>
      </c>
      <c r="G36" s="5">
        <f t="shared" si="1"/>
        <v>9.5920690476190504</v>
      </c>
      <c r="H36" s="5">
        <f t="shared" si="1"/>
        <v>9.5771568452380933</v>
      </c>
      <c r="I36" s="5">
        <f t="shared" si="1"/>
        <v>9.5199866071428545</v>
      </c>
      <c r="J36" s="5">
        <f t="shared" si="1"/>
        <v>9.2616264880952368</v>
      </c>
      <c r="K36" s="5">
        <f t="shared" si="1"/>
        <v>0</v>
      </c>
      <c r="L36" s="5">
        <f t="shared" si="1"/>
        <v>0</v>
      </c>
    </row>
    <row r="37" spans="3:12" x14ac:dyDescent="0.25">
      <c r="C37" s="1" t="s">
        <v>7</v>
      </c>
      <c r="D37" s="5"/>
      <c r="E37" s="5">
        <f t="shared" si="1"/>
        <v>10.8624669047619</v>
      </c>
      <c r="F37" s="5">
        <f t="shared" si="1"/>
        <v>10.002649999999999</v>
      </c>
      <c r="G37" s="5">
        <f t="shared" si="1"/>
        <v>9.58960238095238</v>
      </c>
      <c r="H37" s="5">
        <f t="shared" si="1"/>
        <v>9.5861250000000009</v>
      </c>
      <c r="I37" s="5">
        <f t="shared" si="1"/>
        <v>9.5207752976190516</v>
      </c>
      <c r="J37" s="5">
        <f t="shared" si="1"/>
        <v>9.2617857142857147</v>
      </c>
      <c r="K37" s="5">
        <f t="shared" si="1"/>
        <v>0</v>
      </c>
      <c r="L37" s="5">
        <f t="shared" si="1"/>
        <v>0</v>
      </c>
    </row>
    <row r="38" spans="3:12" x14ac:dyDescent="0.25">
      <c r="C38" s="1" t="s">
        <v>8</v>
      </c>
      <c r="D38" s="5">
        <f t="shared" ref="D38:L42" si="2">D9/D$2</f>
        <v>8.8041838095238116</v>
      </c>
      <c r="E38" s="5">
        <f t="shared" si="2"/>
        <v>7.4396361904761914</v>
      </c>
      <c r="F38" s="5">
        <f t="shared" si="2"/>
        <v>6.6351940476190467</v>
      </c>
      <c r="G38" s="5">
        <f t="shared" si="2"/>
        <v>6.499938095238095</v>
      </c>
      <c r="H38" s="5">
        <f t="shared" si="2"/>
        <v>6.4766999999999992</v>
      </c>
      <c r="I38" s="5">
        <f t="shared" si="2"/>
        <v>6.1287162202380943</v>
      </c>
      <c r="J38" s="5">
        <f t="shared" si="2"/>
        <v>6.0554069940476181</v>
      </c>
      <c r="K38" s="5">
        <f t="shared" si="2"/>
        <v>0</v>
      </c>
      <c r="L38" s="5">
        <f t="shared" si="2"/>
        <v>0</v>
      </c>
    </row>
    <row r="39" spans="3:12" x14ac:dyDescent="0.25">
      <c r="C39" s="1" t="s">
        <v>9</v>
      </c>
      <c r="D39" s="5">
        <f t="shared" si="2"/>
        <v>22.373210952380948</v>
      </c>
      <c r="E39" s="5">
        <f t="shared" si="2"/>
        <v>16.532466666666668</v>
      </c>
      <c r="F39" s="5">
        <f t="shared" si="2"/>
        <v>16.653835714285712</v>
      </c>
      <c r="G39" s="5">
        <f t="shared" si="2"/>
        <v>15.013783333333333</v>
      </c>
      <c r="H39" s="5">
        <f t="shared" si="2"/>
        <v>14.097321726190479</v>
      </c>
      <c r="I39" s="5">
        <f t="shared" si="2"/>
        <v>13.451437500000003</v>
      </c>
      <c r="J39" s="5">
        <f t="shared" si="2"/>
        <v>10.354852678571426</v>
      </c>
      <c r="K39" s="5">
        <f t="shared" si="2"/>
        <v>0</v>
      </c>
      <c r="L39" s="5">
        <f t="shared" si="2"/>
        <v>0</v>
      </c>
    </row>
    <row r="40" spans="3:12" x14ac:dyDescent="0.25">
      <c r="C40" s="1" t="s">
        <v>10</v>
      </c>
      <c r="D40" s="5"/>
      <c r="E40" s="5">
        <f t="shared" si="2"/>
        <v>7.2490902380952367</v>
      </c>
      <c r="F40" s="5">
        <f t="shared" si="2"/>
        <v>6.4323547619047625</v>
      </c>
      <c r="G40" s="5">
        <f t="shared" si="2"/>
        <v>6.230046428571427</v>
      </c>
      <c r="H40" s="5">
        <f t="shared" si="2"/>
        <v>6.149617261904762</v>
      </c>
      <c r="I40" s="5">
        <f t="shared" si="2"/>
        <v>5.8062971726190469</v>
      </c>
      <c r="J40" s="5">
        <f t="shared" si="2"/>
        <v>5.7664479166666656</v>
      </c>
      <c r="K40" s="5">
        <f t="shared" si="2"/>
        <v>0</v>
      </c>
      <c r="L40" s="5">
        <f t="shared" si="2"/>
        <v>0</v>
      </c>
    </row>
    <row r="41" spans="3:12" x14ac:dyDescent="0.25">
      <c r="C41" s="1" t="s">
        <v>16</v>
      </c>
      <c r="D41" s="5">
        <f t="shared" si="2"/>
        <v>11.832676190476192</v>
      </c>
      <c r="E41" s="5">
        <f t="shared" si="2"/>
        <v>10.296974761904762</v>
      </c>
      <c r="F41" s="5">
        <f t="shared" si="2"/>
        <v>9.5187940476190462</v>
      </c>
      <c r="G41" s="5">
        <f t="shared" si="2"/>
        <v>9.1102779761904777</v>
      </c>
      <c r="H41" s="5">
        <f t="shared" si="2"/>
        <v>9.0699038690476179</v>
      </c>
      <c r="I41" s="5">
        <f t="shared" si="2"/>
        <v>9.0157395833333354</v>
      </c>
      <c r="J41" s="5" t="e">
        <f t="shared" si="2"/>
        <v>#DIV/0!</v>
      </c>
      <c r="K41" s="5"/>
      <c r="L41" s="5"/>
    </row>
    <row r="42" spans="3:12" x14ac:dyDescent="0.25">
      <c r="C42" s="1" t="s">
        <v>17</v>
      </c>
      <c r="D42" s="5">
        <f t="shared" si="2"/>
        <v>8.7972514285714283</v>
      </c>
      <c r="E42" s="5">
        <f t="shared" si="2"/>
        <v>7.1738369047619059</v>
      </c>
      <c r="F42" s="5">
        <f t="shared" si="2"/>
        <v>6.3811107142857129</v>
      </c>
      <c r="G42" s="5">
        <f t="shared" si="2"/>
        <v>6.1823494047619025</v>
      </c>
      <c r="H42" s="5">
        <f t="shared" si="2"/>
        <v>6.2098592261904786</v>
      </c>
      <c r="I42" s="5">
        <f t="shared" si="2"/>
        <v>6.3499605654761906</v>
      </c>
      <c r="J42" s="5" t="e">
        <f t="shared" si="2"/>
        <v>#DIV/0!</v>
      </c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4">
        <v>42</v>
      </c>
      <c r="E56" s="4">
        <v>84</v>
      </c>
      <c r="F56" s="4">
        <v>168</v>
      </c>
      <c r="G56" s="4">
        <v>336</v>
      </c>
      <c r="H56" s="4">
        <v>672</v>
      </c>
      <c r="I56" s="4">
        <v>1344</v>
      </c>
      <c r="J56" s="4">
        <v>2688</v>
      </c>
      <c r="K56" s="4">
        <v>5376</v>
      </c>
      <c r="L56" s="4">
        <v>10752</v>
      </c>
    </row>
    <row r="57" spans="3:12" x14ac:dyDescent="0.25">
      <c r="C57" s="1" t="s">
        <v>1</v>
      </c>
      <c r="D57" s="12">
        <f t="shared" ref="D57:L67" si="3">D$3/D3</f>
        <v>1</v>
      </c>
      <c r="E57" s="12">
        <f t="shared" si="3"/>
        <v>1</v>
      </c>
      <c r="F57" s="12">
        <f t="shared" si="3"/>
        <v>1</v>
      </c>
      <c r="G57" s="12">
        <f t="shared" si="3"/>
        <v>1</v>
      </c>
      <c r="H57" s="12">
        <f t="shared" si="3"/>
        <v>1</v>
      </c>
      <c r="I57" s="12">
        <f t="shared" si="3"/>
        <v>1</v>
      </c>
      <c r="J57" s="12">
        <f t="shared" si="3"/>
        <v>1</v>
      </c>
      <c r="K57" s="12" t="e">
        <f t="shared" si="3"/>
        <v>#DIV/0!</v>
      </c>
      <c r="L57" s="12" t="e">
        <f t="shared" si="3"/>
        <v>#DIV/0!</v>
      </c>
    </row>
    <row r="58" spans="3:12" x14ac:dyDescent="0.25">
      <c r="C58" s="1" t="s">
        <v>2</v>
      </c>
      <c r="D58" s="12">
        <f t="shared" si="3"/>
        <v>12.058183530257843</v>
      </c>
      <c r="E58" s="12">
        <f t="shared" si="3"/>
        <v>12.159329964026197</v>
      </c>
      <c r="F58" s="12">
        <f t="shared" si="3"/>
        <v>12.16424057883663</v>
      </c>
      <c r="G58" s="12">
        <f t="shared" si="3"/>
        <v>12.330575602226945</v>
      </c>
      <c r="H58" s="12">
        <f>H$3/H4</f>
        <v>12.780950519946227</v>
      </c>
      <c r="I58" s="12">
        <f>I$3/I4</f>
        <v>11.930765556962001</v>
      </c>
      <c r="J58" s="12">
        <f>J$3/J4</f>
        <v>12.125268677791301</v>
      </c>
      <c r="K58" s="12" t="e">
        <f>K$3/K4</f>
        <v>#DIV/0!</v>
      </c>
      <c r="L58" s="12" t="e">
        <f>L$3/L4</f>
        <v>#DIV/0!</v>
      </c>
    </row>
    <row r="59" spans="3:12" x14ac:dyDescent="0.25">
      <c r="C59" s="1" t="s">
        <v>4</v>
      </c>
      <c r="D59" s="12">
        <f t="shared" si="3"/>
        <v>12.914742092181127</v>
      </c>
      <c r="E59" s="12">
        <f t="shared" si="3"/>
        <v>12.549790329464892</v>
      </c>
      <c r="F59" s="12">
        <f>F$3/F5</f>
        <v>12.492485607009995</v>
      </c>
      <c r="G59" s="12">
        <f t="shared" si="3"/>
        <v>12.504401272919216</v>
      </c>
      <c r="H59" s="12">
        <f t="shared" si="3"/>
        <v>12.953668705019677</v>
      </c>
      <c r="I59" s="12">
        <f t="shared" si="3"/>
        <v>11.97967203350675</v>
      </c>
      <c r="J59" s="12">
        <f t="shared" si="3"/>
        <v>12.254930425571642</v>
      </c>
      <c r="K59" s="12"/>
      <c r="L59" s="12"/>
    </row>
    <row r="60" spans="3:12" x14ac:dyDescent="0.25">
      <c r="C60" s="1" t="s">
        <v>5</v>
      </c>
      <c r="D60" s="12">
        <f t="shared" si="3"/>
        <v>11.895545306067278</v>
      </c>
      <c r="E60" s="12">
        <f t="shared" si="3"/>
        <v>12.020309137446862</v>
      </c>
      <c r="F60" s="12">
        <f t="shared" si="3"/>
        <v>12.179647004926339</v>
      </c>
      <c r="G60" s="12">
        <f t="shared" si="3"/>
        <v>12.384312253423527</v>
      </c>
      <c r="H60" s="12">
        <f t="shared" si="3"/>
        <v>12.922283648795208</v>
      </c>
      <c r="I60" s="12">
        <f t="shared" si="3"/>
        <v>12.043598559765968</v>
      </c>
      <c r="J60" s="12">
        <f t="shared" si="3"/>
        <v>12.395528081228806</v>
      </c>
      <c r="K60" s="12" t="e">
        <f t="shared" si="3"/>
        <v>#DIV/0!</v>
      </c>
      <c r="L60" s="12" t="e">
        <f t="shared" si="3"/>
        <v>#DIV/0!</v>
      </c>
    </row>
    <row r="61" spans="3:12" x14ac:dyDescent="0.25">
      <c r="C61" s="1" t="s">
        <v>6</v>
      </c>
      <c r="D61" s="12"/>
      <c r="E61" s="12">
        <f t="shared" si="3"/>
        <v>11.775790355875248</v>
      </c>
      <c r="F61" s="12">
        <f t="shared" si="3"/>
        <v>12.004769711306954</v>
      </c>
      <c r="G61" s="12">
        <f t="shared" si="3"/>
        <v>12.24698157133286</v>
      </c>
      <c r="H61" s="12">
        <f t="shared" si="3"/>
        <v>12.732154981749575</v>
      </c>
      <c r="I61" s="12">
        <f t="shared" si="3"/>
        <v>11.97223229136821</v>
      </c>
      <c r="J61" s="12">
        <f t="shared" si="3"/>
        <v>12.332737985540376</v>
      </c>
      <c r="K61" s="12"/>
      <c r="L61" s="12"/>
    </row>
    <row r="62" spans="3:12" x14ac:dyDescent="0.25">
      <c r="C62" s="1" t="s">
        <v>7</v>
      </c>
      <c r="D62" s="12"/>
      <c r="E62" s="12">
        <f t="shared" si="3"/>
        <v>11.804969935685712</v>
      </c>
      <c r="F62" s="12">
        <f t="shared" si="3"/>
        <v>11.9968600924605</v>
      </c>
      <c r="G62" s="12">
        <f t="shared" si="3"/>
        <v>12.2501317771505</v>
      </c>
      <c r="H62" s="12">
        <f t="shared" si="3"/>
        <v>12.72024360605513</v>
      </c>
      <c r="I62" s="12">
        <f t="shared" si="3"/>
        <v>11.971240524910977</v>
      </c>
      <c r="J62" s="12">
        <f t="shared" si="3"/>
        <v>12.332525964344015</v>
      </c>
      <c r="K62" s="12"/>
      <c r="L62" s="12"/>
    </row>
    <row r="63" spans="3:12" x14ac:dyDescent="0.25">
      <c r="C63" s="1" t="s">
        <v>8</v>
      </c>
      <c r="D63" s="12">
        <f t="shared" si="3"/>
        <v>15.888436915219854</v>
      </c>
      <c r="E63" s="12">
        <f t="shared" si="3"/>
        <v>17.236205098610814</v>
      </c>
      <c r="F63" s="12">
        <f t="shared" si="3"/>
        <v>18.085438307099789</v>
      </c>
      <c r="G63" s="12">
        <f t="shared" si="3"/>
        <v>18.073078717965814</v>
      </c>
      <c r="H63" s="12">
        <f t="shared" si="3"/>
        <v>18.827156613413507</v>
      </c>
      <c r="I63" s="12">
        <f t="shared" si="3"/>
        <v>18.596960109698266</v>
      </c>
      <c r="J63" s="12">
        <f t="shared" si="3"/>
        <v>18.862681387047466</v>
      </c>
      <c r="K63" s="12" t="e">
        <f t="shared" si="3"/>
        <v>#DIV/0!</v>
      </c>
      <c r="L63" s="12" t="e">
        <f t="shared" si="3"/>
        <v>#DIV/0!</v>
      </c>
    </row>
    <row r="64" spans="3:12" x14ac:dyDescent="0.25">
      <c r="C64" s="1" t="s">
        <v>9</v>
      </c>
      <c r="D64" s="12">
        <f t="shared" si="3"/>
        <v>6.2523309392357298</v>
      </c>
      <c r="E64" s="12">
        <f t="shared" si="3"/>
        <v>7.7563195997025201</v>
      </c>
      <c r="F64" s="12">
        <f t="shared" si="3"/>
        <v>7.2055708163923642</v>
      </c>
      <c r="G64" s="12">
        <f t="shared" si="3"/>
        <v>7.8244031000720122</v>
      </c>
      <c r="H64" s="12">
        <f t="shared" si="3"/>
        <v>8.6497171311310161</v>
      </c>
      <c r="I64" s="12">
        <f t="shared" si="3"/>
        <v>8.4731086228835064</v>
      </c>
      <c r="J64" s="12">
        <f t="shared" si="3"/>
        <v>11.030694143432006</v>
      </c>
      <c r="K64" s="12" t="e">
        <f t="shared" si="3"/>
        <v>#DIV/0!</v>
      </c>
      <c r="L64" s="12" t="e">
        <f t="shared" si="3"/>
        <v>#DIV/0!</v>
      </c>
    </row>
    <row r="65" spans="3:12" x14ac:dyDescent="0.25">
      <c r="C65" s="1" t="s">
        <v>10</v>
      </c>
      <c r="D65" s="12"/>
      <c r="E65" s="12">
        <f t="shared" si="3"/>
        <v>17.689267346158616</v>
      </c>
      <c r="F65" s="12">
        <f t="shared" si="3"/>
        <v>18.655748484916469</v>
      </c>
      <c r="G65" s="12">
        <f t="shared" si="3"/>
        <v>18.856022054410282</v>
      </c>
      <c r="H65" s="12">
        <f t="shared" si="3"/>
        <v>19.828525913875591</v>
      </c>
      <c r="I65" s="12">
        <f t="shared" si="3"/>
        <v>19.629634461168589</v>
      </c>
      <c r="J65" s="12">
        <f t="shared" si="3"/>
        <v>19.80789811132906</v>
      </c>
      <c r="K65" s="12"/>
      <c r="L65" s="12"/>
    </row>
    <row r="66" spans="3:12" x14ac:dyDescent="0.25">
      <c r="C66" s="1" t="s">
        <v>16</v>
      </c>
      <c r="D66" s="12">
        <f t="shared" si="3"/>
        <v>11.821900371127251</v>
      </c>
      <c r="E66" s="12">
        <f t="shared" si="3"/>
        <v>12.453278579695647</v>
      </c>
      <c r="F66" s="12">
        <f t="shared" si="3"/>
        <v>12.606680216373199</v>
      </c>
      <c r="G66" s="12">
        <f t="shared" si="3"/>
        <v>12.8946551536801</v>
      </c>
      <c r="H66" s="12">
        <f t="shared" si="3"/>
        <v>13.444226862671179</v>
      </c>
      <c r="I66" s="12">
        <f t="shared" si="3"/>
        <v>12.641834873106339</v>
      </c>
      <c r="J66" s="12" t="e">
        <f t="shared" si="3"/>
        <v>#DIV/0!</v>
      </c>
      <c r="K66" s="12"/>
      <c r="L66" s="12"/>
    </row>
    <row r="67" spans="3:12" x14ac:dyDescent="0.25">
      <c r="C67" s="1" t="s">
        <v>17</v>
      </c>
      <c r="D67" s="12">
        <f t="shared" si="3"/>
        <v>15.900957268688039</v>
      </c>
      <c r="E67" s="12">
        <f t="shared" si="3"/>
        <v>17.874827228505435</v>
      </c>
      <c r="F67" s="12">
        <f t="shared" si="3"/>
        <v>18.805565046097556</v>
      </c>
      <c r="G67" s="12">
        <f t="shared" si="3"/>
        <v>19.001496868918402</v>
      </c>
      <c r="H67" s="12">
        <f t="shared" si="3"/>
        <v>19.636169001032194</v>
      </c>
      <c r="I67" s="12">
        <f t="shared" si="3"/>
        <v>17.949007697952755</v>
      </c>
      <c r="J67" s="12" t="e">
        <f t="shared" si="3"/>
        <v>#DIV/0!</v>
      </c>
      <c r="K67" s="12"/>
      <c r="L67" s="12"/>
    </row>
    <row r="68" spans="3:12" x14ac:dyDescent="0.25">
      <c r="C68" s="1"/>
      <c r="D68" s="12"/>
      <c r="E68" s="12"/>
      <c r="F68" s="12"/>
      <c r="G68" s="12"/>
      <c r="H68" s="12"/>
      <c r="I68" s="12"/>
      <c r="J68" s="12"/>
      <c r="K68" s="12"/>
      <c r="L68" s="12"/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15">
        <v>42</v>
      </c>
      <c r="E88" s="15">
        <v>84</v>
      </c>
      <c r="F88" s="15">
        <v>168</v>
      </c>
      <c r="G88" s="15">
        <v>336</v>
      </c>
      <c r="H88" s="15">
        <v>672</v>
      </c>
      <c r="I88" s="15">
        <v>1344</v>
      </c>
      <c r="J88" s="15">
        <v>2688</v>
      </c>
      <c r="K88" s="4">
        <v>5376</v>
      </c>
      <c r="L88" s="4">
        <v>10752</v>
      </c>
    </row>
    <row r="89" spans="3:12" x14ac:dyDescent="0.25">
      <c r="C89" s="1" t="s">
        <v>1</v>
      </c>
      <c r="D89" s="1">
        <v>187.82211075999936</v>
      </c>
      <c r="E89" s="1">
        <v>348.40793299999888</v>
      </c>
      <c r="F89" s="1">
        <v>11994814.939800894</v>
      </c>
      <c r="G89" s="1">
        <v>280627.53779300017</v>
      </c>
      <c r="H89" s="1">
        <v>9291.8558870000088</v>
      </c>
      <c r="I89" s="1">
        <v>120647.68389600002</v>
      </c>
      <c r="J89" s="1">
        <v>3194504.0458090003</v>
      </c>
      <c r="K89" s="1"/>
      <c r="L89" s="1"/>
    </row>
    <row r="90" spans="3:12" x14ac:dyDescent="0.25">
      <c r="C90" s="1" t="s">
        <v>2</v>
      </c>
      <c r="D90" s="1">
        <v>7.7330889699999936</v>
      </c>
      <c r="E90" s="1">
        <v>23.535970401600004</v>
      </c>
      <c r="F90" s="1">
        <v>27.264492160000017</v>
      </c>
      <c r="G90" s="1">
        <v>64.042607639999886</v>
      </c>
      <c r="H90" s="1">
        <v>3689.8884180000005</v>
      </c>
      <c r="I90" s="1">
        <v>454.11805600000167</v>
      </c>
      <c r="J90" s="1">
        <v>11547.008193000011</v>
      </c>
      <c r="K90" s="1"/>
      <c r="L90" s="1"/>
    </row>
    <row r="91" spans="3:12" x14ac:dyDescent="0.25">
      <c r="C91" s="1" t="s">
        <v>4</v>
      </c>
      <c r="D91" s="1">
        <v>2.597736192399998</v>
      </c>
      <c r="E91" s="1">
        <v>13.732762627599998</v>
      </c>
      <c r="F91" s="1">
        <v>25.630896840000048</v>
      </c>
      <c r="G91" s="1">
        <v>1013.2887437599992</v>
      </c>
      <c r="H91" s="6">
        <v>56.085583840000247</v>
      </c>
      <c r="I91" s="1">
        <v>350.70088400000299</v>
      </c>
      <c r="J91" s="1">
        <v>3779.3627620000048</v>
      </c>
      <c r="K91" s="1"/>
      <c r="L91" s="1"/>
    </row>
    <row r="92" spans="3:12" x14ac:dyDescent="0.25">
      <c r="C92" s="1" t="s">
        <v>5</v>
      </c>
      <c r="D92" s="1">
        <v>2.9110268244000004</v>
      </c>
      <c r="E92" s="1">
        <v>28.63837871359997</v>
      </c>
      <c r="F92" s="1">
        <v>35.52681935999999</v>
      </c>
      <c r="G92" s="1">
        <v>58.906994359999857</v>
      </c>
      <c r="H92" s="1">
        <v>87.296801000000144</v>
      </c>
      <c r="I92" s="1">
        <v>448.63866200000018</v>
      </c>
      <c r="J92" s="1">
        <v>486.19346100000439</v>
      </c>
      <c r="K92" s="1"/>
      <c r="L92" s="1"/>
    </row>
    <row r="93" spans="3:12" x14ac:dyDescent="0.25">
      <c r="C93" s="1" t="s">
        <v>6</v>
      </c>
      <c r="D93" s="1"/>
      <c r="E93" s="1">
        <v>24.887744919999992</v>
      </c>
      <c r="F93" s="1">
        <v>33.004312000000006</v>
      </c>
      <c r="G93" s="1">
        <v>41.457714960000068</v>
      </c>
      <c r="H93" s="1">
        <v>720.64622943999927</v>
      </c>
      <c r="I93" s="1">
        <v>436.83135399999986</v>
      </c>
      <c r="J93" s="1">
        <v>565.61101000000269</v>
      </c>
      <c r="K93" s="1"/>
      <c r="L93" s="1"/>
    </row>
    <row r="94" spans="3:12" x14ac:dyDescent="0.25">
      <c r="C94" s="1" t="s">
        <v>7</v>
      </c>
      <c r="D94" s="1"/>
      <c r="E94" s="1">
        <v>39.598018211599964</v>
      </c>
      <c r="F94" s="1">
        <v>39.503277960000034</v>
      </c>
      <c r="G94" s="1">
        <v>71.002016039999873</v>
      </c>
      <c r="H94" s="1">
        <v>202.09293184000006</v>
      </c>
      <c r="I94" s="1">
        <v>499.80581799999936</v>
      </c>
      <c r="J94" s="1">
        <v>727.92468600000313</v>
      </c>
      <c r="K94" s="1"/>
      <c r="L94" s="1"/>
    </row>
    <row r="95" spans="3:12" x14ac:dyDescent="0.25">
      <c r="C95" s="1" t="s">
        <v>8</v>
      </c>
      <c r="D95" s="1">
        <v>3.1259738815999989</v>
      </c>
      <c r="E95" s="1">
        <v>47.55181772639996</v>
      </c>
      <c r="F95" s="1">
        <v>348.99936823999991</v>
      </c>
      <c r="G95" s="1">
        <v>147.77678735999922</v>
      </c>
      <c r="H95" s="1">
        <v>525.77814304000208</v>
      </c>
      <c r="I95" s="1">
        <v>1970.1635708399988</v>
      </c>
      <c r="J95" s="1">
        <v>25516.545751000012</v>
      </c>
      <c r="K95" s="1"/>
      <c r="L95" s="4"/>
    </row>
    <row r="96" spans="3:12" x14ac:dyDescent="0.25">
      <c r="C96" s="1" t="s">
        <v>9</v>
      </c>
      <c r="D96" s="1">
        <v>40.263418040400005</v>
      </c>
      <c r="E96" s="1">
        <v>150.67747616000008</v>
      </c>
      <c r="F96" s="1">
        <v>10730.379941640002</v>
      </c>
      <c r="G96" s="1">
        <v>6123.9213675600058</v>
      </c>
      <c r="H96" s="1">
        <v>40603.020940959999</v>
      </c>
      <c r="I96" s="1">
        <v>5944.7663879999936</v>
      </c>
      <c r="J96" s="1">
        <v>2759231.0743089998</v>
      </c>
      <c r="K96" s="1"/>
      <c r="L96" s="1"/>
    </row>
    <row r="97" spans="3:12" x14ac:dyDescent="0.25">
      <c r="C97" s="1" t="s">
        <v>10</v>
      </c>
      <c r="D97" s="1"/>
      <c r="E97" s="1">
        <v>8.8991868036000099</v>
      </c>
      <c r="F97" s="1">
        <v>43.717849640000011</v>
      </c>
      <c r="G97" s="1">
        <v>156.08249963999975</v>
      </c>
      <c r="H97" s="1">
        <v>1158.4631291600012</v>
      </c>
      <c r="I97" s="1">
        <v>2542.2347984400008</v>
      </c>
      <c r="J97" s="1">
        <v>38701.170635000017</v>
      </c>
      <c r="K97" s="1"/>
      <c r="L97" s="1"/>
    </row>
    <row r="98" spans="3:12" x14ac:dyDescent="0.25">
      <c r="C98" s="1" t="s">
        <v>16</v>
      </c>
      <c r="D98" s="1">
        <v>79.720366320000025</v>
      </c>
      <c r="E98" s="1">
        <v>68.385865545599984</v>
      </c>
      <c r="F98" s="1">
        <v>75.919874240000027</v>
      </c>
      <c r="G98" s="1">
        <v>89.284647439999929</v>
      </c>
      <c r="H98" s="1">
        <v>392.17984143999985</v>
      </c>
      <c r="I98" s="1">
        <v>44603.892137000017</v>
      </c>
      <c r="J98" s="1" t="e">
        <v>#DIV/0!</v>
      </c>
      <c r="K98" s="1"/>
      <c r="L98" s="1"/>
    </row>
    <row r="99" spans="3:12" x14ac:dyDescent="0.25">
      <c r="C99" s="1" t="s">
        <v>17</v>
      </c>
      <c r="D99" s="1">
        <v>4.2862472464000092</v>
      </c>
      <c r="E99" s="1">
        <v>11.868346609999978</v>
      </c>
      <c r="F99" s="1">
        <v>31.477970439999982</v>
      </c>
      <c r="G99" s="1">
        <v>226.51827463999945</v>
      </c>
      <c r="H99" s="1">
        <v>338.5742203599998</v>
      </c>
      <c r="I99" s="1">
        <v>2262.6137560000016</v>
      </c>
      <c r="J99" s="1" t="e">
        <v>#DIV/0!</v>
      </c>
      <c r="K99" s="1"/>
      <c r="L99" s="1"/>
    </row>
    <row r="100" spans="3:12" x14ac:dyDescent="0.25">
      <c r="C100" s="1" t="s">
        <v>16</v>
      </c>
      <c r="D100" s="1">
        <v>354.86351665000012</v>
      </c>
      <c r="E100" s="1">
        <v>211.53417922239998</v>
      </c>
      <c r="F100" s="1">
        <v>131.42343203999997</v>
      </c>
      <c r="G100" s="1">
        <v>2265.30429624</v>
      </c>
      <c r="H100" s="1" t="e">
        <v>#DIV/0!</v>
      </c>
      <c r="I100" s="1" t="e">
        <v>#DIV/0!</v>
      </c>
      <c r="J100" s="1">
        <v>115320.49434500014</v>
      </c>
      <c r="K100" s="1"/>
      <c r="L100" s="1"/>
    </row>
    <row r="101" spans="3:12" x14ac:dyDescent="0.25">
      <c r="C101" s="1" t="s">
        <v>17</v>
      </c>
      <c r="D101" s="1">
        <v>7.0095744784000011</v>
      </c>
      <c r="E101" s="1">
        <v>11.43930481160001</v>
      </c>
      <c r="F101" s="1">
        <v>35.070325639999979</v>
      </c>
      <c r="G101" s="1">
        <v>132.93824504000003</v>
      </c>
      <c r="H101" s="1" t="e">
        <v>#DIV/0!</v>
      </c>
      <c r="I101" s="1" t="e">
        <v>#DIV/0!</v>
      </c>
      <c r="J101" s="1">
        <v>6209.70505400002</v>
      </c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">
        <v>3.7987824909979078</v>
      </c>
      <c r="E112" s="1">
        <v>5.1738649294561121</v>
      </c>
      <c r="F112" s="1">
        <v>959.99251114515585</v>
      </c>
      <c r="G112" s="1">
        <v>146.83723977149592</v>
      </c>
      <c r="H112" s="1">
        <v>26.71912931796215</v>
      </c>
      <c r="I112" s="1">
        <v>96.278776732452684</v>
      </c>
      <c r="J112" s="1">
        <v>495.41915066698533</v>
      </c>
      <c r="K112" s="1"/>
      <c r="L112" s="1"/>
    </row>
    <row r="113" spans="3:12" x14ac:dyDescent="0.25">
      <c r="C113" s="1" t="s">
        <v>2</v>
      </c>
      <c r="D113" s="1">
        <v>0.77081041232136926</v>
      </c>
      <c r="E113" s="1">
        <v>1.3447362856321425</v>
      </c>
      <c r="F113" s="1">
        <v>1.4473373696678742</v>
      </c>
      <c r="G113" s="1">
        <v>2.2182248826925712</v>
      </c>
      <c r="H113" s="1">
        <v>16.837502989807486</v>
      </c>
      <c r="I113" s="1">
        <v>5.9068433599167092</v>
      </c>
      <c r="J113" s="1">
        <v>29.785562500724687</v>
      </c>
      <c r="K113" s="1"/>
      <c r="L113" s="1"/>
    </row>
    <row r="114" spans="3:12" x14ac:dyDescent="0.25">
      <c r="C114" s="1" t="s">
        <v>4</v>
      </c>
      <c r="D114" s="1">
        <v>0.44675414618610604</v>
      </c>
      <c r="E114" s="1">
        <v>1.0271882097277807</v>
      </c>
      <c r="F114" s="1">
        <v>1.4033079013569627</v>
      </c>
      <c r="G114" s="1">
        <v>8.8234347484734226</v>
      </c>
      <c r="H114" s="6">
        <v>2.0758534576397483</v>
      </c>
      <c r="I114" s="1">
        <v>5.1908621942301867</v>
      </c>
      <c r="J114" s="1">
        <v>17.040422522049866</v>
      </c>
      <c r="K114" s="1"/>
      <c r="L114" s="1"/>
    </row>
    <row r="115" spans="3:12" x14ac:dyDescent="0.25">
      <c r="C115" s="1" t="s">
        <v>5</v>
      </c>
      <c r="D115" s="1">
        <v>0.4729270694010872</v>
      </c>
      <c r="E115" s="1">
        <v>1.4833556260463345</v>
      </c>
      <c r="F115" s="1">
        <v>1.6521490807634518</v>
      </c>
      <c r="G115" s="1">
        <v>2.1274261892407709</v>
      </c>
      <c r="H115" s="1">
        <v>2.5898238964130376</v>
      </c>
      <c r="I115" s="1">
        <v>5.8710991882937913</v>
      </c>
      <c r="J115" s="1">
        <v>6.1118913599271645</v>
      </c>
      <c r="K115" s="1"/>
      <c r="L115" s="1"/>
    </row>
    <row r="116" spans="3:12" x14ac:dyDescent="0.25">
      <c r="C116" s="1" t="s">
        <v>6</v>
      </c>
      <c r="D116" s="1"/>
      <c r="E116" s="1">
        <v>1.3828142383174391</v>
      </c>
      <c r="F116" s="1">
        <v>1.5924155549303078</v>
      </c>
      <c r="G116" s="1">
        <v>1.7847350379837128</v>
      </c>
      <c r="H116" s="1">
        <v>7.4410141177351639</v>
      </c>
      <c r="I116" s="1">
        <v>5.7933260386869287</v>
      </c>
      <c r="J116" s="1">
        <v>6.5921942568707879</v>
      </c>
      <c r="K116" s="1"/>
      <c r="L116" s="1"/>
    </row>
    <row r="117" spans="3:12" x14ac:dyDescent="0.25">
      <c r="C117" s="1" t="s">
        <v>7</v>
      </c>
      <c r="D117" s="1"/>
      <c r="E117" s="1">
        <v>1.7442462369842304</v>
      </c>
      <c r="F117" s="1">
        <v>1.7421583889597185</v>
      </c>
      <c r="G117" s="1">
        <v>2.335642715910391</v>
      </c>
      <c r="H117" s="1">
        <v>3.9404573515178263</v>
      </c>
      <c r="I117" s="1">
        <v>6.1968605445480165</v>
      </c>
      <c r="J117" s="1">
        <v>7.4784964715343838</v>
      </c>
      <c r="K117" s="1"/>
      <c r="L117" s="1"/>
    </row>
    <row r="118" spans="3:12" x14ac:dyDescent="0.25">
      <c r="C118" s="1" t="s">
        <v>8</v>
      </c>
      <c r="D118" s="1">
        <v>0.49007634636971725</v>
      </c>
      <c r="E118" s="1">
        <v>1.9114134193195258</v>
      </c>
      <c r="F118" s="1">
        <v>5.1782544800942016</v>
      </c>
      <c r="G118" s="1">
        <v>3.3695676468121927</v>
      </c>
      <c r="H118" s="1">
        <v>6.3558308887233173</v>
      </c>
      <c r="I118" s="1">
        <v>12.303316929786812</v>
      </c>
      <c r="J118" s="1">
        <v>44.277389750761429</v>
      </c>
      <c r="K118" s="1"/>
      <c r="L118" s="4"/>
    </row>
    <row r="119" spans="3:12" x14ac:dyDescent="0.25">
      <c r="C119" s="1" t="s">
        <v>9</v>
      </c>
      <c r="D119" s="1">
        <v>1.7588402243751458</v>
      </c>
      <c r="E119" s="1">
        <v>3.4024773104791048</v>
      </c>
      <c r="F119" s="1">
        <v>28.713003181069105</v>
      </c>
      <c r="G119" s="1">
        <v>21.69131454090255</v>
      </c>
      <c r="H119" s="1">
        <v>55.853480687740827</v>
      </c>
      <c r="I119" s="1">
        <v>21.371670293236686</v>
      </c>
      <c r="J119" s="1">
        <v>460.43158221532661</v>
      </c>
      <c r="K119" s="1"/>
      <c r="L119" s="1"/>
    </row>
    <row r="120" spans="3:12" x14ac:dyDescent="0.25">
      <c r="C120" s="1" t="s">
        <v>10</v>
      </c>
      <c r="D120" s="1"/>
      <c r="E120" s="1">
        <v>0.82688712681610654</v>
      </c>
      <c r="F120" s="1">
        <v>1.8327383401731083</v>
      </c>
      <c r="G120" s="1">
        <v>3.4629655805884729</v>
      </c>
      <c r="H120" s="1">
        <v>9.4343541983339385</v>
      </c>
      <c r="I120" s="1">
        <v>13.975871494606057</v>
      </c>
      <c r="J120" s="1">
        <v>54.529701468358695</v>
      </c>
      <c r="K120" s="1"/>
      <c r="L120" s="1"/>
    </row>
    <row r="121" spans="3:12" x14ac:dyDescent="0.25">
      <c r="C121" s="1" t="s">
        <v>16</v>
      </c>
      <c r="D121" s="1">
        <v>2.4748889237899632</v>
      </c>
      <c r="E121" s="1">
        <v>2.2922091574722274</v>
      </c>
      <c r="F121" s="1">
        <v>2.4151761380089201</v>
      </c>
      <c r="G121" s="1">
        <v>2.6191445229521175</v>
      </c>
      <c r="H121" s="1">
        <v>5.4892587457249693</v>
      </c>
      <c r="I121" s="1">
        <v>58.540637515062855</v>
      </c>
      <c r="J121" s="1" t="e">
        <v>#DIV/0!</v>
      </c>
      <c r="K121" s="1"/>
      <c r="L121" s="1"/>
    </row>
    <row r="122" spans="3:12" x14ac:dyDescent="0.25">
      <c r="C122" s="1" t="s">
        <v>17</v>
      </c>
      <c r="D122" s="1">
        <v>0.57386492176766257</v>
      </c>
      <c r="E122" s="1">
        <v>0.95491821992227088</v>
      </c>
      <c r="F122" s="1">
        <v>1.5551576848815296</v>
      </c>
      <c r="G122" s="1">
        <v>4.1717924297764908</v>
      </c>
      <c r="H122" s="1">
        <v>5.1003269011603072</v>
      </c>
      <c r="I122" s="1">
        <v>13.18488301430817</v>
      </c>
      <c r="J122" s="1" t="e">
        <v>#DIV/0!</v>
      </c>
      <c r="K122" s="1"/>
      <c r="L122" s="1"/>
    </row>
    <row r="123" spans="3:12" x14ac:dyDescent="0.25">
      <c r="C123" s="1" t="s">
        <v>16</v>
      </c>
      <c r="D123" s="1">
        <v>5.2215777032667816</v>
      </c>
      <c r="E123" s="1">
        <v>4.0314506146070341</v>
      </c>
      <c r="F123" s="1">
        <v>3.177660323334965</v>
      </c>
      <c r="G123" s="1">
        <v>13.192719950363218</v>
      </c>
      <c r="H123" s="1" t="e">
        <v>#DIV/0!</v>
      </c>
      <c r="I123" s="1" t="e">
        <v>#DIV/0!</v>
      </c>
      <c r="J123" s="1" t="e">
        <v>#DIV/0!</v>
      </c>
      <c r="K123" s="1"/>
      <c r="L123" s="1"/>
    </row>
    <row r="124" spans="3:12" x14ac:dyDescent="0.25">
      <c r="C124" s="1" t="s">
        <v>17</v>
      </c>
      <c r="D124" s="1">
        <v>0.73386621827444043</v>
      </c>
      <c r="E124" s="1">
        <v>0.93749915588487431</v>
      </c>
      <c r="F124" s="1">
        <v>1.6415003075151946</v>
      </c>
      <c r="G124" s="1">
        <v>3.1959210320208604</v>
      </c>
      <c r="H124" s="1" t="e">
        <v>#DIV/0!</v>
      </c>
      <c r="I124" s="1" t="e">
        <v>#DIV/0!</v>
      </c>
      <c r="J124" s="1" t="e">
        <v>#DIV/0!</v>
      </c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3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D50 D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1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 H6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 I6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 K62 K68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5 L62 L68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4" sqref="D14:J15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14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  <c r="M2" t="s">
        <v>15</v>
      </c>
    </row>
    <row r="3" spans="1:13" x14ac:dyDescent="0.25">
      <c r="A3">
        <v>1</v>
      </c>
      <c r="C3" s="1" t="s">
        <v>1</v>
      </c>
      <c r="D3" s="10">
        <v>6732.0454</v>
      </c>
      <c r="E3" s="10">
        <v>12795.570000000002</v>
      </c>
      <c r="F3" s="10">
        <v>24112.532000000003</v>
      </c>
      <c r="G3" s="10">
        <v>46059.343999999997</v>
      </c>
      <c r="H3" s="10">
        <v>91907.945999999982</v>
      </c>
      <c r="I3" s="10">
        <v>184408.08</v>
      </c>
      <c r="J3" s="10">
        <v>367570.34</v>
      </c>
      <c r="K3" s="10"/>
      <c r="L3" s="10"/>
    </row>
    <row r="4" spans="1:13" x14ac:dyDescent="0.25">
      <c r="C4" s="1" t="s">
        <v>2</v>
      </c>
      <c r="D4" s="10">
        <v>565.78236000000004</v>
      </c>
      <c r="E4" s="10">
        <v>1048.5618000000002</v>
      </c>
      <c r="F4" s="10">
        <v>1982.6899999999996</v>
      </c>
      <c r="G4" s="10">
        <v>3787.3732000000014</v>
      </c>
      <c r="H4" s="10">
        <v>7666.1589999999997</v>
      </c>
      <c r="I4" s="10">
        <v>15021.705999999998</v>
      </c>
      <c r="J4" s="10">
        <v>30206.626000000011</v>
      </c>
      <c r="K4" s="10"/>
      <c r="L4" s="10"/>
    </row>
    <row r="5" spans="1:13" x14ac:dyDescent="0.25">
      <c r="C5" s="1" t="s">
        <v>4</v>
      </c>
      <c r="D5" s="10">
        <v>537.5828600000001</v>
      </c>
      <c r="E5" s="10">
        <v>1010.2037999999999</v>
      </c>
      <c r="F5" s="10">
        <v>1940.0652</v>
      </c>
      <c r="G5" s="10">
        <v>3816.5009999999997</v>
      </c>
      <c r="H5" s="11">
        <v>7811.4766</v>
      </c>
      <c r="I5" s="10">
        <v>15154.871999999999</v>
      </c>
      <c r="J5" s="10">
        <v>30090.163999999993</v>
      </c>
      <c r="K5" s="10"/>
      <c r="L5" s="10"/>
    </row>
    <row r="6" spans="1:13" x14ac:dyDescent="0.25">
      <c r="C6" s="1" t="s">
        <v>5</v>
      </c>
      <c r="D6" s="10">
        <v>568.43799999999999</v>
      </c>
      <c r="E6" s="10">
        <v>1053.3364000000001</v>
      </c>
      <c r="F6" s="10">
        <v>1978.4417999999994</v>
      </c>
      <c r="G6" s="10">
        <v>3846.7940000000003</v>
      </c>
      <c r="H6" s="10">
        <v>7448.5196000000024</v>
      </c>
      <c r="I6" s="10">
        <v>14762.202000000001</v>
      </c>
      <c r="J6" s="10">
        <v>30250.245999999992</v>
      </c>
      <c r="K6" s="10"/>
      <c r="L6" s="10"/>
    </row>
    <row r="7" spans="1:13" x14ac:dyDescent="0.25">
      <c r="C7" s="1" t="s">
        <v>6</v>
      </c>
      <c r="D7" s="10"/>
      <c r="E7" s="10">
        <v>1098.6976</v>
      </c>
      <c r="F7" s="10">
        <v>2044.9888000000001</v>
      </c>
      <c r="G7" s="10">
        <v>3966.7574000000004</v>
      </c>
      <c r="H7" s="10">
        <v>7436.0804000000035</v>
      </c>
      <c r="I7" s="10">
        <v>14843.796</v>
      </c>
      <c r="J7" s="10">
        <v>31936.964000000007</v>
      </c>
      <c r="K7" s="10"/>
      <c r="L7" s="10"/>
    </row>
    <row r="8" spans="1:13" x14ac:dyDescent="0.25">
      <c r="C8" s="1" t="s">
        <v>7</v>
      </c>
      <c r="D8" s="10"/>
      <c r="E8" s="10">
        <v>1100.0655999999999</v>
      </c>
      <c r="F8" s="10">
        <v>2057.8179999999998</v>
      </c>
      <c r="G8" s="10">
        <v>3962.7250000000004</v>
      </c>
      <c r="H8" s="10">
        <v>7628.9560000000001</v>
      </c>
      <c r="I8" s="10">
        <v>14841.381999999994</v>
      </c>
      <c r="J8" s="10">
        <v>30129.48599999999</v>
      </c>
      <c r="K8" s="10"/>
      <c r="L8" s="10"/>
    </row>
    <row r="9" spans="1:13" x14ac:dyDescent="0.25">
      <c r="C9" s="1" t="s">
        <v>8</v>
      </c>
      <c r="D9" s="10">
        <v>344.71263999999996</v>
      </c>
      <c r="E9" s="10">
        <v>563.00459999999975</v>
      </c>
      <c r="F9" s="10">
        <v>1067.8192000000001</v>
      </c>
      <c r="G9" s="10">
        <v>2109.8016000000007</v>
      </c>
      <c r="H9" s="10">
        <v>4311.6994000000004</v>
      </c>
      <c r="I9" s="10">
        <v>8536.9112000000005</v>
      </c>
      <c r="J9" s="10">
        <v>16848.092000000001</v>
      </c>
      <c r="K9" s="10"/>
      <c r="L9" s="9"/>
    </row>
    <row r="10" spans="1:13" x14ac:dyDescent="0.25">
      <c r="C10" s="1" t="s">
        <v>9</v>
      </c>
      <c r="D10" s="10">
        <v>1001.4924800000001</v>
      </c>
      <c r="E10" s="10">
        <v>1662.8521999999998</v>
      </c>
      <c r="F10" s="10">
        <v>3342.1845999999996</v>
      </c>
      <c r="G10" s="10">
        <v>6069.613400000002</v>
      </c>
      <c r="H10" s="10">
        <v>11814.460000000006</v>
      </c>
      <c r="I10" s="10">
        <v>21886.495999999999</v>
      </c>
      <c r="J10" s="10">
        <v>36632.952000000005</v>
      </c>
      <c r="K10" s="10"/>
      <c r="L10" s="10"/>
    </row>
    <row r="11" spans="1:13" x14ac:dyDescent="0.25">
      <c r="C11" s="1" t="s">
        <v>10</v>
      </c>
      <c r="D11" s="10"/>
      <c r="E11" s="10">
        <v>588.25029999999992</v>
      </c>
      <c r="F11" s="10">
        <v>1023.4705</v>
      </c>
      <c r="G11" s="10">
        <v>1924.1816000000003</v>
      </c>
      <c r="H11" s="10">
        <v>3836.9328000000014</v>
      </c>
      <c r="I11" s="10">
        <v>7876.4872000000005</v>
      </c>
      <c r="J11" s="10">
        <v>15491.638000000001</v>
      </c>
      <c r="K11" s="10"/>
      <c r="L11" s="10"/>
    </row>
    <row r="12" spans="1:13" x14ac:dyDescent="0.25">
      <c r="C12" s="1" t="s">
        <v>16</v>
      </c>
      <c r="D12" s="10">
        <v>655.85187999999994</v>
      </c>
      <c r="E12" s="10">
        <v>1122.2881999999997</v>
      </c>
      <c r="F12" s="10">
        <v>2062.2731999999992</v>
      </c>
      <c r="G12" s="10">
        <v>3843.9814000000006</v>
      </c>
      <c r="H12" s="10">
        <v>7733.3808000000008</v>
      </c>
      <c r="I12" s="10">
        <v>14666.314000000002</v>
      </c>
      <c r="J12" s="10">
        <v>28278.648000000001</v>
      </c>
      <c r="K12" s="10"/>
      <c r="L12" s="10"/>
    </row>
    <row r="13" spans="1:13" x14ac:dyDescent="0.25">
      <c r="C13" s="1" t="s">
        <v>17</v>
      </c>
      <c r="D13" s="10">
        <v>326.85911999999996</v>
      </c>
      <c r="E13" s="10">
        <v>560.98236000000009</v>
      </c>
      <c r="F13" s="10">
        <v>1056.0063999999995</v>
      </c>
      <c r="G13" s="10">
        <v>2086.9771999999989</v>
      </c>
      <c r="H13" s="10">
        <v>4302.8068000000003</v>
      </c>
      <c r="I13" s="10">
        <v>8533.8542000000034</v>
      </c>
      <c r="J13" s="10">
        <v>16822.824000000004</v>
      </c>
      <c r="K13" s="10"/>
      <c r="L13" s="10"/>
    </row>
    <row r="14" spans="1:13" x14ac:dyDescent="0.25">
      <c r="C14" s="1" t="s">
        <v>16</v>
      </c>
      <c r="D14" s="10">
        <v>573.63522</v>
      </c>
      <c r="E14" s="10">
        <v>1033.2558000000004</v>
      </c>
      <c r="F14" s="10">
        <v>1921.5246000000002</v>
      </c>
      <c r="G14" s="10">
        <v>3649.9785999999999</v>
      </c>
      <c r="H14" s="10">
        <v>7160.9678000000013</v>
      </c>
      <c r="I14" s="10">
        <v>14267.314000000002</v>
      </c>
      <c r="J14" s="10">
        <v>27570.591999999997</v>
      </c>
      <c r="K14" s="10"/>
      <c r="L14" s="10"/>
    </row>
    <row r="15" spans="1:13" x14ac:dyDescent="0.25">
      <c r="C15" s="1" t="s">
        <v>17</v>
      </c>
      <c r="D15" s="10">
        <v>312.60660000000001</v>
      </c>
      <c r="E15" s="10">
        <v>548.42255999999975</v>
      </c>
      <c r="F15" s="10">
        <v>1018.17294</v>
      </c>
      <c r="G15" s="10">
        <v>2016.2661999999996</v>
      </c>
      <c r="H15" s="10">
        <v>4164.2593999999999</v>
      </c>
      <c r="I15" s="10">
        <v>8335.7697999999982</v>
      </c>
      <c r="J15" s="10">
        <v>16520.026000000002</v>
      </c>
      <c r="K15" s="10"/>
      <c r="L15" s="10"/>
    </row>
    <row r="16" spans="1:13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160.28679523809524</v>
      </c>
      <c r="E32" s="5">
        <f t="shared" ref="E32:L32" si="0">E3/E$2</f>
        <v>152.3282142857143</v>
      </c>
      <c r="F32" s="5">
        <f t="shared" si="0"/>
        <v>143.5269761904762</v>
      </c>
      <c r="G32" s="5">
        <f t="shared" si="0"/>
        <v>137.08138095238095</v>
      </c>
      <c r="H32" s="5">
        <f t="shared" si="0"/>
        <v>136.76777678571426</v>
      </c>
      <c r="I32" s="5">
        <f t="shared" si="0"/>
        <v>137.20839285714285</v>
      </c>
      <c r="J32" s="5">
        <f t="shared" si="0"/>
        <v>136.7449181547619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</v>
      </c>
      <c r="D33" s="5">
        <f t="shared" ref="D33:L33" si="1">D4/D$2</f>
        <v>13.471008571428573</v>
      </c>
      <c r="E33" s="5">
        <f t="shared" si="1"/>
        <v>12.482878571428573</v>
      </c>
      <c r="F33" s="5">
        <f t="shared" si="1"/>
        <v>11.801726190476188</v>
      </c>
      <c r="G33" s="5">
        <f t="shared" si="1"/>
        <v>11.271944047619051</v>
      </c>
      <c r="H33" s="5">
        <f t="shared" si="1"/>
        <v>11.407974702380951</v>
      </c>
      <c r="I33" s="5">
        <f t="shared" si="1"/>
        <v>11.176864583333332</v>
      </c>
      <c r="J33" s="5">
        <f t="shared" si="1"/>
        <v>11.237584077380957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4</v>
      </c>
      <c r="D34" s="5">
        <f t="shared" ref="D34:L34" si="2">D5/D$2</f>
        <v>12.799591904761908</v>
      </c>
      <c r="E34" s="5">
        <f t="shared" si="2"/>
        <v>12.026235714285713</v>
      </c>
      <c r="F34" s="5">
        <f t="shared" si="2"/>
        <v>11.548007142857143</v>
      </c>
      <c r="G34" s="5">
        <f t="shared" si="2"/>
        <v>11.358633928571427</v>
      </c>
      <c r="H34" s="5">
        <f t="shared" si="2"/>
        <v>11.624221130952382</v>
      </c>
      <c r="I34" s="5">
        <f t="shared" si="2"/>
        <v>11.275946428571428</v>
      </c>
      <c r="J34" s="5">
        <f t="shared" si="2"/>
        <v>11.194257440476187</v>
      </c>
      <c r="K34" s="5">
        <f t="shared" si="2"/>
        <v>0</v>
      </c>
      <c r="L34" s="5">
        <f t="shared" si="2"/>
        <v>0</v>
      </c>
    </row>
    <row r="35" spans="3:12" x14ac:dyDescent="0.25">
      <c r="C35" s="1" t="s">
        <v>5</v>
      </c>
      <c r="D35" s="5">
        <f t="shared" ref="D35:L35" si="3">D6/D$2</f>
        <v>13.534238095238095</v>
      </c>
      <c r="E35" s="5">
        <f t="shared" si="3"/>
        <v>12.53971904761905</v>
      </c>
      <c r="F35" s="5">
        <f t="shared" si="3"/>
        <v>11.776439285714282</v>
      </c>
      <c r="G35" s="5">
        <f t="shared" si="3"/>
        <v>11.448791666666668</v>
      </c>
      <c r="H35" s="5">
        <f t="shared" si="3"/>
        <v>11.084106547619051</v>
      </c>
      <c r="I35" s="5">
        <f t="shared" si="3"/>
        <v>10.983781250000002</v>
      </c>
      <c r="J35" s="5">
        <f t="shared" si="3"/>
        <v>11.253811755952379</v>
      </c>
      <c r="K35" s="5">
        <f t="shared" si="3"/>
        <v>0</v>
      </c>
      <c r="L35" s="5">
        <f t="shared" si="3"/>
        <v>0</v>
      </c>
    </row>
    <row r="36" spans="3:12" x14ac:dyDescent="0.25">
      <c r="C36" s="1" t="s">
        <v>6</v>
      </c>
      <c r="D36" s="5"/>
      <c r="E36" s="5">
        <f t="shared" ref="E36:L36" si="4">E7/E$2</f>
        <v>13.079733333333333</v>
      </c>
      <c r="F36" s="5">
        <f t="shared" si="4"/>
        <v>12.172552380952382</v>
      </c>
      <c r="G36" s="5">
        <f t="shared" si="4"/>
        <v>11.805825595238096</v>
      </c>
      <c r="H36" s="5">
        <f t="shared" si="4"/>
        <v>11.065595833333338</v>
      </c>
      <c r="I36" s="5">
        <f t="shared" si="4"/>
        <v>11.044491071428572</v>
      </c>
      <c r="J36" s="5">
        <f t="shared" si="4"/>
        <v>11.881311011904765</v>
      </c>
      <c r="K36" s="5">
        <f t="shared" si="4"/>
        <v>0</v>
      </c>
      <c r="L36" s="5">
        <f t="shared" si="4"/>
        <v>0</v>
      </c>
    </row>
    <row r="37" spans="3:12" x14ac:dyDescent="0.25">
      <c r="C37" s="1" t="s">
        <v>7</v>
      </c>
      <c r="D37" s="5"/>
      <c r="E37" s="5">
        <f t="shared" ref="E37:L37" si="5">E8/E$2</f>
        <v>13.096019047619047</v>
      </c>
      <c r="F37" s="5">
        <f t="shared" si="5"/>
        <v>12.248916666666664</v>
      </c>
      <c r="G37" s="5">
        <f t="shared" si="5"/>
        <v>11.793824404761907</v>
      </c>
      <c r="H37" s="5">
        <f t="shared" si="5"/>
        <v>11.352613095238095</v>
      </c>
      <c r="I37" s="5">
        <f t="shared" si="5"/>
        <v>11.042694940476187</v>
      </c>
      <c r="J37" s="5">
        <f t="shared" si="5"/>
        <v>11.208886160714282</v>
      </c>
      <c r="K37" s="5">
        <f t="shared" si="5"/>
        <v>0</v>
      </c>
      <c r="L37" s="5">
        <f t="shared" si="5"/>
        <v>0</v>
      </c>
    </row>
    <row r="38" spans="3:12" x14ac:dyDescent="0.25">
      <c r="C38" s="1" t="s">
        <v>8</v>
      </c>
      <c r="D38" s="5">
        <f t="shared" ref="D38:L38" si="6">D9/D$2</f>
        <v>8.2074438095238094</v>
      </c>
      <c r="E38" s="5">
        <f t="shared" si="6"/>
        <v>6.7024357142857109</v>
      </c>
      <c r="F38" s="5">
        <f t="shared" si="6"/>
        <v>6.3560666666666679</v>
      </c>
      <c r="G38" s="5">
        <f t="shared" si="6"/>
        <v>6.2791714285714306</v>
      </c>
      <c r="H38" s="5">
        <f t="shared" si="6"/>
        <v>6.4162193452380958</v>
      </c>
      <c r="I38" s="5">
        <f t="shared" si="6"/>
        <v>6.3518684523809528</v>
      </c>
      <c r="J38" s="5">
        <f t="shared" si="6"/>
        <v>6.2678913690476197</v>
      </c>
      <c r="K38" s="5">
        <f t="shared" si="6"/>
        <v>0</v>
      </c>
      <c r="L38" s="5">
        <f t="shared" si="6"/>
        <v>0</v>
      </c>
    </row>
    <row r="39" spans="3:12" x14ac:dyDescent="0.25">
      <c r="C39" s="1" t="s">
        <v>9</v>
      </c>
      <c r="D39" s="5">
        <f t="shared" ref="D39:L39" si="7">D10/D$2</f>
        <v>23.845059047619049</v>
      </c>
      <c r="E39" s="5">
        <f t="shared" si="7"/>
        <v>19.795859523809522</v>
      </c>
      <c r="F39" s="5">
        <f t="shared" si="7"/>
        <v>19.893955952380949</v>
      </c>
      <c r="G39" s="5">
        <f t="shared" si="7"/>
        <v>18.064325595238103</v>
      </c>
      <c r="H39" s="5">
        <f t="shared" si="7"/>
        <v>17.581041666666675</v>
      </c>
      <c r="I39" s="5">
        <f t="shared" si="7"/>
        <v>16.284595238095239</v>
      </c>
      <c r="J39" s="5">
        <f t="shared" si="7"/>
        <v>13.628330357142859</v>
      </c>
      <c r="K39" s="5">
        <f t="shared" si="7"/>
        <v>0</v>
      </c>
      <c r="L39" s="5">
        <f t="shared" si="7"/>
        <v>0</v>
      </c>
    </row>
    <row r="40" spans="3:12" x14ac:dyDescent="0.25">
      <c r="C40" s="1" t="s">
        <v>10</v>
      </c>
      <c r="D40" s="5"/>
      <c r="E40" s="5">
        <f t="shared" ref="D40:L42" si="8">E11/E$2</f>
        <v>7.0029797619047613</v>
      </c>
      <c r="F40" s="5">
        <f t="shared" si="8"/>
        <v>6.0920863095238094</v>
      </c>
      <c r="G40" s="5">
        <f t="shared" si="8"/>
        <v>5.7267309523809535</v>
      </c>
      <c r="H40" s="5">
        <f t="shared" si="8"/>
        <v>5.7097214285714308</v>
      </c>
      <c r="I40" s="5">
        <f t="shared" si="8"/>
        <v>5.8604815476190479</v>
      </c>
      <c r="J40" s="5">
        <f t="shared" si="8"/>
        <v>5.76325818452381</v>
      </c>
      <c r="K40" s="5">
        <f t="shared" si="8"/>
        <v>0</v>
      </c>
      <c r="L40" s="5">
        <f t="shared" si="8"/>
        <v>0</v>
      </c>
    </row>
    <row r="41" spans="3:12" x14ac:dyDescent="0.25">
      <c r="C41" s="1" t="s">
        <v>16</v>
      </c>
      <c r="D41" s="5">
        <f t="shared" si="8"/>
        <v>15.615520952380951</v>
      </c>
      <c r="E41" s="5">
        <f t="shared" si="8"/>
        <v>13.360573809523807</v>
      </c>
      <c r="F41" s="5">
        <f t="shared" si="8"/>
        <v>12.27543571428571</v>
      </c>
      <c r="G41" s="5">
        <f t="shared" si="8"/>
        <v>11.440420833333334</v>
      </c>
      <c r="H41" s="5">
        <f t="shared" si="8"/>
        <v>11.508007142857144</v>
      </c>
      <c r="I41" s="5">
        <f t="shared" si="8"/>
        <v>10.912436011904763</v>
      </c>
      <c r="J41" s="5">
        <f t="shared" si="8"/>
        <v>10.520330357142857</v>
      </c>
      <c r="K41" s="5"/>
      <c r="L41" s="5"/>
    </row>
    <row r="42" spans="3:12" x14ac:dyDescent="0.25">
      <c r="C42" s="1" t="s">
        <v>17</v>
      </c>
      <c r="D42" s="5">
        <f t="shared" si="8"/>
        <v>7.7823599999999988</v>
      </c>
      <c r="E42" s="5">
        <f t="shared" si="8"/>
        <v>6.6783614285714297</v>
      </c>
      <c r="F42" s="5">
        <f t="shared" si="8"/>
        <v>6.2857523809523785</v>
      </c>
      <c r="G42" s="5">
        <f t="shared" si="8"/>
        <v>6.2112416666666634</v>
      </c>
      <c r="H42" s="5">
        <f t="shared" si="8"/>
        <v>6.4029863095238095</v>
      </c>
      <c r="I42" s="5">
        <f t="shared" si="8"/>
        <v>6.349593898809526</v>
      </c>
      <c r="J42" s="5">
        <f t="shared" si="8"/>
        <v>6.2584910714285726</v>
      </c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4">
        <v>42</v>
      </c>
      <c r="E56" s="4">
        <v>84</v>
      </c>
      <c r="F56" s="4">
        <v>168</v>
      </c>
      <c r="G56" s="4">
        <v>336</v>
      </c>
      <c r="H56" s="4">
        <v>672</v>
      </c>
      <c r="I56" s="4">
        <v>1344</v>
      </c>
      <c r="J56" s="4">
        <v>2688</v>
      </c>
      <c r="K56" s="4">
        <v>5376</v>
      </c>
      <c r="L56" s="4">
        <v>10752</v>
      </c>
    </row>
    <row r="57" spans="3:12" x14ac:dyDescent="0.25">
      <c r="C57" s="1" t="s">
        <v>1</v>
      </c>
      <c r="D57" s="12">
        <f t="shared" ref="D57:L57" si="9">D$3/D3</f>
        <v>1</v>
      </c>
      <c r="E57" s="12">
        <f t="shared" si="9"/>
        <v>1</v>
      </c>
      <c r="F57" s="12">
        <f t="shared" si="9"/>
        <v>1</v>
      </c>
      <c r="G57" s="12">
        <f t="shared" si="9"/>
        <v>1</v>
      </c>
      <c r="H57" s="12">
        <f t="shared" si="9"/>
        <v>1</v>
      </c>
      <c r="I57" s="12">
        <f t="shared" si="9"/>
        <v>1</v>
      </c>
      <c r="J57" s="12">
        <f t="shared" si="9"/>
        <v>1</v>
      </c>
      <c r="K57" s="12" t="e">
        <f t="shared" si="9"/>
        <v>#DIV/0!</v>
      </c>
      <c r="L57" s="12" t="e">
        <f t="shared" si="9"/>
        <v>#DIV/0!</v>
      </c>
    </row>
    <row r="58" spans="3:12" x14ac:dyDescent="0.25">
      <c r="C58" s="1" t="s">
        <v>2</v>
      </c>
      <c r="D58" s="12">
        <f t="shared" ref="D58:L67" si="10">D$3/D4</f>
        <v>11.898648448495283</v>
      </c>
      <c r="E58" s="12">
        <f t="shared" si="10"/>
        <v>12.20297172756055</v>
      </c>
      <c r="F58" s="12">
        <f t="shared" si="10"/>
        <v>12.161523990134619</v>
      </c>
      <c r="G58" s="12">
        <f t="shared" si="10"/>
        <v>12.161290046621225</v>
      </c>
      <c r="H58" s="12">
        <f>H$3/H4</f>
        <v>11.988786822710042</v>
      </c>
      <c r="I58" s="12">
        <f>I$3/I4</f>
        <v>12.27610765381775</v>
      </c>
      <c r="J58" s="12">
        <f>J$3/J4</f>
        <v>12.168533486659513</v>
      </c>
      <c r="K58" s="12" t="e">
        <f>K$3/K4</f>
        <v>#DIV/0!</v>
      </c>
      <c r="L58" s="12" t="e">
        <f>L$3/L4</f>
        <v>#DIV/0!</v>
      </c>
    </row>
    <row r="59" spans="3:12" x14ac:dyDescent="0.25">
      <c r="C59" s="1" t="s">
        <v>4</v>
      </c>
      <c r="D59" s="12">
        <f t="shared" si="10"/>
        <v>12.522805135565518</v>
      </c>
      <c r="E59" s="12">
        <f t="shared" si="10"/>
        <v>12.666325349399797</v>
      </c>
      <c r="F59" s="12">
        <f t="shared" si="10"/>
        <v>12.428722498604687</v>
      </c>
      <c r="G59" s="12">
        <f t="shared" si="10"/>
        <v>12.068474238576121</v>
      </c>
      <c r="H59" s="12">
        <f t="shared" si="10"/>
        <v>11.765758345867667</v>
      </c>
      <c r="I59" s="12">
        <f t="shared" si="10"/>
        <v>12.168237382671395</v>
      </c>
      <c r="J59" s="12">
        <f t="shared" si="10"/>
        <v>12.2156309948992</v>
      </c>
      <c r="K59" s="12"/>
      <c r="L59" s="12"/>
    </row>
    <row r="60" spans="3:12" x14ac:dyDescent="0.25">
      <c r="C60" s="1" t="s">
        <v>5</v>
      </c>
      <c r="D60" s="12">
        <f t="shared" si="10"/>
        <v>11.843060105059831</v>
      </c>
      <c r="E60" s="12">
        <f t="shared" si="10"/>
        <v>12.1476576713764</v>
      </c>
      <c r="F60" s="12">
        <f t="shared" si="10"/>
        <v>12.18763776624615</v>
      </c>
      <c r="G60" s="12">
        <f t="shared" si="10"/>
        <v>11.97343658121542</v>
      </c>
      <c r="H60" s="12">
        <f t="shared" si="10"/>
        <v>12.339088964738705</v>
      </c>
      <c r="I60" s="12">
        <f t="shared" si="10"/>
        <v>12.491908727437815</v>
      </c>
      <c r="J60" s="12">
        <f t="shared" si="10"/>
        <v>12.150986805198217</v>
      </c>
      <c r="K60" s="12" t="e">
        <f t="shared" si="10"/>
        <v>#DIV/0!</v>
      </c>
      <c r="L60" s="12" t="e">
        <f t="shared" si="10"/>
        <v>#DIV/0!</v>
      </c>
    </row>
    <row r="61" spans="3:12" x14ac:dyDescent="0.25">
      <c r="C61" s="1" t="s">
        <v>6</v>
      </c>
      <c r="D61" s="12"/>
      <c r="E61" s="12">
        <f t="shared" si="10"/>
        <v>11.646125376081645</v>
      </c>
      <c r="F61" s="12">
        <f t="shared" si="10"/>
        <v>11.791033769964903</v>
      </c>
      <c r="G61" s="12">
        <f t="shared" si="10"/>
        <v>11.611333730668781</v>
      </c>
      <c r="H61" s="12">
        <f t="shared" si="10"/>
        <v>12.359729999691766</v>
      </c>
      <c r="I61" s="12">
        <f t="shared" si="10"/>
        <v>12.423242679972157</v>
      </c>
      <c r="J61" s="12">
        <f t="shared" si="10"/>
        <v>11.509244898795012</v>
      </c>
      <c r="K61" s="12"/>
      <c r="L61" s="12"/>
    </row>
    <row r="62" spans="3:12" x14ac:dyDescent="0.25">
      <c r="C62" s="1" t="s">
        <v>7</v>
      </c>
      <c r="D62" s="12"/>
      <c r="E62" s="12">
        <f t="shared" si="10"/>
        <v>11.631642694762933</v>
      </c>
      <c r="F62" s="12">
        <f t="shared" si="10"/>
        <v>11.717524095911303</v>
      </c>
      <c r="G62" s="12">
        <f t="shared" si="10"/>
        <v>11.623149221810747</v>
      </c>
      <c r="H62" s="12">
        <f t="shared" si="10"/>
        <v>12.047250764062603</v>
      </c>
      <c r="I62" s="12">
        <f t="shared" si="10"/>
        <v>12.425263361592611</v>
      </c>
      <c r="J62" s="12">
        <f t="shared" si="10"/>
        <v>12.199688371716668</v>
      </c>
      <c r="K62" s="12"/>
      <c r="L62" s="12"/>
    </row>
    <row r="63" spans="3:12" x14ac:dyDescent="0.25">
      <c r="C63" s="1" t="s">
        <v>8</v>
      </c>
      <c r="D63" s="12">
        <f t="shared" si="10"/>
        <v>19.529441682208116</v>
      </c>
      <c r="E63" s="12">
        <f t="shared" si="10"/>
        <v>22.72729210383007</v>
      </c>
      <c r="F63" s="12">
        <f t="shared" si="10"/>
        <v>22.581099871588748</v>
      </c>
      <c r="G63" s="12">
        <f t="shared" si="10"/>
        <v>21.831125732391133</v>
      </c>
      <c r="H63" s="12">
        <f t="shared" ref="H63:L64" si="11">H$3/H9</f>
        <v>21.315944706163879</v>
      </c>
      <c r="I63" s="12">
        <f t="shared" si="11"/>
        <v>21.601264869663865</v>
      </c>
      <c r="J63" s="12">
        <f t="shared" si="11"/>
        <v>21.81673390672368</v>
      </c>
      <c r="K63" s="12" t="e">
        <f t="shared" si="11"/>
        <v>#DIV/0!</v>
      </c>
      <c r="L63" s="12" t="e">
        <f t="shared" si="11"/>
        <v>#DIV/0!</v>
      </c>
    </row>
    <row r="64" spans="3:12" x14ac:dyDescent="0.25">
      <c r="C64" s="1" t="s">
        <v>9</v>
      </c>
      <c r="D64" s="12">
        <f t="shared" si="10"/>
        <v>6.7220129301420206</v>
      </c>
      <c r="E64" s="12">
        <f t="shared" si="10"/>
        <v>7.6949532856858855</v>
      </c>
      <c r="F64" s="12">
        <f t="shared" si="10"/>
        <v>7.2146020899025167</v>
      </c>
      <c r="G64" s="12">
        <f t="shared" si="10"/>
        <v>7.5885136275730485</v>
      </c>
      <c r="H64" s="12">
        <f t="shared" si="11"/>
        <v>7.7792760735573125</v>
      </c>
      <c r="I64" s="12">
        <f t="shared" si="11"/>
        <v>8.4256557102607932</v>
      </c>
      <c r="J64" s="12">
        <f t="shared" si="11"/>
        <v>10.033871690165729</v>
      </c>
      <c r="K64" s="12" t="e">
        <f t="shared" si="11"/>
        <v>#DIV/0!</v>
      </c>
      <c r="L64" s="12" t="e">
        <f t="shared" si="11"/>
        <v>#DIV/0!</v>
      </c>
    </row>
    <row r="65" spans="3:12" x14ac:dyDescent="0.25">
      <c r="C65" s="1" t="s">
        <v>10</v>
      </c>
      <c r="D65" s="12"/>
      <c r="E65" s="12">
        <f t="shared" si="10"/>
        <v>21.751914108671095</v>
      </c>
      <c r="F65" s="12">
        <f t="shared" si="10"/>
        <v>23.559576949213486</v>
      </c>
      <c r="G65" s="12">
        <f t="shared" si="10"/>
        <v>23.937108638810386</v>
      </c>
      <c r="H65" s="12">
        <f t="shared" si="10"/>
        <v>23.953493790665281</v>
      </c>
      <c r="I65" s="12">
        <f t="shared" si="10"/>
        <v>23.412477582646229</v>
      </c>
      <c r="J65" s="12">
        <f t="shared" si="10"/>
        <v>23.727015826215407</v>
      </c>
      <c r="K65" s="12"/>
      <c r="L65" s="12"/>
    </row>
    <row r="66" spans="3:12" x14ac:dyDescent="0.25">
      <c r="C66" s="1" t="s">
        <v>16</v>
      </c>
      <c r="D66" s="12">
        <f t="shared" si="10"/>
        <v>10.264581996776469</v>
      </c>
      <c r="E66" s="12">
        <f t="shared" si="10"/>
        <v>11.401322761836045</v>
      </c>
      <c r="F66" s="12">
        <f t="shared" si="10"/>
        <v>11.69221032402497</v>
      </c>
      <c r="G66" s="12">
        <f t="shared" si="10"/>
        <v>11.982197416459922</v>
      </c>
      <c r="H66" s="12">
        <f t="shared" si="10"/>
        <v>11.884575242951954</v>
      </c>
      <c r="I66" s="12">
        <f t="shared" si="10"/>
        <v>12.573580519277028</v>
      </c>
      <c r="J66" s="12">
        <f t="shared" si="10"/>
        <v>12.998158186346108</v>
      </c>
      <c r="K66" s="12"/>
      <c r="L66" s="12"/>
    </row>
    <row r="67" spans="3:12" x14ac:dyDescent="0.25">
      <c r="C67" s="1" t="s">
        <v>17</v>
      </c>
      <c r="D67" s="12">
        <f t="shared" si="10"/>
        <v>20.596168159542255</v>
      </c>
      <c r="E67" s="12">
        <f t="shared" si="10"/>
        <v>22.809219883491522</v>
      </c>
      <c r="F67" s="12">
        <f t="shared" si="10"/>
        <v>22.833698735159192</v>
      </c>
      <c r="G67" s="12">
        <f t="shared" si="10"/>
        <v>22.069883657569438</v>
      </c>
      <c r="H67" s="12">
        <f t="shared" si="10"/>
        <v>21.359998315518133</v>
      </c>
      <c r="I67" s="12">
        <f t="shared" si="10"/>
        <v>21.609002881722528</v>
      </c>
      <c r="J67" s="12">
        <f t="shared" si="10"/>
        <v>21.84950279453675</v>
      </c>
      <c r="K67" s="12"/>
      <c r="L67" s="12"/>
    </row>
    <row r="68" spans="3:12" x14ac:dyDescent="0.25">
      <c r="C68" s="1"/>
      <c r="D68" s="12"/>
      <c r="E68" s="12"/>
      <c r="F68" s="12"/>
      <c r="G68" s="12"/>
      <c r="H68" s="12"/>
      <c r="I68" s="12"/>
      <c r="J68" s="12"/>
      <c r="K68" s="12"/>
      <c r="L68" s="12"/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4">
        <v>42</v>
      </c>
      <c r="E88" s="4">
        <v>84</v>
      </c>
      <c r="F88" s="4">
        <v>168</v>
      </c>
      <c r="G88" s="4">
        <v>336</v>
      </c>
      <c r="H88" s="4">
        <v>672</v>
      </c>
      <c r="I88" s="4">
        <v>1344</v>
      </c>
      <c r="J88" s="4">
        <v>2688</v>
      </c>
      <c r="K88" s="4">
        <v>5376</v>
      </c>
      <c r="L88" s="4">
        <v>10752</v>
      </c>
    </row>
    <row r="89" spans="3:12" x14ac:dyDescent="0.25">
      <c r="C89" s="1" t="s">
        <v>1</v>
      </c>
      <c r="D89" s="1">
        <v>11498.250379839999</v>
      </c>
      <c r="E89" s="1">
        <v>3877.8759590000013</v>
      </c>
      <c r="F89" s="1">
        <v>125074.76213000012</v>
      </c>
      <c r="G89" s="1">
        <v>30221.512466000062</v>
      </c>
      <c r="H89" s="1">
        <v>3420283.9930760013</v>
      </c>
      <c r="I89" s="1">
        <v>7818631.1302189985</v>
      </c>
      <c r="J89" s="1">
        <v>23987376.536843002</v>
      </c>
      <c r="K89" s="1"/>
      <c r="L89" s="1"/>
    </row>
    <row r="90" spans="3:12" x14ac:dyDescent="0.25">
      <c r="C90" s="1" t="s">
        <v>2</v>
      </c>
      <c r="D90" s="1">
        <v>225.48720875039999</v>
      </c>
      <c r="E90" s="1">
        <v>220.00809575999997</v>
      </c>
      <c r="F90" s="1">
        <v>1291.1690270000011</v>
      </c>
      <c r="G90" s="1">
        <v>1399.912760760001</v>
      </c>
      <c r="H90" s="1">
        <v>47035.096712999992</v>
      </c>
      <c r="I90" s="1">
        <v>13616.932724999991</v>
      </c>
      <c r="J90" s="1">
        <v>53312.779519999967</v>
      </c>
      <c r="K90" s="1"/>
      <c r="L90" s="1"/>
    </row>
    <row r="91" spans="3:12" x14ac:dyDescent="0.25">
      <c r="C91" s="1" t="s">
        <v>4</v>
      </c>
      <c r="D91" s="1">
        <v>264.68739104040014</v>
      </c>
      <c r="E91" s="1">
        <v>94.542759560000093</v>
      </c>
      <c r="F91" s="1">
        <v>69.332745960000096</v>
      </c>
      <c r="G91" s="1">
        <v>1001.5821030000023</v>
      </c>
      <c r="H91" s="6">
        <v>3770.8218924399985</v>
      </c>
      <c r="I91" s="1">
        <v>8019.7253470000032</v>
      </c>
      <c r="J91" s="1">
        <v>12682.268723000012</v>
      </c>
      <c r="K91" s="1"/>
      <c r="L91" s="1"/>
    </row>
    <row r="92" spans="3:12" x14ac:dyDescent="0.25">
      <c r="C92" s="1" t="s">
        <v>5</v>
      </c>
      <c r="D92" s="1">
        <v>43.13454695999998</v>
      </c>
      <c r="E92" s="1">
        <v>195.46965504000002</v>
      </c>
      <c r="F92" s="1">
        <v>268.65356875999976</v>
      </c>
      <c r="G92" s="1">
        <v>1479.7701079999999</v>
      </c>
      <c r="H92" s="1">
        <v>38475.371345840009</v>
      </c>
      <c r="I92" s="1">
        <v>23028.420931999972</v>
      </c>
      <c r="J92" s="1">
        <v>934054.5533029997</v>
      </c>
      <c r="K92" s="1"/>
      <c r="L92" s="1"/>
    </row>
    <row r="93" spans="3:12" x14ac:dyDescent="0.25">
      <c r="C93" s="1" t="s">
        <v>6</v>
      </c>
      <c r="D93" s="1"/>
      <c r="E93" s="1">
        <v>105.75440724000026</v>
      </c>
      <c r="F93" s="1">
        <v>377.37004655999954</v>
      </c>
      <c r="G93" s="1">
        <v>1034.4078822399988</v>
      </c>
      <c r="H93" s="1">
        <v>7591.8979848399968</v>
      </c>
      <c r="I93" s="1">
        <v>16718.369272</v>
      </c>
      <c r="J93" s="1">
        <v>1830133.7665100002</v>
      </c>
      <c r="K93" s="1"/>
      <c r="L93" s="1"/>
    </row>
    <row r="94" spans="3:12" x14ac:dyDescent="0.25">
      <c r="C94" s="1" t="s">
        <v>7</v>
      </c>
      <c r="D94" s="1"/>
      <c r="E94" s="1">
        <v>108.81129863999995</v>
      </c>
      <c r="F94" s="1">
        <v>317.37807800000013</v>
      </c>
      <c r="G94" s="1">
        <v>730.14570300000014</v>
      </c>
      <c r="H94" s="1">
        <v>124595.321883</v>
      </c>
      <c r="I94" s="1">
        <v>18364.407593999997</v>
      </c>
      <c r="J94" s="1">
        <v>36667.404528999934</v>
      </c>
      <c r="K94" s="1"/>
      <c r="L94" s="1"/>
    </row>
    <row r="95" spans="3:12" x14ac:dyDescent="0.25">
      <c r="C95" s="1" t="s">
        <v>8</v>
      </c>
      <c r="D95" s="1">
        <v>420.80370355039997</v>
      </c>
      <c r="E95" s="1">
        <v>126.2758983199999</v>
      </c>
      <c r="F95" s="1">
        <v>292.73158036000007</v>
      </c>
      <c r="G95" s="1">
        <v>135.31768043999995</v>
      </c>
      <c r="H95" s="1">
        <v>802.54317864000041</v>
      </c>
      <c r="I95" s="1">
        <v>1230.8642815600022</v>
      </c>
      <c r="J95" s="1">
        <v>2102.3650550000152</v>
      </c>
      <c r="K95" s="1"/>
      <c r="L95" s="4"/>
    </row>
    <row r="96" spans="3:12" x14ac:dyDescent="0.25">
      <c r="C96" s="1" t="s">
        <v>9</v>
      </c>
      <c r="D96" s="1">
        <v>208.45225184960006</v>
      </c>
      <c r="E96" s="1">
        <v>1960.1624421599995</v>
      </c>
      <c r="F96" s="1">
        <v>1845.6397228400001</v>
      </c>
      <c r="G96" s="1">
        <v>10605.614858439998</v>
      </c>
      <c r="H96" s="1">
        <v>71265.123388999957</v>
      </c>
      <c r="I96" s="1">
        <v>40174.222804999998</v>
      </c>
      <c r="J96" s="1">
        <v>7111.6785799999552</v>
      </c>
      <c r="K96" s="1"/>
      <c r="L96" s="1"/>
    </row>
    <row r="97" spans="3:12" x14ac:dyDescent="0.25">
      <c r="C97" s="1" t="s">
        <v>10</v>
      </c>
      <c r="D97" s="1"/>
      <c r="E97" s="1">
        <v>190.33316709000019</v>
      </c>
      <c r="F97" s="1">
        <v>11445.27635701</v>
      </c>
      <c r="G97" s="1">
        <v>492.28101744000008</v>
      </c>
      <c r="H97" s="1">
        <v>3908.9473211600002</v>
      </c>
      <c r="I97" s="1">
        <v>1903.0849201599995</v>
      </c>
      <c r="J97" s="1">
        <v>3192.6897400000025</v>
      </c>
      <c r="K97" s="1"/>
      <c r="L97" s="1"/>
    </row>
    <row r="98" spans="3:12" x14ac:dyDescent="0.25">
      <c r="C98" s="1" t="s">
        <v>16</v>
      </c>
      <c r="D98" s="1">
        <v>440.01813035560019</v>
      </c>
      <c r="E98" s="1">
        <v>496.41035612000042</v>
      </c>
      <c r="F98" s="1">
        <v>2357.7924625200008</v>
      </c>
      <c r="G98" s="1">
        <v>1698.0247884</v>
      </c>
      <c r="H98" s="1">
        <v>39549.649068520004</v>
      </c>
      <c r="I98" s="1">
        <v>12301.854527</v>
      </c>
      <c r="J98" s="1">
        <v>25840.655780999972</v>
      </c>
      <c r="K98" s="1"/>
      <c r="L98" s="1"/>
    </row>
    <row r="99" spans="3:12" x14ac:dyDescent="0.25">
      <c r="C99" s="1" t="s">
        <v>17</v>
      </c>
      <c r="D99" s="1">
        <v>519.92839393000008</v>
      </c>
      <c r="E99" s="1">
        <v>124.15633335880011</v>
      </c>
      <c r="F99" s="1">
        <v>120.18483940000007</v>
      </c>
      <c r="G99" s="1">
        <v>519.07987212000035</v>
      </c>
      <c r="H99" s="1">
        <v>565.71814291999897</v>
      </c>
      <c r="I99" s="1">
        <v>783.29452640000591</v>
      </c>
      <c r="J99" s="1">
        <v>2996.5743080000125</v>
      </c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">
        <v>29.72261047054694</v>
      </c>
      <c r="E112" s="1">
        <v>17.26108240180459</v>
      </c>
      <c r="F112" s="1">
        <v>98.029302374199148</v>
      </c>
      <c r="G112" s="1">
        <v>48.186919862009397</v>
      </c>
      <c r="H112" s="1">
        <v>512.62779846201795</v>
      </c>
      <c r="I112" s="1">
        <v>775.06197622963418</v>
      </c>
      <c r="J112" s="1">
        <v>1357.5706663296471</v>
      </c>
      <c r="K112" s="1"/>
      <c r="L112" s="1"/>
    </row>
    <row r="113" spans="3:12" x14ac:dyDescent="0.25">
      <c r="C113" s="1" t="s">
        <v>2</v>
      </c>
      <c r="D113" s="1">
        <v>4.1622870183002432</v>
      </c>
      <c r="E113" s="1">
        <v>4.1114063303731383</v>
      </c>
      <c r="F113" s="1">
        <v>9.9600752347793069</v>
      </c>
      <c r="G113" s="1">
        <v>10.371021995671997</v>
      </c>
      <c r="H113" s="1">
        <v>60.114894582401242</v>
      </c>
      <c r="I113" s="1">
        <v>32.345265111406945</v>
      </c>
      <c r="J113" s="1">
        <v>64.000995899131425</v>
      </c>
      <c r="K113" s="1"/>
      <c r="L113" s="1"/>
    </row>
    <row r="114" spans="3:12" x14ac:dyDescent="0.25">
      <c r="C114" s="1" t="s">
        <v>4</v>
      </c>
      <c r="D114" s="1">
        <v>4.5095966148222191</v>
      </c>
      <c r="E114" s="1">
        <v>2.695164058552638</v>
      </c>
      <c r="F114" s="1">
        <v>2.3080237298604032</v>
      </c>
      <c r="G114" s="1">
        <v>8.7723176035581485</v>
      </c>
      <c r="H114" s="6">
        <v>17.021157059376133</v>
      </c>
      <c r="I114" s="1">
        <v>24.822802780119414</v>
      </c>
      <c r="J114" s="1">
        <v>31.215446024773321</v>
      </c>
      <c r="K114" s="1"/>
      <c r="L114" s="1"/>
    </row>
    <row r="115" spans="3:12" x14ac:dyDescent="0.25">
      <c r="C115" s="1" t="s">
        <v>5</v>
      </c>
      <c r="D115" s="1">
        <v>1.8204706841997533</v>
      </c>
      <c r="E115" s="1">
        <v>3.8753483115757841</v>
      </c>
      <c r="F115" s="1">
        <v>4.5432577513242967</v>
      </c>
      <c r="G115" s="1">
        <v>10.662724648881072</v>
      </c>
      <c r="H115" s="1">
        <v>54.370393885308381</v>
      </c>
      <c r="I115" s="1">
        <v>42.063281339517744</v>
      </c>
      <c r="J115" s="1">
        <v>267.89042431445</v>
      </c>
      <c r="K115" s="1"/>
      <c r="L115" s="1"/>
    </row>
    <row r="116" spans="3:12" x14ac:dyDescent="0.25">
      <c r="C116" s="1" t="s">
        <v>6</v>
      </c>
      <c r="D116" s="1" t="e">
        <v>#DIV/0!</v>
      </c>
      <c r="E116" s="1">
        <v>2.8504951529626745</v>
      </c>
      <c r="F116" s="1">
        <v>5.3846165524852259</v>
      </c>
      <c r="G116" s="1">
        <v>8.914910342132643</v>
      </c>
      <c r="H116" s="1">
        <v>24.151619116970743</v>
      </c>
      <c r="I116" s="1">
        <v>35.840002063424933</v>
      </c>
      <c r="J116" s="1">
        <v>374.9837830473424</v>
      </c>
      <c r="K116" s="1"/>
      <c r="L116" s="1"/>
    </row>
    <row r="117" spans="3:12" x14ac:dyDescent="0.25">
      <c r="C117" s="1" t="s">
        <v>7</v>
      </c>
      <c r="D117" s="1" t="e">
        <v>#DIV/0!</v>
      </c>
      <c r="E117" s="1">
        <v>2.8913992628325262</v>
      </c>
      <c r="F117" s="1">
        <v>4.9380960388489825</v>
      </c>
      <c r="G117" s="1">
        <v>7.4898968386017177</v>
      </c>
      <c r="H117" s="1">
        <v>97.841237578613317</v>
      </c>
      <c r="I117" s="1">
        <v>37.562936044220613</v>
      </c>
      <c r="J117" s="1">
        <v>53.077584956101035</v>
      </c>
      <c r="K117" s="1"/>
      <c r="L117" s="1"/>
    </row>
    <row r="118" spans="3:12" x14ac:dyDescent="0.25">
      <c r="C118" s="1" t="s">
        <v>8</v>
      </c>
      <c r="D118" s="1">
        <v>5.686052246610501</v>
      </c>
      <c r="E118" s="1">
        <v>3.1148081513509354</v>
      </c>
      <c r="F118" s="1">
        <v>4.7424838199217421</v>
      </c>
      <c r="G118" s="1">
        <v>3.2243957610017526</v>
      </c>
      <c r="H118" s="1">
        <v>7.8524516872928611</v>
      </c>
      <c r="I118" s="1">
        <v>9.724698683291841</v>
      </c>
      <c r="J118" s="1">
        <v>12.709402499951016</v>
      </c>
      <c r="K118" s="1"/>
      <c r="L118" s="4"/>
    </row>
    <row r="119" spans="3:12" x14ac:dyDescent="0.25">
      <c r="C119" s="1" t="s">
        <v>9</v>
      </c>
      <c r="D119" s="1">
        <v>4.0019749392154456</v>
      </c>
      <c r="E119" s="1">
        <v>12.272049574379867</v>
      </c>
      <c r="F119" s="1">
        <v>11.908156498184045</v>
      </c>
      <c r="G119" s="1">
        <v>28.545588114517134</v>
      </c>
      <c r="H119" s="1">
        <v>73.996229364905091</v>
      </c>
      <c r="I119" s="1">
        <v>55.557770712599329</v>
      </c>
      <c r="J119" s="1">
        <v>23.375296546965053</v>
      </c>
      <c r="K119" s="1"/>
      <c r="L119" s="1"/>
    </row>
    <row r="120" spans="3:12" x14ac:dyDescent="0.25">
      <c r="C120" s="1" t="s">
        <v>10</v>
      </c>
      <c r="D120" s="1" t="e">
        <v>#DIV/0!</v>
      </c>
      <c r="E120" s="1">
        <v>3.8240917737233882</v>
      </c>
      <c r="F120" s="1">
        <v>29.654063348246094</v>
      </c>
      <c r="G120" s="1">
        <v>6.1500353764795603</v>
      </c>
      <c r="H120" s="1">
        <v>17.330096381133174</v>
      </c>
      <c r="I120" s="1">
        <v>12.09205609421876</v>
      </c>
      <c r="J120" s="1">
        <v>15.662079622568651</v>
      </c>
      <c r="K120" s="1"/>
      <c r="L120" s="1"/>
    </row>
    <row r="121" spans="3:12" x14ac:dyDescent="0.25">
      <c r="C121" s="1" t="s">
        <v>16</v>
      </c>
      <c r="D121" s="1">
        <v>6.7759496916081181</v>
      </c>
      <c r="E121" s="1">
        <v>5.3030470028717946</v>
      </c>
      <c r="F121" s="1">
        <v>11.448449321290999</v>
      </c>
      <c r="G121" s="1">
        <v>9.9073160886486065</v>
      </c>
      <c r="H121" s="1">
        <v>47.589094849248696</v>
      </c>
      <c r="I121" s="1">
        <v>26.542539305754751</v>
      </c>
      <c r="J121" s="1">
        <v>38.649261902017194</v>
      </c>
      <c r="K121" s="1"/>
      <c r="L121" s="1"/>
    </row>
    <row r="122" spans="3:12" x14ac:dyDescent="0.25">
      <c r="C122" s="1" t="s">
        <v>17</v>
      </c>
      <c r="D122" s="1">
        <v>3.0645100422637723</v>
      </c>
      <c r="E122" s="1">
        <v>2.5012898125890075</v>
      </c>
      <c r="F122" s="1">
        <v>2.5583655943675274</v>
      </c>
      <c r="G122" s="1">
        <v>5.4142275404447799</v>
      </c>
      <c r="H122" s="1">
        <v>5.7135497458029549</v>
      </c>
      <c r="I122" s="1">
        <v>6.595168617154946</v>
      </c>
      <c r="J122" s="1">
        <v>13.240136674683123</v>
      </c>
      <c r="K122" s="1"/>
      <c r="L122" s="1"/>
    </row>
    <row r="123" spans="3:12" x14ac:dyDescent="0.25">
      <c r="C123" s="1" t="s">
        <v>16</v>
      </c>
      <c r="D123" s="1">
        <v>4.822021590408907</v>
      </c>
      <c r="E123" s="1">
        <v>6.6055772942261104</v>
      </c>
      <c r="F123" s="1">
        <v>4.9373749248987409</v>
      </c>
      <c r="G123" s="1">
        <v>22.829334179952273</v>
      </c>
      <c r="H123" s="1">
        <v>21.074887966863425</v>
      </c>
      <c r="I123" s="1">
        <v>32.342838027933681</v>
      </c>
      <c r="J123" s="1">
        <v>51.325587462044368</v>
      </c>
      <c r="K123" s="1"/>
      <c r="L123" s="1"/>
    </row>
    <row r="124" spans="3:12" x14ac:dyDescent="0.25">
      <c r="C124" s="1" t="s">
        <v>17</v>
      </c>
      <c r="D124" s="1">
        <v>4.007557393972383</v>
      </c>
      <c r="E124" s="1">
        <v>3.7527546732872432</v>
      </c>
      <c r="F124" s="1">
        <v>3.7828465556686632</v>
      </c>
      <c r="G124" s="1">
        <v>8.4951962688598233</v>
      </c>
      <c r="H124" s="1">
        <v>8.8273881816313278</v>
      </c>
      <c r="I124" s="1">
        <v>14.981477921541332</v>
      </c>
      <c r="J124" s="1">
        <v>25.964481608382506</v>
      </c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3:D5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E5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:F5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:G5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:H5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:I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D50 D3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:J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1:K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:L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 H6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 I6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 K62 K68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5 L62 L68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zoomScale="115" zoomScaleNormal="115" workbookViewId="0">
      <pane xSplit="3" ySplit="2" topLeftCell="D51" activePane="bottomRight" state="frozen"/>
      <selection pane="topRight" activeCell="D1" sqref="D1"/>
      <selection pane="bottomLeft" activeCell="A3" sqref="A3"/>
      <selection pane="bottomRight" activeCell="D66" sqref="D66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29</v>
      </c>
    </row>
    <row r="2" spans="1:13" x14ac:dyDescent="0.25">
      <c r="B2" t="s">
        <v>0</v>
      </c>
      <c r="C2" s="1"/>
      <c r="D2" s="14">
        <v>42</v>
      </c>
      <c r="E2" s="14">
        <v>84</v>
      </c>
      <c r="F2" s="14">
        <v>168</v>
      </c>
      <c r="G2" s="14">
        <v>336</v>
      </c>
      <c r="H2" s="14">
        <v>672</v>
      </c>
      <c r="I2" s="14">
        <v>1344</v>
      </c>
      <c r="J2" s="14">
        <v>2688</v>
      </c>
      <c r="K2" s="9">
        <v>5376</v>
      </c>
      <c r="L2" s="9">
        <v>10752</v>
      </c>
    </row>
    <row r="3" spans="1:13" x14ac:dyDescent="0.25">
      <c r="A3">
        <v>1</v>
      </c>
      <c r="C3" s="1" t="s">
        <v>1</v>
      </c>
      <c r="D3" s="10">
        <v>6288.5222000000012</v>
      </c>
      <c r="E3" s="10">
        <v>11441.451999999997</v>
      </c>
      <c r="F3" s="10">
        <v>21547.928</v>
      </c>
      <c r="G3" s="10">
        <v>42583.175999999999</v>
      </c>
      <c r="H3" s="10">
        <v>98333.397999999957</v>
      </c>
      <c r="I3" s="10">
        <v>171610.78</v>
      </c>
      <c r="J3" s="10">
        <v>334035.68</v>
      </c>
      <c r="K3" s="10"/>
      <c r="L3" s="10"/>
    </row>
    <row r="4" spans="1:13" x14ac:dyDescent="0.25">
      <c r="C4" s="1" t="s">
        <v>2</v>
      </c>
      <c r="D4" s="10">
        <v>886.85582000000022</v>
      </c>
      <c r="E4" s="10">
        <v>1627.4021999999998</v>
      </c>
      <c r="F4" s="10">
        <v>3159.8702000000003</v>
      </c>
      <c r="G4" s="10">
        <v>6191.9177999999993</v>
      </c>
      <c r="H4" s="10">
        <v>12286.097999999998</v>
      </c>
      <c r="I4" s="10">
        <v>25340.31</v>
      </c>
      <c r="J4" s="10">
        <v>46545.16</v>
      </c>
      <c r="K4" s="10"/>
      <c r="L4" s="10"/>
    </row>
    <row r="5" spans="1:13" x14ac:dyDescent="0.25">
      <c r="C5" s="1" t="s">
        <v>4</v>
      </c>
      <c r="D5" s="10">
        <v>838.22991999999988</v>
      </c>
      <c r="E5" s="10">
        <v>1577.8022000000003</v>
      </c>
      <c r="F5" s="10">
        <v>3090.4849999999992</v>
      </c>
      <c r="G5" s="10">
        <v>6131.5603999999994</v>
      </c>
      <c r="H5" s="11">
        <v>12103.567999999997</v>
      </c>
      <c r="I5" s="10">
        <v>23978.202000000001</v>
      </c>
      <c r="J5" s="10">
        <v>46833.824000000022</v>
      </c>
      <c r="K5" s="10"/>
      <c r="L5" s="10"/>
    </row>
    <row r="6" spans="1:13" x14ac:dyDescent="0.25">
      <c r="C6" s="1" t="s">
        <v>5</v>
      </c>
      <c r="D6" s="10">
        <v>886.04631999999981</v>
      </c>
      <c r="E6" s="10">
        <v>1637.6020000000003</v>
      </c>
      <c r="F6" s="10">
        <v>3151.2087999999994</v>
      </c>
      <c r="G6" s="10">
        <v>6213.1168000000016</v>
      </c>
      <c r="H6" s="10">
        <v>12251.959999999997</v>
      </c>
      <c r="I6" s="10">
        <v>24164.171999999999</v>
      </c>
      <c r="J6" s="10">
        <v>46972.645999999993</v>
      </c>
      <c r="K6" s="10"/>
      <c r="L6" s="10"/>
    </row>
    <row r="7" spans="1:13" x14ac:dyDescent="0.25">
      <c r="C7" s="1" t="s">
        <v>6</v>
      </c>
      <c r="D7" s="10"/>
      <c r="E7" s="10">
        <v>2127.6630000000005</v>
      </c>
      <c r="F7" s="10">
        <v>4067.6298000000011</v>
      </c>
      <c r="G7" s="10">
        <v>7861.0436</v>
      </c>
      <c r="H7" s="10">
        <v>14994.266000000001</v>
      </c>
      <c r="I7" s="10">
        <v>26465.054</v>
      </c>
      <c r="J7" s="10">
        <v>52147.347999999976</v>
      </c>
      <c r="K7" s="10"/>
      <c r="L7" s="10"/>
    </row>
    <row r="8" spans="1:13" x14ac:dyDescent="0.25">
      <c r="C8" s="1" t="s">
        <v>7</v>
      </c>
      <c r="D8" s="10"/>
      <c r="E8" s="10">
        <v>2119.9631999999997</v>
      </c>
      <c r="F8" s="10">
        <v>4040.9362000000001</v>
      </c>
      <c r="G8" s="10">
        <v>7858.5309999999972</v>
      </c>
      <c r="H8" s="10">
        <v>14976.848000000004</v>
      </c>
      <c r="I8" s="10">
        <v>26486.423999999995</v>
      </c>
      <c r="J8" s="10">
        <v>53563.657999999996</v>
      </c>
      <c r="K8" s="10"/>
      <c r="L8" s="10"/>
    </row>
    <row r="9" spans="1:13" x14ac:dyDescent="0.25">
      <c r="C9" s="1" t="s">
        <v>8</v>
      </c>
      <c r="D9" s="10">
        <v>261.4834800000001</v>
      </c>
      <c r="E9" s="10">
        <v>461.70120000000009</v>
      </c>
      <c r="F9" s="10">
        <v>815.40584000000013</v>
      </c>
      <c r="G9" s="10">
        <v>1578.2184</v>
      </c>
      <c r="H9" s="10">
        <v>3032.3646000000008</v>
      </c>
      <c r="I9" s="10">
        <v>6097.5999999999985</v>
      </c>
      <c r="J9" s="10">
        <v>11862.252</v>
      </c>
      <c r="K9" s="10"/>
      <c r="L9" s="9"/>
    </row>
    <row r="10" spans="1:13" x14ac:dyDescent="0.25">
      <c r="C10" s="1" t="s">
        <v>9</v>
      </c>
      <c r="D10" s="10">
        <v>1319.3328000000006</v>
      </c>
      <c r="E10" s="10">
        <v>3638.3505999999998</v>
      </c>
      <c r="F10" s="10">
        <v>6188.3881999999994</v>
      </c>
      <c r="G10" s="10">
        <v>10503.2714</v>
      </c>
      <c r="H10" s="10">
        <v>16345.483999999999</v>
      </c>
      <c r="I10" s="10">
        <v>28278.142000000011</v>
      </c>
      <c r="J10" s="10">
        <v>48772.637999999992</v>
      </c>
      <c r="K10" s="10"/>
      <c r="L10" s="10"/>
    </row>
    <row r="11" spans="1:13" x14ac:dyDescent="0.25">
      <c r="C11" s="1" t="s">
        <v>10</v>
      </c>
      <c r="D11" s="10"/>
      <c r="E11" s="10">
        <v>451.44100000000003</v>
      </c>
      <c r="F11" s="10">
        <v>825.91241999999966</v>
      </c>
      <c r="G11" s="10">
        <v>1569.3610000000001</v>
      </c>
      <c r="H11" s="10">
        <v>3028.8973999999998</v>
      </c>
      <c r="I11" s="10">
        <v>6084.6530000000021</v>
      </c>
      <c r="J11" s="10">
        <v>11857.544</v>
      </c>
      <c r="K11" s="10"/>
      <c r="L11" s="10"/>
    </row>
    <row r="12" spans="1:13" x14ac:dyDescent="0.25">
      <c r="C12" s="1" t="s">
        <v>16</v>
      </c>
      <c r="D12" s="10">
        <v>1132.0496000000003</v>
      </c>
      <c r="E12" s="10">
        <v>2092.4639999999995</v>
      </c>
      <c r="F12" s="10">
        <v>3978.3183999999997</v>
      </c>
      <c r="G12" s="10">
        <v>7709.4031999999997</v>
      </c>
      <c r="H12" s="10">
        <v>14043.196000000002</v>
      </c>
      <c r="I12" s="10">
        <v>26905.33</v>
      </c>
      <c r="J12" s="10">
        <v>55996.127999999997</v>
      </c>
      <c r="K12" s="10"/>
      <c r="L12" s="10"/>
    </row>
    <row r="13" spans="1:13" x14ac:dyDescent="0.25">
      <c r="C13" s="1" t="s">
        <v>17</v>
      </c>
      <c r="D13" s="10">
        <v>257.09768000000008</v>
      </c>
      <c r="E13" s="10">
        <v>441.49017999999995</v>
      </c>
      <c r="F13" s="10">
        <v>818.33375999999976</v>
      </c>
      <c r="G13" s="10">
        <v>1549.6212000000003</v>
      </c>
      <c r="H13" s="10">
        <v>3143.1994000000013</v>
      </c>
      <c r="I13" s="10">
        <v>6016.168999999999</v>
      </c>
      <c r="J13" s="10">
        <v>11876.062000000002</v>
      </c>
      <c r="K13" s="10"/>
      <c r="L13" s="10"/>
    </row>
    <row r="14" spans="1:13" x14ac:dyDescent="0.25">
      <c r="C14" s="1"/>
      <c r="D14" s="10"/>
      <c r="E14" s="10"/>
      <c r="F14" s="10"/>
      <c r="G14" s="10"/>
      <c r="H14" s="10"/>
      <c r="I14" s="10"/>
      <c r="J14" s="10"/>
      <c r="K14" s="10"/>
      <c r="L14" s="10"/>
    </row>
    <row r="15" spans="1:13" x14ac:dyDescent="0.25">
      <c r="C15" s="1"/>
      <c r="D15" s="10"/>
      <c r="E15" s="10"/>
      <c r="F15" s="10"/>
      <c r="G15" s="10"/>
      <c r="H15" s="10"/>
      <c r="I15" s="10"/>
      <c r="J15" s="10"/>
      <c r="K15" s="10"/>
      <c r="L15" s="10"/>
    </row>
    <row r="16" spans="1:13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149.72671904761907</v>
      </c>
      <c r="E32" s="5">
        <f t="shared" ref="E32:L32" si="0">E3/E$2</f>
        <v>136.20776190476187</v>
      </c>
      <c r="F32" s="5">
        <f t="shared" si="0"/>
        <v>128.2614761904762</v>
      </c>
      <c r="G32" s="5">
        <f t="shared" si="0"/>
        <v>126.73564285714285</v>
      </c>
      <c r="H32" s="5">
        <f t="shared" si="0"/>
        <v>146.32946130952374</v>
      </c>
      <c r="I32" s="5">
        <f t="shared" si="0"/>
        <v>127.68659226190476</v>
      </c>
      <c r="J32" s="5">
        <f t="shared" si="0"/>
        <v>124.26922619047619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</v>
      </c>
      <c r="D33" s="5">
        <f t="shared" ref="D33:L37" si="1">D4/D$2</f>
        <v>21.115614761904766</v>
      </c>
      <c r="E33" s="5">
        <f t="shared" si="1"/>
        <v>19.373835714285711</v>
      </c>
      <c r="F33" s="5">
        <f t="shared" si="1"/>
        <v>18.808751190476194</v>
      </c>
      <c r="G33" s="5">
        <f t="shared" si="1"/>
        <v>18.428326785714283</v>
      </c>
      <c r="H33" s="5">
        <f t="shared" si="1"/>
        <v>18.282883928571426</v>
      </c>
      <c r="I33" s="5">
        <f t="shared" si="1"/>
        <v>18.854397321428571</v>
      </c>
      <c r="J33" s="5">
        <f t="shared" si="1"/>
        <v>17.315907738095241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4</v>
      </c>
      <c r="D34" s="5">
        <f t="shared" si="1"/>
        <v>19.957855238095235</v>
      </c>
      <c r="E34" s="5">
        <f t="shared" si="1"/>
        <v>18.783359523809526</v>
      </c>
      <c r="F34" s="5">
        <f t="shared" si="1"/>
        <v>18.395744047619043</v>
      </c>
      <c r="G34" s="5">
        <f t="shared" si="1"/>
        <v>18.248691666666666</v>
      </c>
      <c r="H34" s="5">
        <f t="shared" si="1"/>
        <v>18.011261904761902</v>
      </c>
      <c r="I34" s="5">
        <f t="shared" si="1"/>
        <v>17.840924107142857</v>
      </c>
      <c r="J34" s="5">
        <f t="shared" si="1"/>
        <v>17.423297619047627</v>
      </c>
      <c r="K34" s="5">
        <f t="shared" si="1"/>
        <v>0</v>
      </c>
      <c r="L34" s="5">
        <f t="shared" si="1"/>
        <v>0</v>
      </c>
    </row>
    <row r="35" spans="3:12" x14ac:dyDescent="0.25">
      <c r="C35" s="1" t="s">
        <v>5</v>
      </c>
      <c r="D35" s="5">
        <f t="shared" si="1"/>
        <v>21.096340952380949</v>
      </c>
      <c r="E35" s="5">
        <f t="shared" si="1"/>
        <v>19.495261904761907</v>
      </c>
      <c r="F35" s="5">
        <f t="shared" si="1"/>
        <v>18.757195238095235</v>
      </c>
      <c r="G35" s="5">
        <f t="shared" si="1"/>
        <v>18.491419047619054</v>
      </c>
      <c r="H35" s="5">
        <f t="shared" si="1"/>
        <v>18.232083333333328</v>
      </c>
      <c r="I35" s="5">
        <f t="shared" si="1"/>
        <v>17.979294642857141</v>
      </c>
      <c r="J35" s="5">
        <f t="shared" si="1"/>
        <v>17.47494270833333</v>
      </c>
      <c r="K35" s="5">
        <f t="shared" si="1"/>
        <v>0</v>
      </c>
      <c r="L35" s="5">
        <f t="shared" si="1"/>
        <v>0</v>
      </c>
    </row>
    <row r="36" spans="3:12" x14ac:dyDescent="0.25">
      <c r="C36" s="1" t="s">
        <v>6</v>
      </c>
      <c r="D36" s="5"/>
      <c r="E36" s="5">
        <f t="shared" si="1"/>
        <v>25.329321428571433</v>
      </c>
      <c r="F36" s="5">
        <f t="shared" si="1"/>
        <v>24.212082142857149</v>
      </c>
      <c r="G36" s="5">
        <f t="shared" si="1"/>
        <v>23.395963095238095</v>
      </c>
      <c r="H36" s="5">
        <f t="shared" si="1"/>
        <v>22.312895833333336</v>
      </c>
      <c r="I36" s="5">
        <f t="shared" si="1"/>
        <v>19.691260416666665</v>
      </c>
      <c r="J36" s="5">
        <f t="shared" si="1"/>
        <v>19.400055059523801</v>
      </c>
      <c r="K36" s="5">
        <f t="shared" si="1"/>
        <v>0</v>
      </c>
      <c r="L36" s="5">
        <f t="shared" si="1"/>
        <v>0</v>
      </c>
    </row>
    <row r="37" spans="3:12" x14ac:dyDescent="0.25">
      <c r="C37" s="1" t="s">
        <v>7</v>
      </c>
      <c r="D37" s="5"/>
      <c r="E37" s="5">
        <f t="shared" si="1"/>
        <v>25.237657142857138</v>
      </c>
      <c r="F37" s="5">
        <f t="shared" si="1"/>
        <v>24.053191666666667</v>
      </c>
      <c r="G37" s="5">
        <f t="shared" si="1"/>
        <v>23.388485119047612</v>
      </c>
      <c r="H37" s="5">
        <f t="shared" si="1"/>
        <v>22.286976190476196</v>
      </c>
      <c r="I37" s="5">
        <f t="shared" si="1"/>
        <v>19.70716071428571</v>
      </c>
      <c r="J37" s="5">
        <f t="shared" si="1"/>
        <v>19.926956101190473</v>
      </c>
      <c r="K37" s="5">
        <f t="shared" si="1"/>
        <v>0</v>
      </c>
      <c r="L37" s="5">
        <f t="shared" si="1"/>
        <v>0</v>
      </c>
    </row>
    <row r="38" spans="3:12" x14ac:dyDescent="0.25">
      <c r="C38" s="1" t="s">
        <v>8</v>
      </c>
      <c r="D38" s="5">
        <f t="shared" ref="D38:L42" si="2">D9/D$2</f>
        <v>6.2257971428571448</v>
      </c>
      <c r="E38" s="5">
        <f t="shared" si="2"/>
        <v>5.4964428571428581</v>
      </c>
      <c r="F38" s="5">
        <f t="shared" si="2"/>
        <v>4.8536061904761914</v>
      </c>
      <c r="G38" s="5">
        <f t="shared" si="2"/>
        <v>4.6970785714285714</v>
      </c>
      <c r="H38" s="5">
        <f t="shared" si="2"/>
        <v>4.5124473214285725</v>
      </c>
      <c r="I38" s="5">
        <f t="shared" si="2"/>
        <v>4.5369047619047604</v>
      </c>
      <c r="J38" s="5">
        <f t="shared" si="2"/>
        <v>4.4130401785714284</v>
      </c>
      <c r="K38" s="5">
        <f t="shared" si="2"/>
        <v>0</v>
      </c>
      <c r="L38" s="5">
        <f t="shared" si="2"/>
        <v>0</v>
      </c>
    </row>
    <row r="39" spans="3:12" x14ac:dyDescent="0.25">
      <c r="C39" s="1" t="s">
        <v>9</v>
      </c>
      <c r="D39" s="5">
        <f t="shared" si="2"/>
        <v>31.412685714285729</v>
      </c>
      <c r="E39" s="5">
        <f t="shared" si="2"/>
        <v>43.313697619047616</v>
      </c>
      <c r="F39" s="5">
        <f t="shared" si="2"/>
        <v>36.835644047619041</v>
      </c>
      <c r="G39" s="5">
        <f t="shared" si="2"/>
        <v>31.259736309523809</v>
      </c>
      <c r="H39" s="5">
        <f t="shared" si="2"/>
        <v>24.323636904761901</v>
      </c>
      <c r="I39" s="5">
        <f t="shared" si="2"/>
        <v>21.040284226190483</v>
      </c>
      <c r="J39" s="5">
        <f t="shared" si="2"/>
        <v>18.144582589285712</v>
      </c>
      <c r="K39" s="5">
        <f t="shared" si="2"/>
        <v>0</v>
      </c>
      <c r="L39" s="5">
        <f t="shared" si="2"/>
        <v>0</v>
      </c>
    </row>
    <row r="40" spans="3:12" x14ac:dyDescent="0.25">
      <c r="C40" s="1" t="s">
        <v>10</v>
      </c>
      <c r="D40" s="5"/>
      <c r="E40" s="5">
        <f t="shared" si="2"/>
        <v>5.3742976190476197</v>
      </c>
      <c r="F40" s="5">
        <f t="shared" si="2"/>
        <v>4.9161453571428551</v>
      </c>
      <c r="G40" s="5">
        <f t="shared" si="2"/>
        <v>4.6707172619047626</v>
      </c>
      <c r="H40" s="5">
        <f t="shared" si="2"/>
        <v>4.5072877976190471</v>
      </c>
      <c r="I40" s="5">
        <f t="shared" si="2"/>
        <v>4.5272715773809535</v>
      </c>
      <c r="J40" s="5">
        <f t="shared" si="2"/>
        <v>4.4112886904761908</v>
      </c>
      <c r="K40" s="5">
        <f t="shared" si="2"/>
        <v>0</v>
      </c>
      <c r="L40" s="5">
        <f t="shared" si="2"/>
        <v>0</v>
      </c>
    </row>
    <row r="41" spans="3:12" x14ac:dyDescent="0.25">
      <c r="C41" s="1" t="s">
        <v>16</v>
      </c>
      <c r="D41" s="5">
        <f t="shared" si="2"/>
        <v>26.953561904761912</v>
      </c>
      <c r="E41" s="5">
        <f t="shared" si="2"/>
        <v>24.91028571428571</v>
      </c>
      <c r="F41" s="5">
        <f t="shared" si="2"/>
        <v>23.680466666666664</v>
      </c>
      <c r="G41" s="5">
        <f t="shared" si="2"/>
        <v>22.94465238095238</v>
      </c>
      <c r="H41" s="5">
        <f t="shared" si="2"/>
        <v>20.897613095238096</v>
      </c>
      <c r="I41" s="5">
        <f t="shared" si="2"/>
        <v>20.018846726190478</v>
      </c>
      <c r="J41" s="5">
        <f t="shared" si="2"/>
        <v>20.831892857142854</v>
      </c>
      <c r="K41" s="5"/>
      <c r="L41" s="5"/>
    </row>
    <row r="42" spans="3:12" x14ac:dyDescent="0.25">
      <c r="C42" s="1" t="s">
        <v>17</v>
      </c>
      <c r="D42" s="5">
        <f t="shared" si="2"/>
        <v>6.1213733333333353</v>
      </c>
      <c r="E42" s="5">
        <f t="shared" si="2"/>
        <v>5.2558354761904758</v>
      </c>
      <c r="F42" s="5">
        <f t="shared" si="2"/>
        <v>4.8710342857142841</v>
      </c>
      <c r="G42" s="5">
        <f t="shared" si="2"/>
        <v>4.611967857142858</v>
      </c>
      <c r="H42" s="5">
        <f t="shared" si="2"/>
        <v>4.6773800595238111</v>
      </c>
      <c r="I42" s="5">
        <f t="shared" si="2"/>
        <v>4.4763162202380942</v>
      </c>
      <c r="J42" s="5">
        <f t="shared" si="2"/>
        <v>4.4181778273809531</v>
      </c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4">
        <v>42</v>
      </c>
      <c r="E56" s="4">
        <v>84</v>
      </c>
      <c r="F56" s="4">
        <v>168</v>
      </c>
      <c r="G56" s="4">
        <v>336</v>
      </c>
      <c r="H56" s="4">
        <v>672</v>
      </c>
      <c r="I56" s="4">
        <v>1344</v>
      </c>
      <c r="J56" s="4">
        <v>2688</v>
      </c>
      <c r="K56" s="4">
        <v>5376</v>
      </c>
      <c r="L56" s="4">
        <v>10752</v>
      </c>
    </row>
    <row r="57" spans="3:12" x14ac:dyDescent="0.25">
      <c r="C57" s="1" t="s">
        <v>1</v>
      </c>
      <c r="D57" s="12">
        <f t="shared" ref="D57:L67" si="3">D$3/D3</f>
        <v>1</v>
      </c>
      <c r="E57" s="12">
        <f t="shared" si="3"/>
        <v>1</v>
      </c>
      <c r="F57" s="12">
        <f t="shared" si="3"/>
        <v>1</v>
      </c>
      <c r="G57" s="12">
        <f t="shared" si="3"/>
        <v>1</v>
      </c>
      <c r="H57" s="12">
        <f t="shared" si="3"/>
        <v>1</v>
      </c>
      <c r="I57" s="12">
        <f t="shared" si="3"/>
        <v>1</v>
      </c>
      <c r="J57" s="12">
        <f t="shared" si="3"/>
        <v>1</v>
      </c>
      <c r="K57" s="12" t="e">
        <f t="shared" si="3"/>
        <v>#DIV/0!</v>
      </c>
      <c r="L57" s="12" t="e">
        <f t="shared" si="3"/>
        <v>#DIV/0!</v>
      </c>
    </row>
    <row r="58" spans="3:12" x14ac:dyDescent="0.25">
      <c r="C58" s="1" t="s">
        <v>2</v>
      </c>
      <c r="D58" s="12">
        <f t="shared" si="3"/>
        <v>7.0908055832570387</v>
      </c>
      <c r="E58" s="12">
        <f t="shared" si="3"/>
        <v>7.0305005117972676</v>
      </c>
      <c r="F58" s="12">
        <f t="shared" si="3"/>
        <v>6.8192446639105615</v>
      </c>
      <c r="G58" s="12">
        <f t="shared" si="3"/>
        <v>6.8772192033944641</v>
      </c>
      <c r="H58" s="12">
        <f>H$3/H4</f>
        <v>8.0036312586795226</v>
      </c>
      <c r="I58" s="12">
        <f>I$3/I4</f>
        <v>6.7722446962961378</v>
      </c>
      <c r="J58" s="12">
        <f>J$3/J4</f>
        <v>7.1765932268790129</v>
      </c>
      <c r="K58" s="12" t="e">
        <f>K$3/K4</f>
        <v>#DIV/0!</v>
      </c>
      <c r="L58" s="12" t="e">
        <f>L$3/L4</f>
        <v>#DIV/0!</v>
      </c>
    </row>
    <row r="59" spans="3:12" x14ac:dyDescent="0.25">
      <c r="C59" s="1" t="s">
        <v>4</v>
      </c>
      <c r="D59" s="12">
        <f t="shared" si="3"/>
        <v>7.5021447576101821</v>
      </c>
      <c r="E59" s="12">
        <f t="shared" si="3"/>
        <v>7.251512261803156</v>
      </c>
      <c r="F59" s="12">
        <f t="shared" si="3"/>
        <v>6.9723451173521322</v>
      </c>
      <c r="G59" s="12">
        <f t="shared" si="3"/>
        <v>6.9449166642801075</v>
      </c>
      <c r="H59" s="12">
        <f t="shared" si="3"/>
        <v>8.12433143681268</v>
      </c>
      <c r="I59" s="12">
        <f t="shared" si="3"/>
        <v>7.1569494660191779</v>
      </c>
      <c r="J59" s="12">
        <f t="shared" si="3"/>
        <v>7.1323597236048855</v>
      </c>
      <c r="K59" s="12"/>
      <c r="L59" s="12"/>
    </row>
    <row r="60" spans="3:12" x14ac:dyDescent="0.25">
      <c r="C60" s="1" t="s">
        <v>5</v>
      </c>
      <c r="D60" s="12">
        <f t="shared" si="3"/>
        <v>7.0972838079165008</v>
      </c>
      <c r="E60" s="12">
        <f t="shared" si="3"/>
        <v>6.9867110567769188</v>
      </c>
      <c r="F60" s="12">
        <f t="shared" si="3"/>
        <v>6.8379880127270534</v>
      </c>
      <c r="G60" s="12">
        <f t="shared" si="3"/>
        <v>6.8537543025104544</v>
      </c>
      <c r="H60" s="12">
        <f t="shared" si="3"/>
        <v>8.0259320141430415</v>
      </c>
      <c r="I60" s="12">
        <f t="shared" si="3"/>
        <v>7.1018688329151116</v>
      </c>
      <c r="J60" s="12">
        <f t="shared" si="3"/>
        <v>7.1112808931393827</v>
      </c>
      <c r="K60" s="12" t="e">
        <f t="shared" si="3"/>
        <v>#DIV/0!</v>
      </c>
      <c r="L60" s="12" t="e">
        <f t="shared" si="3"/>
        <v>#DIV/0!</v>
      </c>
    </row>
    <row r="61" spans="3:12" x14ac:dyDescent="0.25">
      <c r="C61" s="1" t="s">
        <v>6</v>
      </c>
      <c r="D61" s="12"/>
      <c r="E61" s="12">
        <f t="shared" si="3"/>
        <v>5.3774737822672085</v>
      </c>
      <c r="F61" s="12">
        <f t="shared" si="3"/>
        <v>5.2974162004615053</v>
      </c>
      <c r="G61" s="12">
        <f t="shared" si="3"/>
        <v>5.4169876376210402</v>
      </c>
      <c r="H61" s="12">
        <f t="shared" si="3"/>
        <v>6.5580667970009303</v>
      </c>
      <c r="I61" s="12">
        <f t="shared" si="3"/>
        <v>6.4844296180162715</v>
      </c>
      <c r="J61" s="12">
        <f t="shared" si="3"/>
        <v>6.405612036109682</v>
      </c>
      <c r="K61" s="12"/>
      <c r="L61" s="12"/>
    </row>
    <row r="62" spans="3:12" x14ac:dyDescent="0.25">
      <c r="C62" s="1" t="s">
        <v>7</v>
      </c>
      <c r="D62" s="12"/>
      <c r="E62" s="12">
        <f t="shared" si="3"/>
        <v>5.3970050046151741</v>
      </c>
      <c r="F62" s="12">
        <f t="shared" si="3"/>
        <v>5.3324098509647344</v>
      </c>
      <c r="G62" s="12">
        <f t="shared" si="3"/>
        <v>5.4187196054835205</v>
      </c>
      <c r="H62" s="12">
        <f t="shared" si="3"/>
        <v>6.5656937961846129</v>
      </c>
      <c r="I62" s="12">
        <f t="shared" si="3"/>
        <v>6.4791977958217402</v>
      </c>
      <c r="J62" s="12">
        <f t="shared" si="3"/>
        <v>6.2362372637059256</v>
      </c>
      <c r="K62" s="12"/>
      <c r="L62" s="12"/>
    </row>
    <row r="63" spans="3:12" x14ac:dyDescent="0.25">
      <c r="C63" s="1" t="s">
        <v>8</v>
      </c>
      <c r="D63" s="12">
        <f t="shared" si="3"/>
        <v>24.049405339105931</v>
      </c>
      <c r="E63" s="12">
        <f t="shared" si="3"/>
        <v>24.781074859671136</v>
      </c>
      <c r="F63" s="12">
        <f t="shared" si="3"/>
        <v>26.426016276753668</v>
      </c>
      <c r="G63" s="12">
        <f t="shared" si="3"/>
        <v>26.981801758235743</v>
      </c>
      <c r="H63" s="12">
        <f t="shared" si="3"/>
        <v>32.427960015098428</v>
      </c>
      <c r="I63" s="12">
        <f t="shared" si="3"/>
        <v>28.143987798478097</v>
      </c>
      <c r="J63" s="12">
        <f t="shared" si="3"/>
        <v>28.159550142755354</v>
      </c>
      <c r="K63" s="12" t="e">
        <f t="shared" si="3"/>
        <v>#DIV/0!</v>
      </c>
      <c r="L63" s="12" t="e">
        <f t="shared" si="3"/>
        <v>#DIV/0!</v>
      </c>
    </row>
    <row r="64" spans="3:12" x14ac:dyDescent="0.25">
      <c r="C64" s="1" t="s">
        <v>9</v>
      </c>
      <c r="D64" s="12">
        <f t="shared" si="3"/>
        <v>4.7664411890616218</v>
      </c>
      <c r="E64" s="12">
        <f t="shared" si="3"/>
        <v>3.1446809991318587</v>
      </c>
      <c r="F64" s="12">
        <f t="shared" si="3"/>
        <v>3.4819935827555231</v>
      </c>
      <c r="G64" s="12">
        <f t="shared" si="3"/>
        <v>4.054277413035333</v>
      </c>
      <c r="H64" s="12">
        <f t="shared" si="3"/>
        <v>6.0159367565989461</v>
      </c>
      <c r="I64" s="12">
        <f t="shared" si="3"/>
        <v>6.0686724042902087</v>
      </c>
      <c r="J64" s="12">
        <f t="shared" si="3"/>
        <v>6.8488335611454945</v>
      </c>
      <c r="K64" s="12" t="e">
        <f t="shared" si="3"/>
        <v>#DIV/0!</v>
      </c>
      <c r="L64" s="12" t="e">
        <f t="shared" si="3"/>
        <v>#DIV/0!</v>
      </c>
    </row>
    <row r="65" spans="3:12" x14ac:dyDescent="0.25">
      <c r="C65" s="1" t="s">
        <v>10</v>
      </c>
      <c r="D65" s="12"/>
      <c r="E65" s="12">
        <f t="shared" si="3"/>
        <v>25.344290837562376</v>
      </c>
      <c r="F65" s="12">
        <f t="shared" si="3"/>
        <v>26.089846184901795</v>
      </c>
      <c r="G65" s="12">
        <f t="shared" si="3"/>
        <v>27.1340857839592</v>
      </c>
      <c r="H65" s="12">
        <f t="shared" si="3"/>
        <v>32.465080527323231</v>
      </c>
      <c r="I65" s="12">
        <f t="shared" si="3"/>
        <v>28.203872924224264</v>
      </c>
      <c r="J65" s="12">
        <f t="shared" si="3"/>
        <v>28.170730802263943</v>
      </c>
      <c r="K65" s="12"/>
      <c r="L65" s="12"/>
    </row>
    <row r="66" spans="3:12" x14ac:dyDescent="0.25">
      <c r="C66" s="1" t="s">
        <v>16</v>
      </c>
      <c r="D66" s="12">
        <f t="shared" si="3"/>
        <v>5.5549882266642729</v>
      </c>
      <c r="E66" s="12">
        <f t="shared" si="3"/>
        <v>5.4679325426865173</v>
      </c>
      <c r="F66" s="12">
        <f t="shared" si="3"/>
        <v>5.4163407333108387</v>
      </c>
      <c r="G66" s="12">
        <f t="shared" si="3"/>
        <v>5.5235372823670712</v>
      </c>
      <c r="H66" s="12">
        <f t="shared" si="3"/>
        <v>7.0022093261391456</v>
      </c>
      <c r="I66" s="12">
        <f t="shared" si="3"/>
        <v>6.3783190914216625</v>
      </c>
      <c r="J66" s="12">
        <f t="shared" si="3"/>
        <v>5.9653353174705224</v>
      </c>
      <c r="K66" s="12"/>
      <c r="L66" s="12"/>
    </row>
    <row r="67" spans="3:12" x14ac:dyDescent="0.25">
      <c r="C67" s="1" t="s">
        <v>17</v>
      </c>
      <c r="D67" s="12">
        <f t="shared" si="3"/>
        <v>24.459661401845398</v>
      </c>
      <c r="E67" s="12">
        <f t="shared" si="3"/>
        <v>25.915529989817664</v>
      </c>
      <c r="F67" s="12">
        <f t="shared" si="3"/>
        <v>26.331466515569399</v>
      </c>
      <c r="G67" s="12">
        <f t="shared" si="3"/>
        <v>27.479732466231098</v>
      </c>
      <c r="H67" s="12">
        <f t="shared" si="3"/>
        <v>31.284492482405003</v>
      </c>
      <c r="I67" s="12">
        <f t="shared" si="3"/>
        <v>28.524926743248074</v>
      </c>
      <c r="J67" s="12">
        <f t="shared" si="3"/>
        <v>28.126804996471048</v>
      </c>
      <c r="K67" s="12"/>
      <c r="L67" s="12"/>
    </row>
    <row r="68" spans="3:12" x14ac:dyDescent="0.25">
      <c r="C68" s="1"/>
      <c r="D68" s="12"/>
      <c r="E68" s="12"/>
      <c r="F68" s="12"/>
      <c r="G68" s="12"/>
      <c r="H68" s="12"/>
      <c r="I68" s="12"/>
      <c r="J68" s="12"/>
      <c r="K68" s="12"/>
      <c r="L68" s="12"/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4">
        <v>42</v>
      </c>
      <c r="E88" s="4">
        <v>84</v>
      </c>
      <c r="F88" s="4">
        <v>168</v>
      </c>
      <c r="G88" s="4">
        <v>336</v>
      </c>
      <c r="H88" s="4">
        <v>672</v>
      </c>
      <c r="I88" s="4">
        <v>1344</v>
      </c>
      <c r="J88" s="4">
        <v>2688</v>
      </c>
      <c r="K88" s="4">
        <v>5376</v>
      </c>
      <c r="L88" s="4">
        <v>10752</v>
      </c>
    </row>
    <row r="89" spans="3:12" x14ac:dyDescent="0.25">
      <c r="C89" s="1" t="s">
        <v>1</v>
      </c>
      <c r="D89" s="1">
        <v>23629.636893159994</v>
      </c>
      <c r="E89" s="1">
        <v>11483.894614000004</v>
      </c>
      <c r="F89" s="1">
        <v>84715.602051999944</v>
      </c>
      <c r="G89" s="1">
        <v>314291.08298999979</v>
      </c>
      <c r="H89" s="1">
        <v>430893.51435500017</v>
      </c>
      <c r="I89" s="1">
        <v>26330464.759716999</v>
      </c>
      <c r="J89" s="1">
        <v>1999689.5713940002</v>
      </c>
      <c r="K89" s="1"/>
      <c r="L89" s="1"/>
    </row>
    <row r="90" spans="3:12" x14ac:dyDescent="0.25">
      <c r="C90" s="1" t="s">
        <v>2</v>
      </c>
      <c r="D90" s="1">
        <v>200.59344174759991</v>
      </c>
      <c r="E90" s="1">
        <v>114.85141815999992</v>
      </c>
      <c r="F90" s="1">
        <v>20708.382007959994</v>
      </c>
      <c r="G90" s="1">
        <v>747.40648815999907</v>
      </c>
      <c r="H90" s="1">
        <v>8256.2152589999951</v>
      </c>
      <c r="I90" s="1">
        <v>97128.660752000054</v>
      </c>
      <c r="J90" s="1">
        <v>50621.516555999813</v>
      </c>
      <c r="K90" s="1"/>
      <c r="L90" s="1"/>
    </row>
    <row r="91" spans="3:12" x14ac:dyDescent="0.25">
      <c r="C91" s="1" t="s">
        <v>4</v>
      </c>
      <c r="D91" s="1">
        <v>100.54556059359997</v>
      </c>
      <c r="E91" s="1">
        <v>295.83530016000003</v>
      </c>
      <c r="F91" s="1">
        <v>477.97355299999947</v>
      </c>
      <c r="G91" s="1">
        <v>356.81963084000006</v>
      </c>
      <c r="H91" s="6">
        <v>1064.637682</v>
      </c>
      <c r="I91" s="1">
        <v>3172.4941859999835</v>
      </c>
      <c r="J91" s="1">
        <v>22078.655910000027</v>
      </c>
      <c r="K91" s="1"/>
      <c r="L91" s="1"/>
    </row>
    <row r="92" spans="3:12" x14ac:dyDescent="0.25">
      <c r="C92" s="1" t="s">
        <v>5</v>
      </c>
      <c r="D92" s="1">
        <v>537.44660129760007</v>
      </c>
      <c r="E92" s="1">
        <v>554.36812099999975</v>
      </c>
      <c r="F92" s="1">
        <v>231.65841955999957</v>
      </c>
      <c r="G92" s="1">
        <v>1151.4716547599992</v>
      </c>
      <c r="H92" s="1">
        <v>5983.0203029999975</v>
      </c>
      <c r="I92" s="1">
        <v>4644.85130200002</v>
      </c>
      <c r="J92" s="1">
        <v>302669.26456299983</v>
      </c>
      <c r="K92" s="1"/>
      <c r="L92" s="1"/>
    </row>
    <row r="93" spans="3:12" x14ac:dyDescent="0.25">
      <c r="C93" s="1" t="s">
        <v>6</v>
      </c>
      <c r="D93" s="1"/>
      <c r="E93" s="1">
        <v>113.63022800000029</v>
      </c>
      <c r="F93" s="1">
        <v>1100.3339749600004</v>
      </c>
      <c r="G93" s="1">
        <v>975.64002803999745</v>
      </c>
      <c r="H93" s="1">
        <v>64976.078103000058</v>
      </c>
      <c r="I93" s="1">
        <v>12178.919693999991</v>
      </c>
      <c r="J93" s="1">
        <v>19055707.890131999</v>
      </c>
      <c r="K93" s="1"/>
      <c r="L93" s="1"/>
    </row>
    <row r="94" spans="3:12" x14ac:dyDescent="0.25">
      <c r="C94" s="1" t="s">
        <v>7</v>
      </c>
      <c r="D94" s="1"/>
      <c r="E94" s="1">
        <v>259.53062775999996</v>
      </c>
      <c r="F94" s="1">
        <v>616.71730855999976</v>
      </c>
      <c r="G94" s="1">
        <v>3560.706592000005</v>
      </c>
      <c r="H94" s="1">
        <v>57100.635880999995</v>
      </c>
      <c r="I94" s="1">
        <v>13831.197151999995</v>
      </c>
      <c r="J94" s="1">
        <v>19720658.197508004</v>
      </c>
      <c r="K94" s="1"/>
      <c r="L94" s="1"/>
    </row>
    <row r="95" spans="3:12" x14ac:dyDescent="0.25">
      <c r="C95" s="1" t="s">
        <v>8</v>
      </c>
      <c r="D95" s="1">
        <v>240.99721352960003</v>
      </c>
      <c r="E95" s="1">
        <v>297.49951431999995</v>
      </c>
      <c r="F95" s="1">
        <v>281.85651201440004</v>
      </c>
      <c r="G95" s="1">
        <v>271.78190344000006</v>
      </c>
      <c r="H95" s="1">
        <v>1286.8453298399997</v>
      </c>
      <c r="I95" s="1">
        <v>38248.231785999997</v>
      </c>
      <c r="J95" s="1">
        <v>869.25825200000077</v>
      </c>
      <c r="K95" s="1"/>
      <c r="L95" s="4"/>
    </row>
    <row r="96" spans="3:12" x14ac:dyDescent="0.25">
      <c r="C96" s="1" t="s">
        <v>9</v>
      </c>
      <c r="D96" s="1">
        <v>1524.0940021599999</v>
      </c>
      <c r="E96" s="1">
        <v>43621.361746639996</v>
      </c>
      <c r="F96" s="1">
        <v>1601730.4977677662</v>
      </c>
      <c r="G96" s="1">
        <v>1002406.82703404</v>
      </c>
      <c r="H96" s="1">
        <v>2435076.7215710003</v>
      </c>
      <c r="I96" s="1">
        <v>2657196.5847010007</v>
      </c>
      <c r="J96" s="1">
        <v>65421.180141000026</v>
      </c>
      <c r="K96" s="1"/>
      <c r="L96" s="1"/>
    </row>
    <row r="97" spans="3:12" x14ac:dyDescent="0.25">
      <c r="C97" s="1" t="s">
        <v>10</v>
      </c>
      <c r="D97" s="1"/>
      <c r="E97" s="1">
        <v>373.81924788000003</v>
      </c>
      <c r="F97" s="1">
        <v>525.57633796360005</v>
      </c>
      <c r="G97" s="1">
        <v>340.5378199999999</v>
      </c>
      <c r="H97" s="1">
        <v>712.14340724000022</v>
      </c>
      <c r="I97" s="1">
        <v>4457.6383580000029</v>
      </c>
      <c r="J97" s="1">
        <v>1922.1838250000001</v>
      </c>
      <c r="K97" s="1"/>
      <c r="L97" s="1"/>
    </row>
    <row r="98" spans="3:12" x14ac:dyDescent="0.25">
      <c r="C98" s="1" t="s">
        <v>16</v>
      </c>
      <c r="D98" s="1">
        <v>287.53107919999997</v>
      </c>
      <c r="E98" s="1">
        <v>138.54438975999955</v>
      </c>
      <c r="F98" s="1">
        <v>455.55770944000017</v>
      </c>
      <c r="G98" s="1">
        <v>4887.4578929199943</v>
      </c>
      <c r="H98" s="1">
        <v>61519.251590000029</v>
      </c>
      <c r="I98" s="1">
        <v>339551.91815299995</v>
      </c>
      <c r="J98" s="1">
        <v>348666.42938699987</v>
      </c>
      <c r="K98" s="1"/>
      <c r="L98" s="1"/>
    </row>
    <row r="99" spans="3:12" x14ac:dyDescent="0.25">
      <c r="C99" s="1" t="s">
        <v>17</v>
      </c>
      <c r="D99" s="1">
        <v>6.771681791999999</v>
      </c>
      <c r="E99" s="1">
        <v>51.45089689199996</v>
      </c>
      <c r="F99" s="1">
        <v>62.694121706000075</v>
      </c>
      <c r="G99" s="1">
        <v>241.7645110000002</v>
      </c>
      <c r="H99" s="1">
        <v>9752.842702400003</v>
      </c>
      <c r="I99" s="1">
        <v>8465.0133265600016</v>
      </c>
      <c r="J99" s="1">
        <v>7016.1266239999923</v>
      </c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">
        <v>42.608828448753066</v>
      </c>
      <c r="E112" s="1">
        <v>29.704050077099726</v>
      </c>
      <c r="F112" s="1">
        <v>80.677562784576352</v>
      </c>
      <c r="G112" s="1">
        <v>155.3950207963166</v>
      </c>
      <c r="H112" s="1">
        <v>181.95167076705664</v>
      </c>
      <c r="I112" s="1">
        <v>1422.3298732778471</v>
      </c>
      <c r="J112" s="1">
        <v>391.96957681603783</v>
      </c>
      <c r="K112" s="1"/>
      <c r="L112" s="1"/>
    </row>
    <row r="113" spans="3:12" x14ac:dyDescent="0.25">
      <c r="C113" s="1" t="s">
        <v>2</v>
      </c>
      <c r="D113" s="1">
        <v>3.9258114213945112</v>
      </c>
      <c r="E113" s="1">
        <v>2.970566302924261</v>
      </c>
      <c r="F113" s="1">
        <v>39.88817376661386</v>
      </c>
      <c r="G113" s="1">
        <v>7.5779110115063402</v>
      </c>
      <c r="H113" s="1">
        <v>25.186137670938898</v>
      </c>
      <c r="I113" s="1">
        <v>86.386279367140645</v>
      </c>
      <c r="J113" s="1">
        <v>62.364672371708785</v>
      </c>
      <c r="K113" s="1"/>
      <c r="L113" s="1"/>
    </row>
    <row r="114" spans="3:12" x14ac:dyDescent="0.25">
      <c r="C114" s="1" t="s">
        <v>4</v>
      </c>
      <c r="D114" s="1">
        <v>2.779409381780142</v>
      </c>
      <c r="E114" s="1">
        <v>4.7675588912873561</v>
      </c>
      <c r="F114" s="1">
        <v>6.0600052825138659</v>
      </c>
      <c r="G114" s="1">
        <v>5.2359493768273655</v>
      </c>
      <c r="H114" s="6">
        <v>9.0442380764453549</v>
      </c>
      <c r="I114" s="1">
        <v>15.612465317775751</v>
      </c>
      <c r="J114" s="1">
        <v>41.186736832105574</v>
      </c>
      <c r="K114" s="1"/>
      <c r="L114" s="1"/>
    </row>
    <row r="115" spans="3:12" x14ac:dyDescent="0.25">
      <c r="C115" s="1" t="s">
        <v>5</v>
      </c>
      <c r="D115" s="1">
        <v>6.4259705314370379</v>
      </c>
      <c r="E115" s="1">
        <v>6.5263474832920121</v>
      </c>
      <c r="F115" s="1">
        <v>4.2188599990558924</v>
      </c>
      <c r="G115" s="1">
        <v>9.4058423428484197</v>
      </c>
      <c r="H115" s="1">
        <v>21.440322197208129</v>
      </c>
      <c r="I115" s="1">
        <v>18.891088249099507</v>
      </c>
      <c r="J115" s="1">
        <v>152.49486855269717</v>
      </c>
      <c r="K115" s="1"/>
      <c r="L115" s="1"/>
    </row>
    <row r="116" spans="3:12" x14ac:dyDescent="0.25">
      <c r="C116" s="1" t="s">
        <v>6</v>
      </c>
      <c r="D116" s="1"/>
      <c r="E116" s="1">
        <v>2.9547314053389049</v>
      </c>
      <c r="F116" s="1">
        <v>9.1946103758738325</v>
      </c>
      <c r="G116" s="1">
        <v>8.6579659640338793</v>
      </c>
      <c r="H116" s="1">
        <v>70.655799711061931</v>
      </c>
      <c r="I116" s="1">
        <v>30.58971653888619</v>
      </c>
      <c r="J116" s="1">
        <v>1209.995102723404</v>
      </c>
      <c r="K116" s="1"/>
      <c r="L116" s="1"/>
    </row>
    <row r="117" spans="3:12" x14ac:dyDescent="0.25">
      <c r="C117" s="1" t="s">
        <v>7</v>
      </c>
      <c r="D117" s="1"/>
      <c r="E117" s="1">
        <v>4.4654515104361296</v>
      </c>
      <c r="F117" s="1">
        <v>6.883576414283632</v>
      </c>
      <c r="G117" s="1">
        <v>16.540139324580807</v>
      </c>
      <c r="H117" s="1">
        <v>66.235610180695019</v>
      </c>
      <c r="I117" s="1">
        <v>32.598750583150625</v>
      </c>
      <c r="J117" s="1">
        <v>1230.9255097815362</v>
      </c>
      <c r="K117" s="1"/>
      <c r="L117" s="1"/>
    </row>
    <row r="118" spans="3:12" x14ac:dyDescent="0.25">
      <c r="C118" s="1" t="s">
        <v>8</v>
      </c>
      <c r="D118" s="1">
        <v>4.3030568099789512</v>
      </c>
      <c r="E118" s="1">
        <v>4.780949977173389</v>
      </c>
      <c r="F118" s="1">
        <v>4.653557728350469</v>
      </c>
      <c r="G118" s="1">
        <v>4.5696331587012633</v>
      </c>
      <c r="H118" s="1">
        <v>9.9433847548139696</v>
      </c>
      <c r="I118" s="1">
        <v>54.209668368123701</v>
      </c>
      <c r="J118" s="1">
        <v>8.1723221924777327</v>
      </c>
      <c r="K118" s="1"/>
      <c r="L118" s="4"/>
    </row>
    <row r="119" spans="3:12" x14ac:dyDescent="0.25">
      <c r="C119" s="1" t="s">
        <v>9</v>
      </c>
      <c r="D119" s="1">
        <v>10.821237931676629</v>
      </c>
      <c r="E119" s="1">
        <v>57.892283300262427</v>
      </c>
      <c r="F119" s="1">
        <v>350.80501365358646</v>
      </c>
      <c r="G119" s="1">
        <v>277.51922696396974</v>
      </c>
      <c r="H119" s="1">
        <v>432.54111327334311</v>
      </c>
      <c r="I119" s="1">
        <v>451.83816571395039</v>
      </c>
      <c r="J119" s="1">
        <v>70.897391437155946</v>
      </c>
      <c r="K119" s="1"/>
      <c r="L119" s="1"/>
    </row>
    <row r="120" spans="3:12" x14ac:dyDescent="0.25">
      <c r="C120" s="1" t="s">
        <v>10</v>
      </c>
      <c r="D120" s="1"/>
      <c r="E120" s="1">
        <v>5.3592238666728749</v>
      </c>
      <c r="F120" s="1">
        <v>6.3546110186556124</v>
      </c>
      <c r="G120" s="1">
        <v>5.115095481634726</v>
      </c>
      <c r="H120" s="1">
        <v>7.3969860257447895</v>
      </c>
      <c r="I120" s="1">
        <v>18.506465635605739</v>
      </c>
      <c r="J120" s="1">
        <v>12.152581110299161</v>
      </c>
      <c r="K120" s="1"/>
      <c r="L120" s="1"/>
    </row>
    <row r="121" spans="3:12" x14ac:dyDescent="0.25">
      <c r="C121" s="1" t="s">
        <v>16</v>
      </c>
      <c r="D121" s="1">
        <v>4.7001689200596175</v>
      </c>
      <c r="E121" s="1">
        <v>3.2626128415796258</v>
      </c>
      <c r="F121" s="1">
        <v>5.9161989428765906</v>
      </c>
      <c r="G121" s="1">
        <v>19.378162060134315</v>
      </c>
      <c r="H121" s="1">
        <v>68.750615547519871</v>
      </c>
      <c r="I121" s="1">
        <v>161.51920311693988</v>
      </c>
      <c r="J121" s="1">
        <v>163.67265838453889</v>
      </c>
      <c r="K121" s="1"/>
      <c r="L121" s="1"/>
    </row>
    <row r="122" spans="3:12" x14ac:dyDescent="0.25">
      <c r="C122" s="1" t="s">
        <v>17</v>
      </c>
      <c r="D122" s="1">
        <v>0.72130566020442677</v>
      </c>
      <c r="E122" s="1">
        <v>1.9882342191014972</v>
      </c>
      <c r="F122" s="1">
        <v>2.1947470831317668</v>
      </c>
      <c r="G122" s="1">
        <v>4.309901496455808</v>
      </c>
      <c r="H122" s="1">
        <v>27.373900169884397</v>
      </c>
      <c r="I122" s="1">
        <v>25.502625431634641</v>
      </c>
      <c r="J122" s="1">
        <v>23.217731171997997</v>
      </c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3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D50 D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1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 H6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 I6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 K62 K68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5 L62 L68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zoomScale="115" zoomScaleNormal="115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J64" sqref="D58:J64"/>
    </sheetView>
  </sheetViews>
  <sheetFormatPr defaultRowHeight="15" x14ac:dyDescent="0.25"/>
  <cols>
    <col min="1" max="1" width="2" bestFit="1" customWidth="1"/>
    <col min="2" max="2" width="6.85546875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14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  <c r="M2" t="s">
        <v>15</v>
      </c>
    </row>
    <row r="3" spans="1:13" x14ac:dyDescent="0.25">
      <c r="A3">
        <v>1</v>
      </c>
      <c r="B3" s="1"/>
      <c r="C3" s="1" t="s">
        <v>1</v>
      </c>
      <c r="D3" s="10">
        <v>6732.0454</v>
      </c>
      <c r="E3" s="10">
        <v>12795.570000000002</v>
      </c>
      <c r="F3" s="10">
        <v>24112.532000000003</v>
      </c>
      <c r="G3" s="10">
        <v>46059.343999999997</v>
      </c>
      <c r="H3" s="10">
        <v>91907.945999999982</v>
      </c>
      <c r="I3" s="10">
        <v>184408.08</v>
      </c>
      <c r="J3" s="10">
        <v>367570.34</v>
      </c>
      <c r="K3" s="10"/>
      <c r="L3" s="10"/>
    </row>
    <row r="4" spans="1:13" x14ac:dyDescent="0.25">
      <c r="B4" s="1"/>
      <c r="C4" s="1" t="s">
        <v>2</v>
      </c>
      <c r="D4" s="10">
        <v>565.78236000000004</v>
      </c>
      <c r="E4" s="10">
        <v>1048.5618000000002</v>
      </c>
      <c r="F4" s="10">
        <v>1982.6899999999996</v>
      </c>
      <c r="G4" s="10">
        <v>3787.3732000000014</v>
      </c>
      <c r="H4" s="10">
        <v>7666.1589999999997</v>
      </c>
      <c r="I4" s="10">
        <v>15021.705999999998</v>
      </c>
      <c r="J4" s="10">
        <v>30206.626000000011</v>
      </c>
      <c r="K4" s="10"/>
      <c r="L4" s="10"/>
    </row>
    <row r="5" spans="1:13" x14ac:dyDescent="0.25">
      <c r="B5" s="1"/>
      <c r="C5" s="1" t="s">
        <v>4</v>
      </c>
      <c r="D5" s="10">
        <v>537.5828600000001</v>
      </c>
      <c r="E5" s="10">
        <v>1010.2037999999999</v>
      </c>
      <c r="F5" s="10">
        <v>1940.0652</v>
      </c>
      <c r="G5" s="10">
        <v>3816.5009999999997</v>
      </c>
      <c r="H5" s="11">
        <v>7811.4766</v>
      </c>
      <c r="I5" s="10">
        <v>15154.871999999999</v>
      </c>
      <c r="J5" s="10">
        <v>30090.163999999993</v>
      </c>
      <c r="K5" s="10"/>
      <c r="L5" s="10"/>
    </row>
    <row r="6" spans="1:13" x14ac:dyDescent="0.25">
      <c r="B6" s="1"/>
      <c r="C6" s="1"/>
      <c r="D6" s="10"/>
      <c r="E6" s="10"/>
      <c r="F6" s="10"/>
      <c r="G6" s="10"/>
      <c r="H6" s="10"/>
      <c r="I6" s="10"/>
      <c r="J6" s="10"/>
      <c r="K6" s="10"/>
      <c r="L6" s="10"/>
    </row>
    <row r="7" spans="1:13" x14ac:dyDescent="0.25">
      <c r="B7" s="1"/>
      <c r="C7" s="1"/>
      <c r="D7" s="10"/>
      <c r="E7" s="10"/>
      <c r="F7" s="10"/>
      <c r="G7" s="10"/>
      <c r="H7" s="10"/>
      <c r="I7" s="10"/>
      <c r="J7" s="10"/>
      <c r="K7" s="10"/>
      <c r="L7" s="10"/>
    </row>
    <row r="8" spans="1:13" x14ac:dyDescent="0.25">
      <c r="B8" s="1"/>
      <c r="C8" s="1" t="s">
        <v>5</v>
      </c>
      <c r="D8" s="10">
        <v>568.43799999999999</v>
      </c>
      <c r="E8" s="10">
        <v>1053.3364000000001</v>
      </c>
      <c r="F8" s="10">
        <v>1978.4417999999994</v>
      </c>
      <c r="G8" s="10">
        <v>3846.7940000000003</v>
      </c>
      <c r="H8" s="10">
        <v>7448.5196000000024</v>
      </c>
      <c r="I8" s="10">
        <v>14762.202000000001</v>
      </c>
      <c r="J8" s="10">
        <v>30250.245999999992</v>
      </c>
      <c r="K8" s="10"/>
      <c r="L8" s="10"/>
    </row>
    <row r="9" spans="1:13" x14ac:dyDescent="0.25">
      <c r="B9" s="1"/>
      <c r="C9" s="1" t="s">
        <v>6</v>
      </c>
      <c r="D9" s="10"/>
      <c r="E9" s="10">
        <v>1098.6976</v>
      </c>
      <c r="F9" s="10">
        <v>2044.9888000000001</v>
      </c>
      <c r="G9" s="10">
        <v>3966.7574000000004</v>
      </c>
      <c r="H9" s="10">
        <v>7436.0804000000035</v>
      </c>
      <c r="I9" s="10">
        <v>14843.796</v>
      </c>
      <c r="J9" s="10">
        <v>31936.964000000007</v>
      </c>
      <c r="K9" s="10"/>
      <c r="L9" s="9"/>
    </row>
    <row r="10" spans="1:13" x14ac:dyDescent="0.25">
      <c r="B10" s="1"/>
      <c r="C10" s="1" t="s">
        <v>7</v>
      </c>
      <c r="D10" s="10"/>
      <c r="E10" s="10">
        <v>1100.0655999999999</v>
      </c>
      <c r="F10" s="10">
        <v>2057.8179999999998</v>
      </c>
      <c r="G10" s="10">
        <v>3962.7250000000004</v>
      </c>
      <c r="H10" s="10">
        <v>7628.9560000000001</v>
      </c>
      <c r="I10" s="10">
        <v>14841.381999999994</v>
      </c>
      <c r="J10" s="10">
        <v>30129.48599999999</v>
      </c>
      <c r="K10" s="10"/>
      <c r="L10" s="10"/>
    </row>
    <row r="11" spans="1:13" x14ac:dyDescent="0.25">
      <c r="B11" s="1"/>
      <c r="C11" s="1" t="s">
        <v>8</v>
      </c>
      <c r="D11" s="10">
        <v>344.71263999999996</v>
      </c>
      <c r="E11" s="10">
        <v>563.00459999999975</v>
      </c>
      <c r="F11" s="10">
        <v>1067.8192000000001</v>
      </c>
      <c r="G11" s="10">
        <v>2109.8016000000007</v>
      </c>
      <c r="H11" s="10">
        <v>4311.6994000000004</v>
      </c>
      <c r="I11" s="10">
        <v>8536.9112000000005</v>
      </c>
      <c r="J11" s="10">
        <v>16848.092000000001</v>
      </c>
      <c r="K11" s="10"/>
      <c r="L11" s="10"/>
    </row>
    <row r="12" spans="1:13" x14ac:dyDescent="0.25">
      <c r="B12" s="1"/>
      <c r="C12" s="1" t="s">
        <v>9</v>
      </c>
      <c r="D12" s="10">
        <v>1001.4924800000001</v>
      </c>
      <c r="E12" s="10">
        <v>1662.8521999999998</v>
      </c>
      <c r="F12" s="10">
        <v>3342.1845999999996</v>
      </c>
      <c r="G12" s="10">
        <v>6069.613400000002</v>
      </c>
      <c r="H12" s="10">
        <v>11814.460000000006</v>
      </c>
      <c r="I12" s="10">
        <v>21886.495999999999</v>
      </c>
      <c r="J12" s="10">
        <v>36632.952000000005</v>
      </c>
      <c r="K12" s="10"/>
      <c r="L12" s="10"/>
    </row>
    <row r="13" spans="1:13" x14ac:dyDescent="0.25">
      <c r="B13" s="1"/>
      <c r="C13" s="1"/>
      <c r="D13" s="10"/>
      <c r="E13" s="10"/>
      <c r="F13" s="10"/>
      <c r="G13" s="10"/>
      <c r="H13" s="10"/>
      <c r="I13" s="10"/>
      <c r="J13" s="10"/>
      <c r="K13" s="10"/>
      <c r="L13" s="10"/>
    </row>
    <row r="14" spans="1:13" x14ac:dyDescent="0.25">
      <c r="B14" s="1"/>
      <c r="C14" s="1" t="s">
        <v>10</v>
      </c>
      <c r="D14" s="10"/>
      <c r="E14" s="10">
        <v>588.25029999999992</v>
      </c>
      <c r="F14" s="10">
        <v>1023.4705</v>
      </c>
      <c r="G14" s="10">
        <v>1924.1816000000003</v>
      </c>
      <c r="H14" s="10">
        <v>3836.9328000000014</v>
      </c>
      <c r="I14" s="10">
        <v>7876.4872000000005</v>
      </c>
      <c r="J14" s="10">
        <v>15491.638000000001</v>
      </c>
      <c r="K14" s="10"/>
      <c r="L14" s="10"/>
    </row>
    <row r="15" spans="1:13" x14ac:dyDescent="0.25">
      <c r="C15" s="1"/>
      <c r="D15" s="10"/>
      <c r="E15" s="10"/>
      <c r="F15" s="10"/>
      <c r="G15" s="10"/>
      <c r="H15" s="10"/>
      <c r="I15" s="10"/>
      <c r="J15" s="10"/>
      <c r="K15" s="10"/>
      <c r="L15" s="10"/>
    </row>
    <row r="16" spans="1:13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160.28679523809524</v>
      </c>
      <c r="E32" s="5">
        <f t="shared" ref="E32:J32" si="0">E3/E$2</f>
        <v>152.3282142857143</v>
      </c>
      <c r="F32" s="5">
        <f t="shared" si="0"/>
        <v>143.5269761904762</v>
      </c>
      <c r="G32" s="5">
        <f t="shared" si="0"/>
        <v>137.08138095238095</v>
      </c>
      <c r="H32" s="5">
        <f t="shared" si="0"/>
        <v>136.76777678571426</v>
      </c>
      <c r="I32" s="5">
        <f t="shared" si="0"/>
        <v>137.20839285714285</v>
      </c>
      <c r="J32" s="5">
        <f t="shared" si="0"/>
        <v>136.7449181547619</v>
      </c>
      <c r="K32" s="5"/>
      <c r="L32" s="5"/>
    </row>
    <row r="33" spans="3:12" x14ac:dyDescent="0.25">
      <c r="C33" s="1" t="s">
        <v>2</v>
      </c>
      <c r="D33" s="5">
        <f t="shared" ref="D33:J34" si="1">D4/D$2</f>
        <v>13.471008571428573</v>
      </c>
      <c r="E33" s="5">
        <f t="shared" si="1"/>
        <v>12.482878571428573</v>
      </c>
      <c r="F33" s="5">
        <f t="shared" si="1"/>
        <v>11.801726190476188</v>
      </c>
      <c r="G33" s="5">
        <f t="shared" si="1"/>
        <v>11.271944047619051</v>
      </c>
      <c r="H33" s="5">
        <f t="shared" si="1"/>
        <v>11.407974702380951</v>
      </c>
      <c r="I33" s="5">
        <f t="shared" si="1"/>
        <v>11.176864583333332</v>
      </c>
      <c r="J33" s="5">
        <f t="shared" si="1"/>
        <v>11.237584077380957</v>
      </c>
      <c r="K33" s="5"/>
      <c r="L33" s="5"/>
    </row>
    <row r="34" spans="3:12" x14ac:dyDescent="0.25">
      <c r="C34" s="1" t="s">
        <v>4</v>
      </c>
      <c r="D34" s="5">
        <f t="shared" si="1"/>
        <v>12.799591904761908</v>
      </c>
      <c r="E34" s="5">
        <f t="shared" si="1"/>
        <v>12.026235714285713</v>
      </c>
      <c r="F34" s="5">
        <f t="shared" si="1"/>
        <v>11.548007142857143</v>
      </c>
      <c r="G34" s="5">
        <f t="shared" si="1"/>
        <v>11.358633928571427</v>
      </c>
      <c r="H34" s="5">
        <f t="shared" si="1"/>
        <v>11.624221130952382</v>
      </c>
      <c r="I34" s="5">
        <f t="shared" si="1"/>
        <v>11.275946428571428</v>
      </c>
      <c r="J34" s="5">
        <f t="shared" si="1"/>
        <v>11.194257440476187</v>
      </c>
      <c r="K34" s="5"/>
      <c r="L34" s="5"/>
    </row>
    <row r="35" spans="3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3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3:12" x14ac:dyDescent="0.25">
      <c r="C37" s="1" t="s">
        <v>5</v>
      </c>
      <c r="D37" s="5">
        <f t="shared" ref="D37:J37" si="2">D8/D$2</f>
        <v>13.534238095238095</v>
      </c>
      <c r="E37" s="5">
        <f t="shared" si="2"/>
        <v>12.53971904761905</v>
      </c>
      <c r="F37" s="5">
        <f t="shared" si="2"/>
        <v>11.776439285714282</v>
      </c>
      <c r="G37" s="5">
        <f t="shared" si="2"/>
        <v>11.448791666666668</v>
      </c>
      <c r="H37" s="5">
        <f t="shared" si="2"/>
        <v>11.084106547619051</v>
      </c>
      <c r="I37" s="5">
        <f t="shared" si="2"/>
        <v>10.983781250000002</v>
      </c>
      <c r="J37" s="5">
        <f t="shared" si="2"/>
        <v>11.253811755952379</v>
      </c>
      <c r="K37" s="5"/>
      <c r="L37" s="5"/>
    </row>
    <row r="38" spans="3:12" x14ac:dyDescent="0.25">
      <c r="C38" s="1" t="s">
        <v>6</v>
      </c>
      <c r="D38" s="5"/>
      <c r="E38" s="5">
        <f t="shared" ref="E38:J41" si="3">E9/E$2</f>
        <v>13.079733333333333</v>
      </c>
      <c r="F38" s="5">
        <f t="shared" si="3"/>
        <v>12.172552380952382</v>
      </c>
      <c r="G38" s="5">
        <f t="shared" si="3"/>
        <v>11.805825595238096</v>
      </c>
      <c r="H38" s="5">
        <f t="shared" si="3"/>
        <v>11.065595833333338</v>
      </c>
      <c r="I38" s="5">
        <f t="shared" si="3"/>
        <v>11.044491071428572</v>
      </c>
      <c r="J38" s="5">
        <f t="shared" si="3"/>
        <v>11.881311011904765</v>
      </c>
      <c r="K38" s="5"/>
      <c r="L38" s="5"/>
    </row>
    <row r="39" spans="3:12" x14ac:dyDescent="0.25">
      <c r="C39" s="1" t="s">
        <v>7</v>
      </c>
      <c r="D39" s="5"/>
      <c r="E39" s="5">
        <f t="shared" si="3"/>
        <v>13.096019047619047</v>
      </c>
      <c r="F39" s="5">
        <f t="shared" si="3"/>
        <v>12.248916666666664</v>
      </c>
      <c r="G39" s="5">
        <f t="shared" si="3"/>
        <v>11.793824404761907</v>
      </c>
      <c r="H39" s="5">
        <f t="shared" si="3"/>
        <v>11.352613095238095</v>
      </c>
      <c r="I39" s="5">
        <f t="shared" si="3"/>
        <v>11.042694940476187</v>
      </c>
      <c r="J39" s="5">
        <f t="shared" si="3"/>
        <v>11.208886160714282</v>
      </c>
      <c r="K39" s="5"/>
      <c r="L39" s="5"/>
    </row>
    <row r="40" spans="3:12" x14ac:dyDescent="0.25">
      <c r="C40" s="1" t="s">
        <v>8</v>
      </c>
      <c r="D40" s="5">
        <f>D11/D$2</f>
        <v>8.2074438095238094</v>
      </c>
      <c r="E40" s="5">
        <f t="shared" si="3"/>
        <v>6.7024357142857109</v>
      </c>
      <c r="F40" s="5">
        <f t="shared" si="3"/>
        <v>6.3560666666666679</v>
      </c>
      <c r="G40" s="5">
        <f t="shared" si="3"/>
        <v>6.2791714285714306</v>
      </c>
      <c r="H40" s="5">
        <f t="shared" si="3"/>
        <v>6.4162193452380958</v>
      </c>
      <c r="I40" s="5">
        <f t="shared" si="3"/>
        <v>6.3518684523809528</v>
      </c>
      <c r="J40" s="5">
        <f t="shared" si="3"/>
        <v>6.2678913690476197</v>
      </c>
      <c r="K40" s="5"/>
      <c r="L40" s="5"/>
    </row>
    <row r="41" spans="3:12" x14ac:dyDescent="0.25">
      <c r="C41" s="1" t="s">
        <v>9</v>
      </c>
      <c r="D41" s="5">
        <f>D12/D$2</f>
        <v>23.845059047619049</v>
      </c>
      <c r="E41" s="5">
        <f t="shared" si="3"/>
        <v>19.795859523809522</v>
      </c>
      <c r="F41" s="5">
        <f t="shared" si="3"/>
        <v>19.893955952380949</v>
      </c>
      <c r="G41" s="5">
        <f t="shared" si="3"/>
        <v>18.064325595238103</v>
      </c>
      <c r="H41" s="5">
        <f t="shared" si="3"/>
        <v>17.581041666666675</v>
      </c>
      <c r="I41" s="5">
        <f t="shared" si="3"/>
        <v>16.284595238095239</v>
      </c>
      <c r="J41" s="5">
        <f t="shared" si="3"/>
        <v>13.628330357142859</v>
      </c>
      <c r="K41" s="5"/>
      <c r="L41" s="5"/>
    </row>
    <row r="42" spans="3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3:12" x14ac:dyDescent="0.25">
      <c r="C43" s="1" t="s">
        <v>10</v>
      </c>
      <c r="D43" s="5"/>
      <c r="E43" s="5">
        <f t="shared" ref="E43:J43" si="4">E14/E$2</f>
        <v>7.0029797619047613</v>
      </c>
      <c r="F43" s="5">
        <f t="shared" si="4"/>
        <v>6.0920863095238094</v>
      </c>
      <c r="G43" s="5">
        <f t="shared" si="4"/>
        <v>5.7267309523809535</v>
      </c>
      <c r="H43" s="5">
        <f t="shared" si="4"/>
        <v>5.7097214285714308</v>
      </c>
      <c r="I43" s="5">
        <f t="shared" si="4"/>
        <v>5.8604815476190479</v>
      </c>
      <c r="J43" s="5">
        <f t="shared" si="4"/>
        <v>5.76325818452381</v>
      </c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4">
        <v>42</v>
      </c>
      <c r="E56" s="4">
        <v>84</v>
      </c>
      <c r="F56" s="4">
        <v>168</v>
      </c>
      <c r="G56" s="4">
        <v>336</v>
      </c>
      <c r="H56" s="4">
        <v>672</v>
      </c>
      <c r="I56" s="4">
        <v>1344</v>
      </c>
      <c r="J56" s="4">
        <v>2688</v>
      </c>
      <c r="K56" s="4">
        <v>5376</v>
      </c>
      <c r="L56" s="4">
        <v>10752</v>
      </c>
    </row>
    <row r="57" spans="3:12" x14ac:dyDescent="0.25">
      <c r="C57" s="1" t="s">
        <v>1</v>
      </c>
      <c r="D57" s="12">
        <f t="shared" ref="D57:J59" si="5">D$3/D3</f>
        <v>1</v>
      </c>
      <c r="E57" s="12">
        <f t="shared" si="5"/>
        <v>1</v>
      </c>
      <c r="F57" s="12">
        <f t="shared" si="5"/>
        <v>1</v>
      </c>
      <c r="G57" s="12">
        <f t="shared" si="5"/>
        <v>1</v>
      </c>
      <c r="H57" s="12">
        <f t="shared" si="5"/>
        <v>1</v>
      </c>
      <c r="I57" s="12">
        <f t="shared" si="5"/>
        <v>1</v>
      </c>
      <c r="J57" s="12">
        <f t="shared" si="5"/>
        <v>1</v>
      </c>
      <c r="K57" s="12"/>
      <c r="L57" s="12"/>
    </row>
    <row r="58" spans="3:12" x14ac:dyDescent="0.25">
      <c r="C58" s="1" t="s">
        <v>2</v>
      </c>
      <c r="D58" s="12">
        <f t="shared" si="5"/>
        <v>11.898648448495283</v>
      </c>
      <c r="E58" s="12">
        <f t="shared" si="5"/>
        <v>12.20297172756055</v>
      </c>
      <c r="F58" s="12">
        <f t="shared" si="5"/>
        <v>12.161523990134619</v>
      </c>
      <c r="G58" s="12">
        <f t="shared" si="5"/>
        <v>12.161290046621225</v>
      </c>
      <c r="H58" s="12">
        <f>H$3/H4</f>
        <v>11.988786822710042</v>
      </c>
      <c r="I58" s="12">
        <f>I$3/I4</f>
        <v>12.27610765381775</v>
      </c>
      <c r="J58" s="12">
        <f>J$3/J4</f>
        <v>12.168533486659513</v>
      </c>
      <c r="K58" s="12"/>
      <c r="L58" s="12"/>
    </row>
    <row r="59" spans="3:12" x14ac:dyDescent="0.25">
      <c r="C59" s="1" t="s">
        <v>4</v>
      </c>
      <c r="D59" s="12">
        <f t="shared" si="5"/>
        <v>12.522805135565518</v>
      </c>
      <c r="E59" s="12">
        <f t="shared" si="5"/>
        <v>12.666325349399797</v>
      </c>
      <c r="F59" s="12">
        <f t="shared" si="5"/>
        <v>12.428722498604687</v>
      </c>
      <c r="G59" s="12">
        <f t="shared" si="5"/>
        <v>12.068474238576121</v>
      </c>
      <c r="H59" s="12">
        <f t="shared" si="5"/>
        <v>11.765758345867667</v>
      </c>
      <c r="I59" s="12">
        <f t="shared" si="5"/>
        <v>12.168237382671395</v>
      </c>
      <c r="J59" s="12">
        <f t="shared" si="5"/>
        <v>12.2156309948992</v>
      </c>
      <c r="K59" s="12"/>
      <c r="L59" s="12"/>
    </row>
    <row r="60" spans="3:12" x14ac:dyDescent="0.25">
      <c r="C60" s="1"/>
      <c r="D60" s="12"/>
      <c r="E60" s="12"/>
      <c r="F60" s="12"/>
      <c r="G60" s="12"/>
      <c r="H60" s="12"/>
      <c r="I60" s="12"/>
      <c r="J60" s="12"/>
      <c r="K60" s="12"/>
      <c r="L60" s="12"/>
    </row>
    <row r="61" spans="3:12" x14ac:dyDescent="0.25">
      <c r="C61" s="1"/>
      <c r="D61" s="12"/>
      <c r="E61" s="12"/>
      <c r="F61" s="12"/>
      <c r="G61" s="12"/>
      <c r="H61" s="12"/>
      <c r="I61" s="12"/>
      <c r="J61" s="12"/>
      <c r="K61" s="12"/>
      <c r="L61" s="12"/>
    </row>
    <row r="62" spans="3:12" x14ac:dyDescent="0.25">
      <c r="C62" s="1" t="s">
        <v>5</v>
      </c>
      <c r="D62" s="12">
        <f t="shared" ref="D62:J62" si="6">D$3/D8</f>
        <v>11.843060105059831</v>
      </c>
      <c r="E62" s="12">
        <f t="shared" si="6"/>
        <v>12.1476576713764</v>
      </c>
      <c r="F62" s="12">
        <f t="shared" si="6"/>
        <v>12.18763776624615</v>
      </c>
      <c r="G62" s="12">
        <f t="shared" si="6"/>
        <v>11.97343658121542</v>
      </c>
      <c r="H62" s="12">
        <f t="shared" si="6"/>
        <v>12.339088964738705</v>
      </c>
      <c r="I62" s="12">
        <f t="shared" si="6"/>
        <v>12.491908727437815</v>
      </c>
      <c r="J62" s="12">
        <f t="shared" si="6"/>
        <v>12.150986805198217</v>
      </c>
      <c r="K62" s="12"/>
      <c r="L62" s="12"/>
    </row>
    <row r="63" spans="3:12" x14ac:dyDescent="0.25">
      <c r="C63" s="1" t="s">
        <v>6</v>
      </c>
      <c r="D63" s="12"/>
      <c r="E63" s="12">
        <f t="shared" ref="E63:J66" si="7">E$3/E9</f>
        <v>11.646125376081645</v>
      </c>
      <c r="F63" s="12">
        <f t="shared" si="7"/>
        <v>11.791033769964903</v>
      </c>
      <c r="G63" s="12">
        <f t="shared" si="7"/>
        <v>11.611333730668781</v>
      </c>
      <c r="H63" s="12">
        <f t="shared" si="7"/>
        <v>12.359729999691766</v>
      </c>
      <c r="I63" s="12">
        <f t="shared" si="7"/>
        <v>12.423242679972157</v>
      </c>
      <c r="J63" s="12">
        <f t="shared" si="7"/>
        <v>11.509244898795012</v>
      </c>
      <c r="K63" s="12"/>
      <c r="L63" s="12"/>
    </row>
    <row r="64" spans="3:12" x14ac:dyDescent="0.25">
      <c r="C64" s="1" t="s">
        <v>7</v>
      </c>
      <c r="D64" s="12"/>
      <c r="E64" s="12">
        <f t="shared" si="7"/>
        <v>11.631642694762933</v>
      </c>
      <c r="F64" s="12">
        <f t="shared" si="7"/>
        <v>11.717524095911303</v>
      </c>
      <c r="G64" s="12">
        <f t="shared" si="7"/>
        <v>11.623149221810747</v>
      </c>
      <c r="H64" s="12">
        <f t="shared" si="7"/>
        <v>12.047250764062603</v>
      </c>
      <c r="I64" s="12">
        <f t="shared" si="7"/>
        <v>12.425263361592611</v>
      </c>
      <c r="J64" s="12">
        <f t="shared" si="7"/>
        <v>12.199688371716668</v>
      </c>
      <c r="K64" s="12"/>
      <c r="L64" s="12"/>
    </row>
    <row r="65" spans="3:12" x14ac:dyDescent="0.25">
      <c r="C65" s="1" t="s">
        <v>8</v>
      </c>
      <c r="D65" s="12">
        <f>D$3/D11</f>
        <v>19.529441682208116</v>
      </c>
      <c r="E65" s="12">
        <f t="shared" si="7"/>
        <v>22.72729210383007</v>
      </c>
      <c r="F65" s="12">
        <f t="shared" si="7"/>
        <v>22.581099871588748</v>
      </c>
      <c r="G65" s="12">
        <f t="shared" si="7"/>
        <v>21.831125732391133</v>
      </c>
      <c r="H65" s="12">
        <f t="shared" si="7"/>
        <v>21.315944706163879</v>
      </c>
      <c r="I65" s="12">
        <f t="shared" si="7"/>
        <v>21.601264869663865</v>
      </c>
      <c r="J65" s="12">
        <f t="shared" si="7"/>
        <v>21.81673390672368</v>
      </c>
      <c r="K65" s="12"/>
      <c r="L65" s="12"/>
    </row>
    <row r="66" spans="3:12" x14ac:dyDescent="0.25">
      <c r="C66" s="1" t="s">
        <v>9</v>
      </c>
      <c r="D66" s="12">
        <f>D$3/D12</f>
        <v>6.7220129301420206</v>
      </c>
      <c r="E66" s="12">
        <f t="shared" si="7"/>
        <v>7.6949532856858855</v>
      </c>
      <c r="F66" s="12">
        <f t="shared" si="7"/>
        <v>7.2146020899025167</v>
      </c>
      <c r="G66" s="12">
        <f t="shared" si="7"/>
        <v>7.5885136275730485</v>
      </c>
      <c r="H66" s="12">
        <f t="shared" si="7"/>
        <v>7.7792760735573125</v>
      </c>
      <c r="I66" s="12">
        <f t="shared" si="7"/>
        <v>8.4256557102607932</v>
      </c>
      <c r="J66" s="12">
        <f t="shared" si="7"/>
        <v>10.033871690165729</v>
      </c>
      <c r="K66" s="12"/>
      <c r="L66" s="12"/>
    </row>
    <row r="67" spans="3:12" x14ac:dyDescent="0.25">
      <c r="C67" s="1"/>
      <c r="D67" s="12"/>
      <c r="E67" s="12"/>
      <c r="F67" s="12"/>
      <c r="G67" s="12"/>
      <c r="H67" s="12"/>
      <c r="I67" s="12"/>
      <c r="J67" s="12"/>
      <c r="K67" s="12"/>
      <c r="L67" s="12"/>
    </row>
    <row r="68" spans="3:12" x14ac:dyDescent="0.25">
      <c r="C68" s="1" t="s">
        <v>10</v>
      </c>
      <c r="D68" s="12"/>
      <c r="E68" s="12">
        <f t="shared" ref="E68:J68" si="8">E$3/E14</f>
        <v>21.751914108671095</v>
      </c>
      <c r="F68" s="12">
        <f t="shared" si="8"/>
        <v>23.559576949213486</v>
      </c>
      <c r="G68" s="12">
        <f t="shared" si="8"/>
        <v>23.937108638810386</v>
      </c>
      <c r="H68" s="12">
        <f t="shared" si="8"/>
        <v>23.953493790665281</v>
      </c>
      <c r="I68" s="12">
        <f t="shared" si="8"/>
        <v>23.412477582646229</v>
      </c>
      <c r="J68" s="12">
        <f t="shared" si="8"/>
        <v>23.727015826215407</v>
      </c>
      <c r="K68" s="12"/>
      <c r="L68" s="12"/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2:12" x14ac:dyDescent="0.25">
      <c r="C86" t="s">
        <v>3</v>
      </c>
    </row>
    <row r="87" spans="2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2:12" x14ac:dyDescent="0.25">
      <c r="C88" s="1"/>
      <c r="D88" s="4">
        <v>42</v>
      </c>
      <c r="E88" s="4">
        <v>84</v>
      </c>
      <c r="F88" s="4">
        <v>168</v>
      </c>
      <c r="G88" s="4">
        <v>336</v>
      </c>
      <c r="H88" s="4">
        <v>672</v>
      </c>
      <c r="I88" s="4">
        <v>1344</v>
      </c>
      <c r="J88" s="4">
        <v>2688</v>
      </c>
      <c r="K88" s="4">
        <v>5376</v>
      </c>
      <c r="L88" s="4">
        <v>10752</v>
      </c>
    </row>
    <row r="89" spans="2:12" x14ac:dyDescent="0.25">
      <c r="B89" s="1"/>
      <c r="C89" s="1" t="s">
        <v>1</v>
      </c>
      <c r="D89" s="1">
        <v>11498.250379839999</v>
      </c>
      <c r="E89" s="1">
        <v>3877.8759590000013</v>
      </c>
      <c r="F89" s="1">
        <v>125074.76213000012</v>
      </c>
      <c r="G89" s="1">
        <v>30221.512466000062</v>
      </c>
      <c r="H89" s="1">
        <v>3420283.9930760013</v>
      </c>
      <c r="I89" s="1">
        <v>7818631.1302189985</v>
      </c>
      <c r="J89" s="1">
        <v>23987376.536843002</v>
      </c>
      <c r="K89" s="1"/>
      <c r="L89" s="1"/>
    </row>
    <row r="90" spans="2:12" x14ac:dyDescent="0.25">
      <c r="B90" s="1"/>
      <c r="C90" s="1" t="s">
        <v>2</v>
      </c>
      <c r="D90" s="1">
        <v>225.48720875039999</v>
      </c>
      <c r="E90" s="1">
        <v>220.00809575999997</v>
      </c>
      <c r="F90" s="1">
        <v>1291.1690270000011</v>
      </c>
      <c r="G90" s="1">
        <v>1399.912760760001</v>
      </c>
      <c r="H90" s="1">
        <v>47035.096712999992</v>
      </c>
      <c r="I90" s="1">
        <v>13616.932724999991</v>
      </c>
      <c r="J90" s="1">
        <v>53312.779519999967</v>
      </c>
      <c r="K90" s="1"/>
      <c r="L90" s="1"/>
    </row>
    <row r="91" spans="2:12" x14ac:dyDescent="0.25">
      <c r="B91" s="1"/>
      <c r="C91" s="1" t="s">
        <v>4</v>
      </c>
      <c r="D91" s="1">
        <v>264.68739104040014</v>
      </c>
      <c r="E91" s="1">
        <v>94.542759560000093</v>
      </c>
      <c r="F91" s="1">
        <v>69.332745960000096</v>
      </c>
      <c r="G91" s="1">
        <v>1001.5821030000023</v>
      </c>
      <c r="H91" s="6">
        <v>3770.8218924399985</v>
      </c>
      <c r="I91" s="1">
        <v>8019.7253470000032</v>
      </c>
      <c r="J91" s="1">
        <v>12682.268723000012</v>
      </c>
      <c r="K91" s="1"/>
      <c r="L91" s="1"/>
    </row>
    <row r="92" spans="2:12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2:12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2:12" x14ac:dyDescent="0.25">
      <c r="B94" s="1"/>
      <c r="C94" s="1" t="s">
        <v>5</v>
      </c>
      <c r="D94" s="1">
        <v>43.13454695999998</v>
      </c>
      <c r="E94" s="1">
        <v>195.46965504000002</v>
      </c>
      <c r="F94" s="1">
        <v>268.65356875999976</v>
      </c>
      <c r="G94" s="1">
        <v>1479.7701079999999</v>
      </c>
      <c r="H94" s="1">
        <v>38475.371345840009</v>
      </c>
      <c r="I94" s="1">
        <v>23028.420931999972</v>
      </c>
      <c r="J94" s="1">
        <v>934054.5533029997</v>
      </c>
      <c r="K94" s="1"/>
      <c r="L94" s="1"/>
    </row>
    <row r="95" spans="2:12" x14ac:dyDescent="0.25">
      <c r="B95" s="1"/>
      <c r="C95" s="1" t="s">
        <v>6</v>
      </c>
      <c r="D95" s="1"/>
      <c r="E95" s="1">
        <v>105.75440724000026</v>
      </c>
      <c r="F95" s="1">
        <v>377.37004655999954</v>
      </c>
      <c r="G95" s="1">
        <v>1034.4078822399988</v>
      </c>
      <c r="H95" s="1">
        <v>7591.8979848399968</v>
      </c>
      <c r="I95" s="1">
        <v>16718.369272</v>
      </c>
      <c r="J95" s="1">
        <v>1830133.7665100002</v>
      </c>
      <c r="K95" s="1"/>
      <c r="L95" s="4"/>
    </row>
    <row r="96" spans="2:12" x14ac:dyDescent="0.25">
      <c r="B96" s="1"/>
      <c r="C96" s="1" t="s">
        <v>7</v>
      </c>
      <c r="D96" s="1"/>
      <c r="E96" s="1">
        <v>108.81129863999995</v>
      </c>
      <c r="F96" s="1">
        <v>317.37807800000013</v>
      </c>
      <c r="G96" s="1">
        <v>730.14570300000014</v>
      </c>
      <c r="H96" s="1">
        <v>124595.321883</v>
      </c>
      <c r="I96" s="1">
        <v>18364.407593999997</v>
      </c>
      <c r="J96" s="1">
        <v>36667.404528999934</v>
      </c>
      <c r="K96" s="1"/>
      <c r="L96" s="1"/>
    </row>
    <row r="97" spans="2:12" x14ac:dyDescent="0.25">
      <c r="B97" s="1"/>
      <c r="C97" s="1" t="s">
        <v>8</v>
      </c>
      <c r="D97" s="1">
        <v>420.80370355039997</v>
      </c>
      <c r="E97" s="1">
        <v>126.2758983199999</v>
      </c>
      <c r="F97" s="1">
        <v>292.73158036000007</v>
      </c>
      <c r="G97" s="1">
        <v>135.31768043999995</v>
      </c>
      <c r="H97" s="1">
        <v>802.54317864000041</v>
      </c>
      <c r="I97" s="1">
        <v>1230.8642815600022</v>
      </c>
      <c r="J97" s="1">
        <v>2102.3650550000152</v>
      </c>
      <c r="K97" s="1"/>
      <c r="L97" s="1"/>
    </row>
    <row r="98" spans="2:12" x14ac:dyDescent="0.25">
      <c r="B98" s="1"/>
      <c r="C98" s="1" t="s">
        <v>9</v>
      </c>
      <c r="D98" s="1">
        <v>208.45225184960006</v>
      </c>
      <c r="E98" s="1">
        <v>1960.1624421599995</v>
      </c>
      <c r="F98" s="1">
        <v>1845.6397228400001</v>
      </c>
      <c r="G98" s="1">
        <v>10605.614858439998</v>
      </c>
      <c r="H98" s="1">
        <v>71265.123388999957</v>
      </c>
      <c r="I98" s="1">
        <v>40174.222804999998</v>
      </c>
      <c r="J98" s="1">
        <v>7111.6785799999552</v>
      </c>
      <c r="K98" s="1"/>
      <c r="L98" s="1"/>
    </row>
    <row r="99" spans="2:12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2:12" x14ac:dyDescent="0.25">
      <c r="B100" s="1"/>
      <c r="C100" s="1" t="s">
        <v>10</v>
      </c>
      <c r="D100" s="1"/>
      <c r="E100" s="1">
        <v>190.33316709000019</v>
      </c>
      <c r="F100" s="1">
        <v>11445.27635701</v>
      </c>
      <c r="G100" s="1">
        <v>492.28101744000008</v>
      </c>
      <c r="H100" s="1">
        <v>3908.9473211600002</v>
      </c>
      <c r="I100" s="1">
        <v>1903.0849201599995</v>
      </c>
      <c r="J100" s="1">
        <v>3192.6897400000025</v>
      </c>
      <c r="K100" s="1"/>
      <c r="L100" s="1"/>
    </row>
    <row r="101" spans="2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2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2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2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2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2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2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2:12" x14ac:dyDescent="0.25">
      <c r="C109" t="s">
        <v>18</v>
      </c>
    </row>
    <row r="110" spans="2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2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2:12" x14ac:dyDescent="0.25">
      <c r="B112" s="1"/>
      <c r="C112" s="1" t="s">
        <v>1</v>
      </c>
      <c r="D112" s="1">
        <v>29.72261047054694</v>
      </c>
      <c r="E112" s="1">
        <v>17.26108240180459</v>
      </c>
      <c r="F112" s="1">
        <v>98.029302374199148</v>
      </c>
      <c r="G112" s="1">
        <v>48.186919862009397</v>
      </c>
      <c r="H112" s="1">
        <v>512.62779846201795</v>
      </c>
      <c r="I112" s="1">
        <v>775.06197622963418</v>
      </c>
      <c r="J112" s="1">
        <v>1357.5706663296471</v>
      </c>
      <c r="K112" s="1"/>
      <c r="L112" s="1"/>
    </row>
    <row r="113" spans="2:12" x14ac:dyDescent="0.25">
      <c r="B113" s="1"/>
      <c r="C113" s="1" t="s">
        <v>2</v>
      </c>
      <c r="D113" s="1">
        <v>4.1622870183002432</v>
      </c>
      <c r="E113" s="1">
        <v>4.1114063303731383</v>
      </c>
      <c r="F113" s="1">
        <v>9.9600752347793069</v>
      </c>
      <c r="G113" s="1">
        <v>10.371021995671997</v>
      </c>
      <c r="H113" s="1">
        <v>60.114894582401242</v>
      </c>
      <c r="I113" s="1">
        <v>32.345265111406945</v>
      </c>
      <c r="J113" s="1">
        <v>64.000995899131425</v>
      </c>
      <c r="K113" s="1"/>
      <c r="L113" s="1"/>
    </row>
    <row r="114" spans="2:12" x14ac:dyDescent="0.25">
      <c r="B114" s="1"/>
      <c r="C114" s="1" t="s">
        <v>4</v>
      </c>
      <c r="D114" s="1">
        <v>4.5095966148222191</v>
      </c>
      <c r="E114" s="1">
        <v>2.695164058552638</v>
      </c>
      <c r="F114" s="1">
        <v>2.3080237298604032</v>
      </c>
      <c r="G114" s="1">
        <v>8.7723176035581485</v>
      </c>
      <c r="H114" s="6">
        <v>17.021157059376133</v>
      </c>
      <c r="I114" s="1">
        <v>24.822802780119414</v>
      </c>
      <c r="J114" s="1">
        <v>31.215446024773321</v>
      </c>
      <c r="K114" s="1"/>
      <c r="L114" s="1"/>
    </row>
    <row r="115" spans="2:12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2:12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2:12" x14ac:dyDescent="0.25">
      <c r="B117" s="1"/>
      <c r="C117" s="1" t="s">
        <v>5</v>
      </c>
      <c r="D117" s="1">
        <v>1.8204706841997533</v>
      </c>
      <c r="E117" s="1">
        <v>3.8753483115757841</v>
      </c>
      <c r="F117" s="1">
        <v>4.5432577513242967</v>
      </c>
      <c r="G117" s="1">
        <v>10.662724648881072</v>
      </c>
      <c r="H117" s="1">
        <v>54.370393885308381</v>
      </c>
      <c r="I117" s="1">
        <v>42.063281339517744</v>
      </c>
      <c r="J117" s="1">
        <v>267.89042431445</v>
      </c>
      <c r="K117" s="1"/>
      <c r="L117" s="1"/>
    </row>
    <row r="118" spans="2:12" x14ac:dyDescent="0.25">
      <c r="B118" s="1"/>
      <c r="C118" s="1" t="s">
        <v>6</v>
      </c>
      <c r="D118" s="1" t="e">
        <v>#DIV/0!</v>
      </c>
      <c r="E118" s="1">
        <v>2.8504951529626745</v>
      </c>
      <c r="F118" s="1">
        <v>5.3846165524852259</v>
      </c>
      <c r="G118" s="1">
        <v>8.914910342132643</v>
      </c>
      <c r="H118" s="1">
        <v>24.151619116970743</v>
      </c>
      <c r="I118" s="1">
        <v>35.840002063424933</v>
      </c>
      <c r="J118" s="1">
        <v>374.9837830473424</v>
      </c>
      <c r="K118" s="1"/>
      <c r="L118" s="4"/>
    </row>
    <row r="119" spans="2:12" x14ac:dyDescent="0.25">
      <c r="B119" s="1"/>
      <c r="C119" s="1" t="s">
        <v>7</v>
      </c>
      <c r="D119" s="1" t="e">
        <v>#DIV/0!</v>
      </c>
      <c r="E119" s="1">
        <v>2.8913992628325262</v>
      </c>
      <c r="F119" s="1">
        <v>4.9380960388489825</v>
      </c>
      <c r="G119" s="1">
        <v>7.4898968386017177</v>
      </c>
      <c r="H119" s="1">
        <v>97.841237578613317</v>
      </c>
      <c r="I119" s="1">
        <v>37.562936044220613</v>
      </c>
      <c r="J119" s="1">
        <v>53.077584956101035</v>
      </c>
      <c r="K119" s="1"/>
      <c r="L119" s="1"/>
    </row>
    <row r="120" spans="2:12" x14ac:dyDescent="0.25">
      <c r="B120" s="1"/>
      <c r="C120" s="1" t="s">
        <v>8</v>
      </c>
      <c r="D120" s="1">
        <v>5.686052246610501</v>
      </c>
      <c r="E120" s="1">
        <v>3.1148081513509354</v>
      </c>
      <c r="F120" s="1">
        <v>4.7424838199217421</v>
      </c>
      <c r="G120" s="1">
        <v>3.2243957610017526</v>
      </c>
      <c r="H120" s="1">
        <v>7.8524516872928611</v>
      </c>
      <c r="I120" s="1">
        <v>9.724698683291841</v>
      </c>
      <c r="J120" s="1">
        <v>12.709402499951016</v>
      </c>
      <c r="K120" s="1"/>
      <c r="L120" s="1"/>
    </row>
    <row r="121" spans="2:12" x14ac:dyDescent="0.25">
      <c r="B121" s="1"/>
      <c r="C121" s="1" t="s">
        <v>9</v>
      </c>
      <c r="D121" s="1">
        <v>4.0019749392154456</v>
      </c>
      <c r="E121" s="1">
        <v>12.272049574379867</v>
      </c>
      <c r="F121" s="1">
        <v>11.908156498184045</v>
      </c>
      <c r="G121" s="1">
        <v>28.545588114517134</v>
      </c>
      <c r="H121" s="1">
        <v>73.996229364905091</v>
      </c>
      <c r="I121" s="1">
        <v>55.557770712599329</v>
      </c>
      <c r="J121" s="1">
        <v>23.375296546965053</v>
      </c>
      <c r="K121" s="1"/>
      <c r="L121" s="1"/>
    </row>
    <row r="122" spans="2:12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2:12" x14ac:dyDescent="0.25">
      <c r="B123" s="1"/>
      <c r="C123" s="1" t="s">
        <v>10</v>
      </c>
      <c r="D123" s="1" t="e">
        <v>#DIV/0!</v>
      </c>
      <c r="E123" s="1">
        <v>3.8240917737233882</v>
      </c>
      <c r="F123" s="1">
        <v>29.654063348246094</v>
      </c>
      <c r="G123" s="1">
        <v>6.1500353764795603</v>
      </c>
      <c r="H123" s="1">
        <v>17.330096381133174</v>
      </c>
      <c r="I123" s="1">
        <v>12.09205609421876</v>
      </c>
      <c r="J123" s="1">
        <v>15.662079622568651</v>
      </c>
      <c r="K123" s="1"/>
      <c r="L123" s="1"/>
    </row>
    <row r="124" spans="2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2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2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2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2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6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D50 D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1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1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9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5 K62 K68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5 L62 L68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zoomScale="115" zoomScaleNormal="115" workbookViewId="0">
      <pane xSplit="3" ySplit="2" topLeftCell="G57" activePane="bottomRight" state="frozen"/>
      <selection pane="topRight" activeCell="D1" sqref="D1"/>
      <selection pane="bottomLeft" activeCell="A3" sqref="A3"/>
      <selection pane="bottomRight" activeCell="J64" sqref="G58:J64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2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</row>
    <row r="2" spans="1:12" x14ac:dyDescent="0.25">
      <c r="B2" t="s">
        <v>0</v>
      </c>
      <c r="C2" s="1"/>
      <c r="D2" s="9">
        <v>12</v>
      </c>
      <c r="E2" s="9">
        <v>24</v>
      </c>
      <c r="F2" s="9">
        <v>48</v>
      </c>
      <c r="G2" s="9">
        <v>96</v>
      </c>
      <c r="H2" s="9">
        <v>192</v>
      </c>
      <c r="I2" s="9">
        <v>384</v>
      </c>
      <c r="J2" s="9">
        <v>768</v>
      </c>
      <c r="K2" s="9"/>
      <c r="L2" s="9"/>
    </row>
    <row r="3" spans="1:12" x14ac:dyDescent="0.25">
      <c r="A3">
        <v>1</v>
      </c>
      <c r="C3" s="1" t="s">
        <v>1</v>
      </c>
      <c r="D3" s="10">
        <v>6150.9387999999999</v>
      </c>
      <c r="E3" s="10">
        <v>11699.451999999999</v>
      </c>
      <c r="F3" s="10">
        <v>21907.942000000003</v>
      </c>
      <c r="G3" s="10">
        <v>42192.441999999995</v>
      </c>
      <c r="H3" s="10">
        <v>84585.997999999992</v>
      </c>
      <c r="I3" s="10">
        <v>167119.54</v>
      </c>
      <c r="J3" s="10">
        <v>334990.88</v>
      </c>
      <c r="K3" s="10"/>
      <c r="L3" s="10"/>
    </row>
    <row r="4" spans="1:12" x14ac:dyDescent="0.25">
      <c r="C4" s="1" t="s">
        <v>2</v>
      </c>
      <c r="D4" s="10">
        <v>377.87502000000001</v>
      </c>
      <c r="E4" s="10">
        <v>628.52904000000001</v>
      </c>
      <c r="F4" s="10">
        <v>1019.9844200000003</v>
      </c>
      <c r="G4" s="10">
        <v>1919.3217999999999</v>
      </c>
      <c r="H4" s="10">
        <v>3993.9211999999989</v>
      </c>
      <c r="I4" s="10">
        <v>7926.0673999999999</v>
      </c>
      <c r="J4" s="10">
        <v>14356.124</v>
      </c>
      <c r="K4" s="10"/>
      <c r="L4" s="10"/>
    </row>
    <row r="5" spans="1:12" x14ac:dyDescent="0.25">
      <c r="C5" s="1" t="s">
        <v>4</v>
      </c>
      <c r="D5" s="10">
        <v>292.06309999999996</v>
      </c>
      <c r="E5" s="10">
        <v>525.01036000000011</v>
      </c>
      <c r="F5" s="10">
        <v>921.35105999999996</v>
      </c>
      <c r="G5" s="10">
        <v>1785.4644000000003</v>
      </c>
      <c r="H5" s="11">
        <v>4317.2568000000001</v>
      </c>
      <c r="I5" s="10">
        <v>7838.8054000000002</v>
      </c>
      <c r="J5" s="10">
        <v>14374.003999999999</v>
      </c>
      <c r="K5" s="10"/>
      <c r="L5" s="10"/>
    </row>
    <row r="6" spans="1:12" x14ac:dyDescent="0.25">
      <c r="C6" s="1" t="s">
        <v>11</v>
      </c>
      <c r="D6" s="10">
        <v>386.24352000000005</v>
      </c>
      <c r="E6" s="10">
        <v>608.91379999999992</v>
      </c>
      <c r="F6" s="10">
        <v>1048.3814</v>
      </c>
      <c r="G6" s="10">
        <v>1959.4038000000003</v>
      </c>
      <c r="H6" s="10">
        <v>4448.1824000000006</v>
      </c>
      <c r="I6" s="10">
        <v>7970.5664000000024</v>
      </c>
      <c r="J6" s="10">
        <v>14623.531999999999</v>
      </c>
      <c r="K6" s="10"/>
      <c r="L6" s="10"/>
    </row>
    <row r="7" spans="1:12" x14ac:dyDescent="0.25">
      <c r="C7" s="1" t="s">
        <v>12</v>
      </c>
      <c r="D7" s="10">
        <v>261.53294000000005</v>
      </c>
      <c r="E7" s="10">
        <v>472.43311999999992</v>
      </c>
      <c r="F7" s="10">
        <v>878.07439999999997</v>
      </c>
      <c r="G7" s="10">
        <v>1787.1090000000002</v>
      </c>
      <c r="H7" s="10">
        <v>4006.3106000000007</v>
      </c>
      <c r="I7" s="10">
        <v>7005.3984000000009</v>
      </c>
      <c r="J7" s="10">
        <v>15607.480000000007</v>
      </c>
      <c r="K7" s="10"/>
      <c r="L7" s="10"/>
    </row>
    <row r="8" spans="1:12" x14ac:dyDescent="0.25">
      <c r="C8" s="1" t="s">
        <v>5</v>
      </c>
      <c r="D8" s="10">
        <v>361.17893999999984</v>
      </c>
      <c r="E8" s="10">
        <v>600.79459999999983</v>
      </c>
      <c r="F8" s="10">
        <v>1048.018</v>
      </c>
      <c r="G8" s="10">
        <v>1917.3047999999994</v>
      </c>
      <c r="H8" s="10">
        <v>4471.6643999999997</v>
      </c>
      <c r="I8" s="10">
        <v>7685.0462000000007</v>
      </c>
      <c r="J8" s="10">
        <v>16599.420000000002</v>
      </c>
      <c r="K8" s="10"/>
      <c r="L8" s="10"/>
    </row>
    <row r="9" spans="1:12" x14ac:dyDescent="0.25">
      <c r="C9" s="1" t="s">
        <v>6</v>
      </c>
      <c r="D9" s="10">
        <v>394.92190000000005</v>
      </c>
      <c r="E9" s="10">
        <v>633.21774000000005</v>
      </c>
      <c r="F9" s="10">
        <v>1081.4721999999999</v>
      </c>
      <c r="G9" s="10">
        <v>2050.7576000000008</v>
      </c>
      <c r="H9" s="10">
        <v>4547.4100000000017</v>
      </c>
      <c r="I9" s="10">
        <v>7768.6138000000001</v>
      </c>
      <c r="J9" s="10">
        <v>16659.335999999999</v>
      </c>
      <c r="K9" s="10"/>
      <c r="L9" s="9"/>
    </row>
    <row r="10" spans="1:12" x14ac:dyDescent="0.25">
      <c r="C10" s="1" t="s">
        <v>7</v>
      </c>
      <c r="D10" s="10">
        <v>393.51114000000007</v>
      </c>
      <c r="E10" s="10">
        <v>632.04369999999983</v>
      </c>
      <c r="F10" s="10">
        <v>1095.9861999999996</v>
      </c>
      <c r="G10" s="10">
        <v>2033.1584000000003</v>
      </c>
      <c r="H10" s="10">
        <v>4555.7548000000006</v>
      </c>
      <c r="I10" s="10">
        <v>7755.5441999999985</v>
      </c>
      <c r="J10" s="10">
        <v>16691.11</v>
      </c>
      <c r="K10" s="10"/>
      <c r="L10" s="10"/>
    </row>
    <row r="11" spans="1:12" x14ac:dyDescent="0.25">
      <c r="C11" s="1" t="s">
        <v>8</v>
      </c>
      <c r="D11" s="10">
        <v>336.78988000000004</v>
      </c>
      <c r="E11" s="10">
        <v>611.70272</v>
      </c>
      <c r="F11" s="10">
        <v>1168.2385999999999</v>
      </c>
      <c r="G11" s="10">
        <v>2308.4161999999997</v>
      </c>
      <c r="H11" s="10">
        <v>4522.7730000000001</v>
      </c>
      <c r="I11" s="10">
        <v>9210.3068000000003</v>
      </c>
      <c r="J11" s="10">
        <v>18952.653999999995</v>
      </c>
      <c r="K11" s="10"/>
      <c r="L11" s="10"/>
    </row>
    <row r="12" spans="1:12" x14ac:dyDescent="0.25">
      <c r="C12" s="1" t="s">
        <v>9</v>
      </c>
      <c r="D12" s="10">
        <v>1219.2482</v>
      </c>
      <c r="E12" s="10">
        <v>1472.4141999999999</v>
      </c>
      <c r="F12" s="10">
        <v>1882.0869999999995</v>
      </c>
      <c r="G12" s="10">
        <v>3023.0388000000007</v>
      </c>
      <c r="H12" s="10">
        <v>7829.2189999999982</v>
      </c>
      <c r="I12" s="10">
        <v>12819.903999999997</v>
      </c>
      <c r="J12" s="10">
        <v>25264.369999999995</v>
      </c>
      <c r="K12" s="10"/>
      <c r="L12" s="10"/>
    </row>
    <row r="13" spans="1:12" x14ac:dyDescent="0.25">
      <c r="C13" s="1" t="s">
        <v>13</v>
      </c>
      <c r="D13" s="10">
        <v>338.06511999999998</v>
      </c>
      <c r="E13" s="10">
        <v>618.59949999999992</v>
      </c>
      <c r="F13" s="10">
        <v>1172.96</v>
      </c>
      <c r="G13" s="10">
        <v>2326.9565999999995</v>
      </c>
      <c r="H13" s="10">
        <v>4577.7558000000026</v>
      </c>
      <c r="I13" s="10">
        <v>9264.0740000000005</v>
      </c>
      <c r="J13" s="10">
        <v>19102.474000000002</v>
      </c>
      <c r="K13" s="10"/>
      <c r="L13" s="10"/>
    </row>
    <row r="14" spans="1:12" x14ac:dyDescent="0.25">
      <c r="C14" s="1" t="s">
        <v>10</v>
      </c>
      <c r="D14" s="10">
        <v>344.10663999999991</v>
      </c>
      <c r="E14" s="10">
        <v>643.30742000000009</v>
      </c>
      <c r="F14" s="10">
        <v>1215.0220000000002</v>
      </c>
      <c r="G14" s="10">
        <v>2403.0542</v>
      </c>
      <c r="H14" s="10">
        <v>4747.4350000000004</v>
      </c>
      <c r="I14" s="10">
        <v>9580.2356000000018</v>
      </c>
      <c r="J14" s="10">
        <v>19506.599999999999</v>
      </c>
      <c r="K14" s="10"/>
      <c r="L14" s="10"/>
    </row>
    <row r="15" spans="1:12" x14ac:dyDescent="0.25">
      <c r="C15" s="1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50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9">
        <v>12</v>
      </c>
      <c r="E31" s="9">
        <v>24</v>
      </c>
      <c r="F31" s="9">
        <v>48</v>
      </c>
      <c r="G31" s="9">
        <v>96</v>
      </c>
      <c r="H31" s="9">
        <v>192</v>
      </c>
      <c r="I31" s="9">
        <v>384</v>
      </c>
      <c r="J31" s="4">
        <v>768</v>
      </c>
      <c r="K31" s="4"/>
      <c r="L31" s="4"/>
    </row>
    <row r="32" spans="3:12" x14ac:dyDescent="0.25">
      <c r="C32" s="1" t="s">
        <v>1</v>
      </c>
      <c r="D32" s="5">
        <f>D3/D$2</f>
        <v>512.57823333333329</v>
      </c>
      <c r="E32" s="5">
        <f t="shared" ref="E32:L32" si="0">E3/E$2</f>
        <v>487.47716666666662</v>
      </c>
      <c r="F32" s="5">
        <f t="shared" si="0"/>
        <v>456.41545833333339</v>
      </c>
      <c r="G32" s="5">
        <f t="shared" si="0"/>
        <v>439.50460416666664</v>
      </c>
      <c r="H32" s="5">
        <f t="shared" si="0"/>
        <v>440.55207291666665</v>
      </c>
      <c r="I32" s="5">
        <f t="shared" si="0"/>
        <v>435.20713541666669</v>
      </c>
      <c r="J32" s="5">
        <f t="shared" si="0"/>
        <v>436.18604166666665</v>
      </c>
      <c r="K32" s="5" t="e">
        <f t="shared" si="0"/>
        <v>#DIV/0!</v>
      </c>
      <c r="L32" s="5" t="e">
        <f t="shared" si="0"/>
        <v>#DIV/0!</v>
      </c>
    </row>
    <row r="33" spans="3:12" x14ac:dyDescent="0.25">
      <c r="C33" s="1" t="s">
        <v>2</v>
      </c>
      <c r="D33" s="5">
        <f t="shared" ref="D33:L35" si="1">D4/D$2</f>
        <v>31.489585000000002</v>
      </c>
      <c r="E33" s="5">
        <f t="shared" si="1"/>
        <v>26.18871</v>
      </c>
      <c r="F33" s="5">
        <f t="shared" si="1"/>
        <v>21.249675416666673</v>
      </c>
      <c r="G33" s="5">
        <f t="shared" si="1"/>
        <v>19.992935416666665</v>
      </c>
      <c r="H33" s="5">
        <f t="shared" si="1"/>
        <v>20.801672916666661</v>
      </c>
      <c r="I33" s="5">
        <f t="shared" si="1"/>
        <v>20.640800520833334</v>
      </c>
      <c r="J33" s="5">
        <f t="shared" si="1"/>
        <v>18.692869791666666</v>
      </c>
      <c r="K33" s="5" t="e">
        <f t="shared" si="1"/>
        <v>#DIV/0!</v>
      </c>
      <c r="L33" s="5" t="e">
        <f t="shared" si="1"/>
        <v>#DIV/0!</v>
      </c>
    </row>
    <row r="34" spans="3:12" x14ac:dyDescent="0.25">
      <c r="C34" s="1" t="s">
        <v>4</v>
      </c>
      <c r="D34" s="5">
        <f t="shared" si="1"/>
        <v>24.338591666666662</v>
      </c>
      <c r="E34" s="5">
        <f t="shared" si="1"/>
        <v>21.875431666666671</v>
      </c>
      <c r="F34" s="5">
        <f t="shared" si="1"/>
        <v>19.194813749999998</v>
      </c>
      <c r="G34" s="5">
        <f t="shared" si="1"/>
        <v>18.598587500000004</v>
      </c>
      <c r="H34" s="5">
        <f t="shared" si="1"/>
        <v>22.485712500000002</v>
      </c>
      <c r="I34" s="5">
        <f t="shared" si="1"/>
        <v>20.413555729166667</v>
      </c>
      <c r="J34" s="5">
        <f t="shared" si="1"/>
        <v>18.716151041666667</v>
      </c>
      <c r="K34" s="5" t="e">
        <f t="shared" si="1"/>
        <v>#DIV/0!</v>
      </c>
      <c r="L34" s="5" t="e">
        <f t="shared" si="1"/>
        <v>#DIV/0!</v>
      </c>
    </row>
    <row r="35" spans="3:12" x14ac:dyDescent="0.25">
      <c r="C35" s="1" t="s">
        <v>11</v>
      </c>
      <c r="D35" s="5">
        <f t="shared" si="1"/>
        <v>32.186960000000006</v>
      </c>
      <c r="E35" s="5">
        <f t="shared" ref="E35:J35" si="2">E6/E$2</f>
        <v>25.371408333333331</v>
      </c>
      <c r="F35" s="5">
        <f t="shared" si="2"/>
        <v>21.841279166666666</v>
      </c>
      <c r="G35" s="5">
        <f t="shared" si="2"/>
        <v>20.410456250000003</v>
      </c>
      <c r="H35" s="5">
        <f t="shared" si="2"/>
        <v>23.167616666666671</v>
      </c>
      <c r="I35" s="5">
        <f t="shared" si="2"/>
        <v>20.756683333333338</v>
      </c>
      <c r="J35" s="5">
        <f t="shared" si="2"/>
        <v>19.041057291666664</v>
      </c>
      <c r="K35" s="5" t="e">
        <f t="shared" ref="K35:L43" si="3">K6/K$2</f>
        <v>#DIV/0!</v>
      </c>
      <c r="L35" s="5" t="e">
        <f t="shared" si="3"/>
        <v>#DIV/0!</v>
      </c>
    </row>
    <row r="36" spans="3:12" x14ac:dyDescent="0.25">
      <c r="C36" s="1" t="s">
        <v>12</v>
      </c>
      <c r="D36" s="5">
        <f t="shared" ref="D36:I36" si="4">D7/D$2</f>
        <v>21.794411666666672</v>
      </c>
      <c r="E36" s="5">
        <f t="shared" si="4"/>
        <v>19.684713333333331</v>
      </c>
      <c r="F36" s="5">
        <f t="shared" si="4"/>
        <v>18.293216666666666</v>
      </c>
      <c r="G36" s="5">
        <f t="shared" si="4"/>
        <v>18.615718750000003</v>
      </c>
      <c r="H36" s="5">
        <f t="shared" si="4"/>
        <v>20.86620104166667</v>
      </c>
      <c r="I36" s="5">
        <f t="shared" si="4"/>
        <v>18.243225000000002</v>
      </c>
      <c r="J36" s="5">
        <f t="shared" ref="J36:J43" si="5">J7/J$2</f>
        <v>20.322239583333342</v>
      </c>
      <c r="K36" s="5" t="e">
        <f t="shared" si="3"/>
        <v>#DIV/0!</v>
      </c>
      <c r="L36" s="5" t="e">
        <f t="shared" si="3"/>
        <v>#DIV/0!</v>
      </c>
    </row>
    <row r="37" spans="3:12" x14ac:dyDescent="0.25">
      <c r="C37" s="1" t="s">
        <v>5</v>
      </c>
      <c r="D37" s="5">
        <f t="shared" ref="D37:I37" si="6">D8/D$2</f>
        <v>30.098244999999988</v>
      </c>
      <c r="E37" s="5">
        <f t="shared" si="6"/>
        <v>25.033108333333328</v>
      </c>
      <c r="F37" s="5">
        <f t="shared" si="6"/>
        <v>21.833708333333334</v>
      </c>
      <c r="G37" s="5">
        <f t="shared" si="6"/>
        <v>19.971924999999995</v>
      </c>
      <c r="H37" s="5">
        <f t="shared" si="6"/>
        <v>23.289918749999998</v>
      </c>
      <c r="I37" s="5">
        <f t="shared" si="6"/>
        <v>20.013141145833334</v>
      </c>
      <c r="J37" s="5">
        <f t="shared" si="5"/>
        <v>21.613828125000001</v>
      </c>
      <c r="K37" s="5" t="e">
        <f t="shared" si="3"/>
        <v>#DIV/0!</v>
      </c>
      <c r="L37" s="5" t="e">
        <f t="shared" si="3"/>
        <v>#DIV/0!</v>
      </c>
    </row>
    <row r="38" spans="3:12" x14ac:dyDescent="0.25">
      <c r="C38" s="1" t="s">
        <v>6</v>
      </c>
      <c r="D38" s="5">
        <f t="shared" ref="D38:I38" si="7">D9/D$2</f>
        <v>32.910158333333335</v>
      </c>
      <c r="E38" s="5">
        <f t="shared" si="7"/>
        <v>26.384072500000002</v>
      </c>
      <c r="F38" s="5">
        <f t="shared" si="7"/>
        <v>22.530670833333332</v>
      </c>
      <c r="G38" s="5">
        <f t="shared" si="7"/>
        <v>21.362058333333341</v>
      </c>
      <c r="H38" s="5">
        <f t="shared" si="7"/>
        <v>23.684427083333343</v>
      </c>
      <c r="I38" s="5">
        <f t="shared" si="7"/>
        <v>20.230765104166668</v>
      </c>
      <c r="J38" s="5">
        <f t="shared" si="5"/>
        <v>21.69184375</v>
      </c>
      <c r="K38" s="5" t="e">
        <f t="shared" si="3"/>
        <v>#DIV/0!</v>
      </c>
      <c r="L38" s="5" t="e">
        <f t="shared" si="3"/>
        <v>#DIV/0!</v>
      </c>
    </row>
    <row r="39" spans="3:12" x14ac:dyDescent="0.25">
      <c r="C39" s="1" t="s">
        <v>7</v>
      </c>
      <c r="D39" s="5">
        <f t="shared" ref="D39:I39" si="8">D10/D$2</f>
        <v>32.792595000000006</v>
      </c>
      <c r="E39" s="5">
        <f t="shared" si="8"/>
        <v>26.335154166666658</v>
      </c>
      <c r="F39" s="5">
        <f t="shared" si="8"/>
        <v>22.833045833333326</v>
      </c>
      <c r="G39" s="5">
        <f t="shared" si="8"/>
        <v>21.178733333333337</v>
      </c>
      <c r="H39" s="5">
        <f t="shared" si="8"/>
        <v>23.727889583333337</v>
      </c>
      <c r="I39" s="5">
        <f t="shared" si="8"/>
        <v>20.196729687499996</v>
      </c>
      <c r="J39" s="5">
        <f t="shared" si="5"/>
        <v>21.733216145833335</v>
      </c>
      <c r="K39" s="5" t="e">
        <f t="shared" si="3"/>
        <v>#DIV/0!</v>
      </c>
      <c r="L39" s="5" t="e">
        <f t="shared" si="3"/>
        <v>#DIV/0!</v>
      </c>
    </row>
    <row r="40" spans="3:12" x14ac:dyDescent="0.25">
      <c r="C40" s="1" t="s">
        <v>8</v>
      </c>
      <c r="D40" s="5">
        <f t="shared" ref="D40:I40" si="9">D11/D$2</f>
        <v>28.065823333333338</v>
      </c>
      <c r="E40" s="5">
        <f t="shared" si="9"/>
        <v>25.487613333333332</v>
      </c>
      <c r="F40" s="5">
        <f t="shared" si="9"/>
        <v>24.338304166666664</v>
      </c>
      <c r="G40" s="5">
        <f t="shared" si="9"/>
        <v>24.046002083333331</v>
      </c>
      <c r="H40" s="5">
        <f t="shared" si="9"/>
        <v>23.556109375000002</v>
      </c>
      <c r="I40" s="5">
        <f t="shared" si="9"/>
        <v>23.985173958333334</v>
      </c>
      <c r="J40" s="5">
        <f t="shared" si="5"/>
        <v>24.677934895833328</v>
      </c>
      <c r="K40" s="5" t="e">
        <f t="shared" si="3"/>
        <v>#DIV/0!</v>
      </c>
      <c r="L40" s="5" t="e">
        <f t="shared" si="3"/>
        <v>#DIV/0!</v>
      </c>
    </row>
    <row r="41" spans="3:12" x14ac:dyDescent="0.25">
      <c r="C41" s="1" t="s">
        <v>9</v>
      </c>
      <c r="D41" s="5">
        <f t="shared" ref="D41:I41" si="10">D12/D$2</f>
        <v>101.60401666666667</v>
      </c>
      <c r="E41" s="5">
        <f t="shared" si="10"/>
        <v>61.350591666666666</v>
      </c>
      <c r="F41" s="5">
        <f t="shared" si="10"/>
        <v>39.210145833333321</v>
      </c>
      <c r="G41" s="5">
        <f t="shared" si="10"/>
        <v>31.489987500000009</v>
      </c>
      <c r="H41" s="5">
        <f t="shared" si="10"/>
        <v>40.777182291666655</v>
      </c>
      <c r="I41" s="5">
        <f t="shared" si="10"/>
        <v>33.385166666666656</v>
      </c>
      <c r="J41" s="5">
        <f t="shared" si="5"/>
        <v>32.896315104166661</v>
      </c>
      <c r="K41" s="5" t="e">
        <f t="shared" si="3"/>
        <v>#DIV/0!</v>
      </c>
      <c r="L41" s="5" t="e">
        <f t="shared" si="3"/>
        <v>#DIV/0!</v>
      </c>
    </row>
    <row r="42" spans="3:12" x14ac:dyDescent="0.25">
      <c r="C42" s="1" t="s">
        <v>13</v>
      </c>
      <c r="D42" s="5">
        <f t="shared" ref="D42:I42" si="11">D13/D$2</f>
        <v>28.172093333333333</v>
      </c>
      <c r="E42" s="5">
        <f t="shared" si="11"/>
        <v>25.774979166666665</v>
      </c>
      <c r="F42" s="5">
        <f t="shared" si="11"/>
        <v>24.436666666666667</v>
      </c>
      <c r="G42" s="5">
        <f t="shared" si="11"/>
        <v>24.239131249999996</v>
      </c>
      <c r="H42" s="5">
        <f t="shared" si="11"/>
        <v>23.842478125000014</v>
      </c>
      <c r="I42" s="5">
        <f t="shared" si="11"/>
        <v>24.125192708333334</v>
      </c>
      <c r="J42" s="5">
        <f t="shared" si="5"/>
        <v>24.873013020833337</v>
      </c>
      <c r="K42" s="5" t="e">
        <f t="shared" si="3"/>
        <v>#DIV/0!</v>
      </c>
      <c r="L42" s="5" t="e">
        <f t="shared" si="3"/>
        <v>#DIV/0!</v>
      </c>
    </row>
    <row r="43" spans="3:12" x14ac:dyDescent="0.25">
      <c r="C43" s="1" t="s">
        <v>10</v>
      </c>
      <c r="D43" s="5">
        <f t="shared" ref="D43:I43" si="12">D14/D$2</f>
        <v>28.675553333333326</v>
      </c>
      <c r="E43" s="5">
        <f t="shared" si="12"/>
        <v>26.804475833333338</v>
      </c>
      <c r="F43" s="5">
        <f t="shared" si="12"/>
        <v>25.312958333333338</v>
      </c>
      <c r="G43" s="5">
        <f t="shared" si="12"/>
        <v>25.031814583333333</v>
      </c>
      <c r="H43" s="5">
        <f t="shared" si="12"/>
        <v>24.726223958333335</v>
      </c>
      <c r="I43" s="5">
        <f t="shared" si="12"/>
        <v>24.948530208333338</v>
      </c>
      <c r="J43" s="5">
        <f t="shared" si="5"/>
        <v>25.399218749999999</v>
      </c>
      <c r="K43" s="5" t="e">
        <f t="shared" si="3"/>
        <v>#DIV/0!</v>
      </c>
      <c r="L43" s="5" t="e">
        <f t="shared" si="3"/>
        <v>#DIV/0!</v>
      </c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9">
        <v>12</v>
      </c>
      <c r="E56" s="9">
        <v>24</v>
      </c>
      <c r="F56" s="9">
        <v>48</v>
      </c>
      <c r="G56" s="9">
        <v>96</v>
      </c>
      <c r="H56" s="9">
        <v>192</v>
      </c>
      <c r="I56" s="9">
        <v>384</v>
      </c>
      <c r="J56" s="4">
        <v>768</v>
      </c>
      <c r="K56" s="4"/>
      <c r="L56" s="4"/>
    </row>
    <row r="57" spans="3:12" x14ac:dyDescent="0.25">
      <c r="C57" s="1" t="s">
        <v>1</v>
      </c>
      <c r="D57" s="12">
        <f>D$3/D3</f>
        <v>1</v>
      </c>
      <c r="E57" s="12">
        <f t="shared" ref="E57:L58" si="13">E$3/E3</f>
        <v>1</v>
      </c>
      <c r="F57" s="12">
        <f t="shared" si="13"/>
        <v>1</v>
      </c>
      <c r="G57" s="12">
        <f t="shared" si="13"/>
        <v>1</v>
      </c>
      <c r="H57" s="12">
        <f t="shared" si="13"/>
        <v>1</v>
      </c>
      <c r="I57" s="12">
        <f t="shared" si="13"/>
        <v>1</v>
      </c>
      <c r="J57" s="12">
        <f t="shared" si="13"/>
        <v>1</v>
      </c>
      <c r="K57" s="12" t="e">
        <f t="shared" si="13"/>
        <v>#DIV/0!</v>
      </c>
      <c r="L57" s="12" t="e">
        <f t="shared" si="13"/>
        <v>#DIV/0!</v>
      </c>
    </row>
    <row r="58" spans="3:12" x14ac:dyDescent="0.25">
      <c r="C58" s="1" t="s">
        <v>2</v>
      </c>
      <c r="D58" s="12">
        <f t="shared" ref="D58:J60" si="14">D$3/D4</f>
        <v>16.277706846036025</v>
      </c>
      <c r="E58" s="12">
        <f t="shared" si="14"/>
        <v>18.614019807263002</v>
      </c>
      <c r="F58" s="12">
        <f t="shared" si="14"/>
        <v>21.47870258645715</v>
      </c>
      <c r="G58" s="12">
        <f t="shared" si="14"/>
        <v>21.982995243424003</v>
      </c>
      <c r="H58" s="12">
        <f t="shared" si="13"/>
        <v>21.17868474721034</v>
      </c>
      <c r="I58" s="12">
        <f t="shared" si="13"/>
        <v>21.08479925366267</v>
      </c>
      <c r="J58" s="12">
        <f t="shared" si="13"/>
        <v>23.334354035950096</v>
      </c>
      <c r="K58" s="12" t="e">
        <f t="shared" si="13"/>
        <v>#DIV/0!</v>
      </c>
      <c r="L58" s="12" t="e">
        <f t="shared" si="13"/>
        <v>#DIV/0!</v>
      </c>
    </row>
    <row r="59" spans="3:12" x14ac:dyDescent="0.25">
      <c r="C59" s="1" t="s">
        <v>4</v>
      </c>
      <c r="D59" s="12">
        <f t="shared" si="14"/>
        <v>21.06030785813066</v>
      </c>
      <c r="E59" s="12">
        <f t="shared" si="14"/>
        <v>22.284230734037319</v>
      </c>
      <c r="F59" s="12">
        <f t="shared" si="14"/>
        <v>23.778061317908509</v>
      </c>
      <c r="G59" s="12">
        <f t="shared" si="14"/>
        <v>23.631074358021358</v>
      </c>
      <c r="H59" s="12">
        <f t="shared" si="14"/>
        <v>19.592533388331219</v>
      </c>
      <c r="I59" s="12">
        <f t="shared" si="14"/>
        <v>21.319516364062309</v>
      </c>
      <c r="J59" s="12">
        <f t="shared" si="14"/>
        <v>23.305328146562367</v>
      </c>
      <c r="K59" s="12"/>
      <c r="L59" s="12"/>
    </row>
    <row r="60" spans="3:12" x14ac:dyDescent="0.25">
      <c r="C60" s="1" t="s">
        <v>11</v>
      </c>
      <c r="D60" s="12">
        <f t="shared" si="14"/>
        <v>15.9250278166479</v>
      </c>
      <c r="E60" s="12">
        <f t="shared" ref="E60:L60" si="15">E$3/E6</f>
        <v>19.213642390762043</v>
      </c>
      <c r="F60" s="12">
        <f t="shared" si="15"/>
        <v>20.896919766031715</v>
      </c>
      <c r="G60" s="12">
        <f t="shared" si="15"/>
        <v>21.533306202631632</v>
      </c>
      <c r="H60" s="12">
        <f t="shared" si="15"/>
        <v>19.015856454087849</v>
      </c>
      <c r="I60" s="12">
        <f t="shared" si="15"/>
        <v>20.967084597651674</v>
      </c>
      <c r="J60" s="12">
        <f t="shared" si="15"/>
        <v>22.907658696955018</v>
      </c>
      <c r="K60" s="12" t="e">
        <f t="shared" si="15"/>
        <v>#DIV/0!</v>
      </c>
      <c r="L60" s="12" t="e">
        <f t="shared" si="15"/>
        <v>#DIV/0!</v>
      </c>
    </row>
    <row r="61" spans="3:12" x14ac:dyDescent="0.25">
      <c r="C61" s="1" t="s">
        <v>12</v>
      </c>
      <c r="D61" s="12">
        <f t="shared" ref="D61:L61" si="16">D$3/D7</f>
        <v>23.518791934966199</v>
      </c>
      <c r="E61" s="12">
        <f t="shared" si="16"/>
        <v>24.764250228688457</v>
      </c>
      <c r="F61" s="12">
        <f t="shared" si="16"/>
        <v>24.949983737141185</v>
      </c>
      <c r="G61" s="12">
        <f t="shared" si="16"/>
        <v>23.60932769070045</v>
      </c>
      <c r="H61" s="12">
        <f t="shared" si="16"/>
        <v>21.113190275362069</v>
      </c>
      <c r="I61" s="12">
        <f t="shared" si="16"/>
        <v>23.855822389773007</v>
      </c>
      <c r="J61" s="12">
        <f t="shared" si="16"/>
        <v>21.463482894099485</v>
      </c>
      <c r="K61" s="12" t="e">
        <f t="shared" si="16"/>
        <v>#DIV/0!</v>
      </c>
      <c r="L61" s="12" t="e">
        <f t="shared" si="16"/>
        <v>#DIV/0!</v>
      </c>
    </row>
    <row r="62" spans="3:12" x14ac:dyDescent="0.25">
      <c r="C62" s="1" t="s">
        <v>5</v>
      </c>
      <c r="D62" s="12">
        <f t="shared" ref="D62:L62" si="17">D$3/D8</f>
        <v>17.030170142256917</v>
      </c>
      <c r="E62" s="12">
        <f t="shared" si="17"/>
        <v>19.473297529638252</v>
      </c>
      <c r="F62" s="12">
        <f t="shared" si="17"/>
        <v>20.904165768145205</v>
      </c>
      <c r="G62" s="12">
        <f t="shared" si="17"/>
        <v>22.006121301109772</v>
      </c>
      <c r="H62" s="12">
        <f t="shared" si="17"/>
        <v>18.915998705090658</v>
      </c>
      <c r="I62" s="12">
        <f t="shared" si="17"/>
        <v>21.746068358053591</v>
      </c>
      <c r="J62" s="12">
        <f t="shared" si="17"/>
        <v>20.180878609011639</v>
      </c>
      <c r="K62" s="12" t="e">
        <f t="shared" si="17"/>
        <v>#DIV/0!</v>
      </c>
      <c r="L62" s="12" t="e">
        <f t="shared" si="17"/>
        <v>#DIV/0!</v>
      </c>
    </row>
    <row r="63" spans="3:12" x14ac:dyDescent="0.25">
      <c r="C63" s="1" t="s">
        <v>6</v>
      </c>
      <c r="D63" s="12">
        <f t="shared" ref="D63:L63" si="18">D$3/D9</f>
        <v>15.575076489807223</v>
      </c>
      <c r="E63" s="12">
        <f t="shared" si="18"/>
        <v>18.476191143981531</v>
      </c>
      <c r="F63" s="12">
        <f t="shared" si="18"/>
        <v>20.257517484037042</v>
      </c>
      <c r="G63" s="12">
        <f t="shared" si="18"/>
        <v>20.574075648921148</v>
      </c>
      <c r="H63" s="12">
        <f t="shared" si="18"/>
        <v>18.600917445315016</v>
      </c>
      <c r="I63" s="12">
        <f t="shared" si="18"/>
        <v>21.512144161420409</v>
      </c>
      <c r="J63" s="12">
        <f t="shared" si="18"/>
        <v>20.108297233455165</v>
      </c>
      <c r="K63" s="12" t="e">
        <f t="shared" si="18"/>
        <v>#DIV/0!</v>
      </c>
      <c r="L63" s="12" t="e">
        <f t="shared" si="18"/>
        <v>#DIV/0!</v>
      </c>
    </row>
    <row r="64" spans="3:12" x14ac:dyDescent="0.25">
      <c r="C64" s="1" t="s">
        <v>7</v>
      </c>
      <c r="D64" s="12">
        <f t="shared" ref="D64:L64" si="19">D$3/D10</f>
        <v>15.630914032065265</v>
      </c>
      <c r="E64" s="12">
        <f t="shared" si="19"/>
        <v>18.510511219398282</v>
      </c>
      <c r="F64" s="12">
        <f t="shared" si="19"/>
        <v>19.989249864642467</v>
      </c>
      <c r="G64" s="12">
        <f t="shared" si="19"/>
        <v>20.752166678208638</v>
      </c>
      <c r="H64" s="12">
        <f t="shared" si="19"/>
        <v>18.566846047113856</v>
      </c>
      <c r="I64" s="12">
        <f t="shared" si="19"/>
        <v>21.548396307250758</v>
      </c>
      <c r="J64" s="12">
        <f t="shared" si="19"/>
        <v>20.070018111437765</v>
      </c>
      <c r="K64" s="12" t="e">
        <f t="shared" si="19"/>
        <v>#DIV/0!</v>
      </c>
      <c r="L64" s="12" t="e">
        <f t="shared" si="19"/>
        <v>#DIV/0!</v>
      </c>
    </row>
    <row r="65" spans="3:12" x14ac:dyDescent="0.25">
      <c r="C65" s="1" t="s">
        <v>8</v>
      </c>
      <c r="D65" s="12">
        <f t="shared" ref="D65:L65" si="20">D$3/D11</f>
        <v>18.263431193360084</v>
      </c>
      <c r="E65" s="12">
        <f t="shared" si="20"/>
        <v>19.126042140208234</v>
      </c>
      <c r="F65" s="12">
        <f t="shared" si="20"/>
        <v>18.752968785657316</v>
      </c>
      <c r="G65" s="12">
        <f t="shared" si="20"/>
        <v>18.277658075697097</v>
      </c>
      <c r="H65" s="12">
        <f t="shared" si="20"/>
        <v>18.702242628582063</v>
      </c>
      <c r="I65" s="12">
        <f t="shared" si="20"/>
        <v>18.144839648555465</v>
      </c>
      <c r="J65" s="12">
        <f t="shared" si="20"/>
        <v>17.675143544539996</v>
      </c>
      <c r="K65" s="12" t="e">
        <f t="shared" si="20"/>
        <v>#DIV/0!</v>
      </c>
      <c r="L65" s="12" t="e">
        <f t="shared" si="20"/>
        <v>#DIV/0!</v>
      </c>
    </row>
    <row r="66" spans="3:12" x14ac:dyDescent="0.25">
      <c r="C66" s="1" t="s">
        <v>9</v>
      </c>
      <c r="D66" s="12">
        <f t="shared" ref="D66:L66" si="21">D$3/D12</f>
        <v>5.0448619075262933</v>
      </c>
      <c r="E66" s="12">
        <f t="shared" si="21"/>
        <v>7.9457614576115878</v>
      </c>
      <c r="F66" s="12">
        <f t="shared" si="21"/>
        <v>11.64023873497878</v>
      </c>
      <c r="G66" s="12">
        <f t="shared" si="21"/>
        <v>13.956963436923134</v>
      </c>
      <c r="H66" s="12">
        <f t="shared" si="21"/>
        <v>10.803887079924577</v>
      </c>
      <c r="I66" s="12">
        <f t="shared" si="21"/>
        <v>13.035943170869302</v>
      </c>
      <c r="J66" s="12">
        <f t="shared" si="21"/>
        <v>13.259419490769018</v>
      </c>
      <c r="K66" s="12" t="e">
        <f t="shared" si="21"/>
        <v>#DIV/0!</v>
      </c>
      <c r="L66" s="12" t="e">
        <f t="shared" si="21"/>
        <v>#DIV/0!</v>
      </c>
    </row>
    <row r="67" spans="3:12" x14ac:dyDescent="0.25">
      <c r="C67" s="1" t="s">
        <v>13</v>
      </c>
      <c r="D67" s="12">
        <f t="shared" ref="D67:L67" si="22">D$3/D13</f>
        <v>18.194538377694808</v>
      </c>
      <c r="E67" s="12">
        <f t="shared" si="22"/>
        <v>18.912805458135676</v>
      </c>
      <c r="F67" s="12">
        <f t="shared" si="22"/>
        <v>18.677484313190561</v>
      </c>
      <c r="G67" s="12">
        <f t="shared" si="22"/>
        <v>18.132027902883966</v>
      </c>
      <c r="H67" s="12">
        <f t="shared" si="22"/>
        <v>18.477612545431093</v>
      </c>
      <c r="I67" s="12">
        <f t="shared" si="22"/>
        <v>18.039529908763683</v>
      </c>
      <c r="J67" s="12">
        <f t="shared" si="22"/>
        <v>17.536518044730748</v>
      </c>
      <c r="K67" s="12" t="e">
        <f t="shared" si="22"/>
        <v>#DIV/0!</v>
      </c>
      <c r="L67" s="12" t="e">
        <f t="shared" si="22"/>
        <v>#DIV/0!</v>
      </c>
    </row>
    <row r="68" spans="3:12" x14ac:dyDescent="0.25">
      <c r="C68" s="1" t="s">
        <v>10</v>
      </c>
      <c r="D68" s="12">
        <f t="shared" ref="D68:L68" si="23">D$3/D14</f>
        <v>17.87509476713382</v>
      </c>
      <c r="E68" s="12">
        <f t="shared" si="23"/>
        <v>18.186409228732348</v>
      </c>
      <c r="F68" s="12">
        <f t="shared" si="23"/>
        <v>18.030901498079871</v>
      </c>
      <c r="G68" s="12">
        <f t="shared" si="23"/>
        <v>17.557840351665806</v>
      </c>
      <c r="H68" s="12">
        <f t="shared" si="23"/>
        <v>17.817199814215464</v>
      </c>
      <c r="I68" s="12">
        <f t="shared" si="23"/>
        <v>17.44419938900041</v>
      </c>
      <c r="J68" s="12">
        <f t="shared" si="23"/>
        <v>17.173207017112158</v>
      </c>
      <c r="K68" s="12" t="e">
        <f t="shared" si="23"/>
        <v>#DIV/0!</v>
      </c>
      <c r="L68" s="12" t="e">
        <f t="shared" si="23"/>
        <v>#DIV/0!</v>
      </c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9">
        <v>12</v>
      </c>
      <c r="E88" s="9">
        <v>24</v>
      </c>
      <c r="F88" s="9">
        <v>48</v>
      </c>
      <c r="G88" s="9">
        <v>96</v>
      </c>
      <c r="H88" s="9">
        <v>192</v>
      </c>
      <c r="I88" s="9">
        <v>384</v>
      </c>
      <c r="J88" s="4">
        <v>768</v>
      </c>
      <c r="K88" s="4"/>
      <c r="L88" s="4"/>
    </row>
    <row r="89" spans="3:12" x14ac:dyDescent="0.25">
      <c r="C89" s="1" t="s">
        <v>1</v>
      </c>
      <c r="D89" s="10">
        <v>82524.060995560008</v>
      </c>
      <c r="E89" s="10">
        <v>140119.71574500008</v>
      </c>
      <c r="F89" s="10">
        <v>3920098.1498499992</v>
      </c>
      <c r="G89" s="10">
        <v>140975.12164100009</v>
      </c>
      <c r="H89" s="10">
        <v>3198827.5116669997</v>
      </c>
      <c r="I89" s="10">
        <v>180655.35291099999</v>
      </c>
      <c r="J89" s="10">
        <v>1722287.2866110001</v>
      </c>
      <c r="K89" s="1"/>
      <c r="L89" s="1"/>
    </row>
    <row r="90" spans="3:12" x14ac:dyDescent="0.25">
      <c r="C90" s="1" t="s">
        <v>2</v>
      </c>
      <c r="D90" s="10">
        <v>54.50025041640005</v>
      </c>
      <c r="E90" s="10">
        <v>314.41760891239988</v>
      </c>
      <c r="F90" s="10">
        <v>236.81430169440011</v>
      </c>
      <c r="G90" s="10">
        <v>429.34526400000067</v>
      </c>
      <c r="H90" s="10">
        <v>1410.6061400000021</v>
      </c>
      <c r="I90" s="10">
        <v>7596.1127662399995</v>
      </c>
      <c r="J90" s="10">
        <v>27748.649984000003</v>
      </c>
      <c r="K90" s="1"/>
      <c r="L90" s="1"/>
    </row>
    <row r="91" spans="3:12" x14ac:dyDescent="0.25">
      <c r="C91" s="1" t="s">
        <v>4</v>
      </c>
      <c r="D91" s="10">
        <v>31.174634969999971</v>
      </c>
      <c r="E91" s="10">
        <v>657.97731227039992</v>
      </c>
      <c r="F91" s="10">
        <v>214.13401645639991</v>
      </c>
      <c r="G91" s="10">
        <v>698.17734364000023</v>
      </c>
      <c r="H91" s="11">
        <v>60490.738789760013</v>
      </c>
      <c r="I91" s="10">
        <v>20606.428438839997</v>
      </c>
      <c r="J91" s="10">
        <v>20313.995164000011</v>
      </c>
      <c r="K91" s="1"/>
      <c r="L91" s="1"/>
    </row>
    <row r="92" spans="3:12" x14ac:dyDescent="0.25">
      <c r="C92" s="1" t="s">
        <v>11</v>
      </c>
      <c r="D92" s="10">
        <v>137.47405196960005</v>
      </c>
      <c r="E92" s="10">
        <v>142.76359375999994</v>
      </c>
      <c r="F92" s="10">
        <v>914.33924003999994</v>
      </c>
      <c r="G92" s="10">
        <v>939.73960255999987</v>
      </c>
      <c r="H92" s="10">
        <v>2863.4902962400038</v>
      </c>
      <c r="I92" s="10">
        <v>21486.428532039994</v>
      </c>
      <c r="J92" s="10">
        <v>29489.809313999998</v>
      </c>
      <c r="K92" s="1"/>
      <c r="L92" s="1"/>
    </row>
    <row r="93" spans="3:12" x14ac:dyDescent="0.25">
      <c r="C93" s="1" t="s">
        <v>12</v>
      </c>
      <c r="D93" s="10">
        <v>24.791761816400008</v>
      </c>
      <c r="E93" s="10">
        <v>37.961307825599974</v>
      </c>
      <c r="F93" s="10">
        <v>38.032623440000023</v>
      </c>
      <c r="G93" s="10">
        <v>207.68941500000011</v>
      </c>
      <c r="H93" s="10">
        <v>3750.4446046400021</v>
      </c>
      <c r="I93" s="10">
        <v>13837.625535439995</v>
      </c>
      <c r="J93" s="10">
        <v>37256.469725999996</v>
      </c>
      <c r="K93" s="1"/>
      <c r="L93" s="1"/>
    </row>
    <row r="94" spans="3:12" x14ac:dyDescent="0.25">
      <c r="C94" s="1" t="s">
        <v>5</v>
      </c>
      <c r="D94" s="10">
        <v>158.62478477639999</v>
      </c>
      <c r="E94" s="10">
        <v>447.65970851999992</v>
      </c>
      <c r="F94" s="10">
        <v>2068.3561300000001</v>
      </c>
      <c r="G94" s="10">
        <v>319.66861196000036</v>
      </c>
      <c r="H94" s="10">
        <v>3610.5094126399963</v>
      </c>
      <c r="I94" s="10">
        <v>2912.4495025599995</v>
      </c>
      <c r="J94" s="10">
        <v>11029.406407000017</v>
      </c>
      <c r="K94" s="1"/>
      <c r="L94" s="1"/>
    </row>
    <row r="95" spans="3:12" x14ac:dyDescent="0.25">
      <c r="C95" s="1" t="s">
        <v>6</v>
      </c>
      <c r="D95" s="10">
        <v>190.80242724999997</v>
      </c>
      <c r="E95" s="10">
        <v>319.97269027239992</v>
      </c>
      <c r="F95" s="10">
        <v>500.45156816000002</v>
      </c>
      <c r="G95" s="10">
        <v>402.95650824000012</v>
      </c>
      <c r="H95" s="10">
        <v>2156.509579</v>
      </c>
      <c r="I95" s="10">
        <v>8405.0541335600046</v>
      </c>
      <c r="J95" s="10">
        <v>13758.36262899999</v>
      </c>
      <c r="K95" s="1"/>
      <c r="L95" s="4"/>
    </row>
    <row r="96" spans="3:12" x14ac:dyDescent="0.25">
      <c r="C96" s="1" t="s">
        <v>7</v>
      </c>
      <c r="D96" s="10">
        <v>210.87891496040004</v>
      </c>
      <c r="E96" s="10">
        <v>174.32559284999988</v>
      </c>
      <c r="F96" s="10">
        <v>833.30277955999986</v>
      </c>
      <c r="G96" s="10">
        <v>406.53628144000032</v>
      </c>
      <c r="H96" s="10">
        <v>2240.4540869599987</v>
      </c>
      <c r="I96" s="10">
        <v>3127.7826083599998</v>
      </c>
      <c r="J96" s="10">
        <v>9121.7606380000143</v>
      </c>
      <c r="K96" s="1"/>
      <c r="L96" s="1"/>
    </row>
    <row r="97" spans="3:12" x14ac:dyDescent="0.25">
      <c r="C97" s="1" t="s">
        <v>8</v>
      </c>
      <c r="D97" s="10">
        <v>88.155953505599911</v>
      </c>
      <c r="E97" s="10">
        <v>61.363736441599968</v>
      </c>
      <c r="F97" s="10">
        <v>84.796345040000176</v>
      </c>
      <c r="G97" s="10">
        <v>247.67197155999952</v>
      </c>
      <c r="H97" s="10">
        <v>112.21791699999984</v>
      </c>
      <c r="I97" s="10">
        <v>369.32543776000193</v>
      </c>
      <c r="J97" s="10">
        <v>460.71977799999826</v>
      </c>
      <c r="K97" s="1"/>
      <c r="L97" s="1"/>
    </row>
    <row r="98" spans="3:12" x14ac:dyDescent="0.25">
      <c r="C98" s="1" t="s">
        <v>9</v>
      </c>
      <c r="D98" s="10">
        <v>115.41398475999999</v>
      </c>
      <c r="E98" s="10">
        <v>338.74372836000003</v>
      </c>
      <c r="F98" s="10">
        <v>393.02783199999982</v>
      </c>
      <c r="G98" s="10">
        <v>3754.6782075600017</v>
      </c>
      <c r="H98" s="10">
        <v>3836579.7928980249</v>
      </c>
      <c r="I98" s="10">
        <v>16934.920549000006</v>
      </c>
      <c r="J98" s="10">
        <v>167379.51369300002</v>
      </c>
      <c r="K98" s="1"/>
      <c r="L98" s="1"/>
    </row>
    <row r="99" spans="3:12" x14ac:dyDescent="0.25">
      <c r="C99" s="1" t="s">
        <v>13</v>
      </c>
      <c r="D99" s="10">
        <v>61.741553345600003</v>
      </c>
      <c r="E99" s="10">
        <v>96.899563049999884</v>
      </c>
      <c r="F99" s="10">
        <v>59.308010999999986</v>
      </c>
      <c r="G99" s="10">
        <v>35.076847439999774</v>
      </c>
      <c r="H99" s="10">
        <v>212.04108536000027</v>
      </c>
      <c r="I99" s="10">
        <v>247.08091399999986</v>
      </c>
      <c r="J99" s="10">
        <v>241886.07963400002</v>
      </c>
      <c r="K99" s="1"/>
      <c r="L99" s="1"/>
    </row>
    <row r="100" spans="3:12" x14ac:dyDescent="0.25">
      <c r="C100" s="1" t="s">
        <v>10</v>
      </c>
      <c r="D100" s="10">
        <v>35.545079510399994</v>
      </c>
      <c r="E100" s="10">
        <v>137.20988644360003</v>
      </c>
      <c r="F100" s="10">
        <v>303.86305499999963</v>
      </c>
      <c r="G100" s="10">
        <v>190.44114835999974</v>
      </c>
      <c r="H100" s="10">
        <v>130.19889099999884</v>
      </c>
      <c r="I100" s="10">
        <v>340.23177664000099</v>
      </c>
      <c r="J100" s="10">
        <v>1858.3005739999921</v>
      </c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0">
        <v>79.627185398021354</v>
      </c>
      <c r="E112" s="10">
        <v>103.75778525064923</v>
      </c>
      <c r="F112" s="10">
        <v>548.80687044649426</v>
      </c>
      <c r="G112" s="10">
        <v>104.07401474874176</v>
      </c>
      <c r="H112" s="10">
        <v>495.75428931719682</v>
      </c>
      <c r="I112" s="10">
        <v>117.81388744480826</v>
      </c>
      <c r="J112" s="10">
        <v>363.76747628793908</v>
      </c>
      <c r="K112" s="1"/>
      <c r="L112" s="1"/>
    </row>
    <row r="113" spans="3:12" x14ac:dyDescent="0.25">
      <c r="C113" s="1" t="s">
        <v>2</v>
      </c>
      <c r="D113" s="10">
        <v>11.311721920656117</v>
      </c>
      <c r="E113" s="10">
        <v>11.570179151561431</v>
      </c>
      <c r="F113" s="10">
        <v>11.157862276084487</v>
      </c>
      <c r="G113" s="10">
        <v>12.959428523406128</v>
      </c>
      <c r="H113" s="10">
        <v>26.157706637115453</v>
      </c>
      <c r="I113" s="10">
        <v>44.148906262076018</v>
      </c>
      <c r="J113" s="10">
        <v>67.453153378413035</v>
      </c>
      <c r="K113" s="1"/>
      <c r="L113" s="1"/>
    </row>
    <row r="114" spans="3:12" x14ac:dyDescent="0.25">
      <c r="C114" s="1" t="s">
        <v>4</v>
      </c>
      <c r="D114" s="10">
        <v>1.5476464564024428</v>
      </c>
      <c r="E114" s="10">
        <v>7.1101134207802454</v>
      </c>
      <c r="F114" s="10">
        <v>4.0561490051991571</v>
      </c>
      <c r="G114" s="10">
        <v>7.3240945970507845</v>
      </c>
      <c r="H114" s="11">
        <v>68.173487828442816</v>
      </c>
      <c r="I114" s="10">
        <v>39.789861897384796</v>
      </c>
      <c r="J114" s="10">
        <v>39.506516885704421</v>
      </c>
      <c r="K114" s="1"/>
      <c r="L114" s="1"/>
    </row>
    <row r="115" spans="3:12" x14ac:dyDescent="0.25">
      <c r="C115" s="1" t="s">
        <v>11</v>
      </c>
      <c r="D115" s="10">
        <v>3.2499855939570423</v>
      </c>
      <c r="E115" s="10">
        <v>3.3119197508044054</v>
      </c>
      <c r="F115" s="10">
        <v>8.3815578796995283</v>
      </c>
      <c r="G115" s="10">
        <v>8.4971803054831021</v>
      </c>
      <c r="H115" s="10">
        <v>14.832656081791688</v>
      </c>
      <c r="I115" s="10">
        <v>40.630595331273412</v>
      </c>
      <c r="J115" s="10">
        <v>47.600010811062297</v>
      </c>
      <c r="K115" s="1"/>
      <c r="L115" s="1"/>
    </row>
    <row r="116" spans="3:12" x14ac:dyDescent="0.25">
      <c r="C116" s="1" t="s">
        <v>12</v>
      </c>
      <c r="D116" s="10">
        <v>1.3801451531913755</v>
      </c>
      <c r="E116" s="10">
        <v>1.7078182581459003</v>
      </c>
      <c r="F116" s="10">
        <v>1.7094216928956065</v>
      </c>
      <c r="G116" s="10">
        <v>3.9946455579037305</v>
      </c>
      <c r="H116" s="10">
        <v>16.97510411937731</v>
      </c>
      <c r="I116" s="10">
        <v>32.606325232060811</v>
      </c>
      <c r="J116" s="10">
        <v>53.502234364445293</v>
      </c>
      <c r="K116" s="1"/>
      <c r="L116" s="1"/>
    </row>
    <row r="117" spans="3:12" x14ac:dyDescent="0.25">
      <c r="C117" s="1" t="s">
        <v>5</v>
      </c>
      <c r="D117" s="10">
        <v>3.4910542052423597</v>
      </c>
      <c r="E117" s="10">
        <v>5.8646901644510283</v>
      </c>
      <c r="F117" s="10">
        <v>12.606186504258933</v>
      </c>
      <c r="G117" s="10">
        <v>4.9558832506537867</v>
      </c>
      <c r="H117" s="10">
        <v>16.655409307247787</v>
      </c>
      <c r="I117" s="10">
        <v>14.958921090128454</v>
      </c>
      <c r="J117" s="10">
        <v>29.110330693116925</v>
      </c>
      <c r="K117" s="1"/>
      <c r="L117" s="1"/>
    </row>
    <row r="118" spans="3:12" x14ac:dyDescent="0.25">
      <c r="C118" s="1" t="s">
        <v>6</v>
      </c>
      <c r="D118" s="10">
        <v>3.8288029579062952</v>
      </c>
      <c r="E118" s="10">
        <v>4.9582397823228588</v>
      </c>
      <c r="F118" s="10">
        <v>6.2008624307324469</v>
      </c>
      <c r="G118" s="10">
        <v>5.5641670033434201</v>
      </c>
      <c r="H118" s="10">
        <v>12.872021751602503</v>
      </c>
      <c r="I118" s="10">
        <v>25.412145111927924</v>
      </c>
      <c r="J118" s="10">
        <v>32.512805438954771</v>
      </c>
      <c r="K118" s="1"/>
      <c r="L118" s="4"/>
    </row>
    <row r="119" spans="3:12" x14ac:dyDescent="0.25">
      <c r="C119" s="1" t="s">
        <v>7</v>
      </c>
      <c r="D119" s="10">
        <v>4.0252017085156675</v>
      </c>
      <c r="E119" s="10">
        <v>3.6597518973082299</v>
      </c>
      <c r="F119" s="10">
        <v>8.0015198030845305</v>
      </c>
      <c r="G119" s="10">
        <v>5.5888277461018694</v>
      </c>
      <c r="H119" s="10">
        <v>13.120158856100433</v>
      </c>
      <c r="I119" s="10">
        <v>15.502057713913837</v>
      </c>
      <c r="J119" s="10">
        <v>26.473441660252959</v>
      </c>
      <c r="K119" s="1"/>
      <c r="L119" s="1"/>
    </row>
    <row r="120" spans="3:12" x14ac:dyDescent="0.25">
      <c r="C120" s="1" t="s">
        <v>8</v>
      </c>
      <c r="D120" s="10">
        <v>2.6025368815335259</v>
      </c>
      <c r="E120" s="10">
        <v>2.1713356714890972</v>
      </c>
      <c r="F120" s="10">
        <v>2.5524640608857343</v>
      </c>
      <c r="G120" s="10">
        <v>4.3622394385106693</v>
      </c>
      <c r="H120" s="10">
        <v>2.9363118020646217</v>
      </c>
      <c r="I120" s="10">
        <v>5.3269139315345111</v>
      </c>
      <c r="J120" s="10">
        <v>5.9496236841749797</v>
      </c>
      <c r="K120" s="1"/>
      <c r="L120" s="1"/>
    </row>
    <row r="121" spans="3:12" x14ac:dyDescent="0.25">
      <c r="C121" s="1" t="s">
        <v>9</v>
      </c>
      <c r="D121" s="10">
        <v>2.9778326475946089</v>
      </c>
      <c r="E121" s="10">
        <v>5.1016034868809159</v>
      </c>
      <c r="F121" s="10">
        <v>5.4951901139290875</v>
      </c>
      <c r="G121" s="10">
        <v>16.984682394535675</v>
      </c>
      <c r="H121" s="10">
        <v>542.92918382413461</v>
      </c>
      <c r="I121" s="10">
        <v>36.071371135857433</v>
      </c>
      <c r="J121" s="10">
        <v>113.40239325543608</v>
      </c>
      <c r="K121" s="1"/>
      <c r="L121" s="1"/>
    </row>
    <row r="122" spans="3:12" x14ac:dyDescent="0.25">
      <c r="C122" s="1" t="s">
        <v>13</v>
      </c>
      <c r="D122" s="10">
        <v>2.1780098775370922</v>
      </c>
      <c r="E122" s="10">
        <v>2.7285503895397625</v>
      </c>
      <c r="F122" s="10">
        <v>2.1346552651779627</v>
      </c>
      <c r="G122" s="10">
        <v>1.6416529299794347</v>
      </c>
      <c r="H122" s="10">
        <v>4.0362780714885762</v>
      </c>
      <c r="I122" s="10">
        <v>4.3570311892902476</v>
      </c>
      <c r="J122" s="10">
        <v>136.32531412191753</v>
      </c>
      <c r="K122" s="1"/>
      <c r="L122" s="1"/>
    </row>
    <row r="123" spans="3:12" x14ac:dyDescent="0.25">
      <c r="C123" s="1" t="s">
        <v>10</v>
      </c>
      <c r="D123" s="10">
        <v>1.6525736137743008</v>
      </c>
      <c r="E123" s="10">
        <v>3.2468615608360452</v>
      </c>
      <c r="F123" s="10">
        <v>4.8318119004944684</v>
      </c>
      <c r="G123" s="10">
        <v>3.825176376429654</v>
      </c>
      <c r="H123" s="10">
        <v>3.1628217138042904</v>
      </c>
      <c r="I123" s="10">
        <v>5.1127964816531231</v>
      </c>
      <c r="J123" s="10">
        <v>11.948930902033343</v>
      </c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4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4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4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4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D5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4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4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9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9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9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zoomScale="115" zoomScaleNormal="115" workbookViewId="0">
      <pane xSplit="3" ySplit="2" topLeftCell="D39" activePane="bottomRight" state="frozen"/>
      <selection pane="topRight" activeCell="D1" sqref="D1"/>
      <selection pane="bottomLeft" activeCell="A3" sqref="A3"/>
      <selection pane="bottomRight" activeCell="D58" sqref="D58:G64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2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</row>
    <row r="2" spans="1:12" x14ac:dyDescent="0.25">
      <c r="B2" t="s">
        <v>0</v>
      </c>
      <c r="C2" s="1"/>
      <c r="D2" s="9">
        <v>10</v>
      </c>
      <c r="E2" s="9">
        <v>20</v>
      </c>
      <c r="F2" s="9">
        <v>40</v>
      </c>
      <c r="G2" s="9">
        <v>80</v>
      </c>
      <c r="H2" s="9">
        <v>160</v>
      </c>
      <c r="I2" s="9">
        <v>320</v>
      </c>
      <c r="J2" s="9"/>
      <c r="K2" s="9"/>
      <c r="L2" s="9"/>
    </row>
    <row r="3" spans="1:12" x14ac:dyDescent="0.25">
      <c r="A3">
        <v>1</v>
      </c>
      <c r="C3" s="1" t="s">
        <v>1</v>
      </c>
      <c r="D3" s="10">
        <v>24196.247999999992</v>
      </c>
      <c r="E3" s="10">
        <v>47270.151999999995</v>
      </c>
      <c r="F3" s="10">
        <v>94088.621999999974</v>
      </c>
      <c r="G3" s="10">
        <v>187213.28</v>
      </c>
      <c r="H3" s="10"/>
      <c r="I3" s="10"/>
      <c r="J3" s="10"/>
      <c r="K3" s="10"/>
      <c r="L3" s="10"/>
    </row>
    <row r="4" spans="1:12" x14ac:dyDescent="0.25">
      <c r="C4" s="1" t="s">
        <v>2</v>
      </c>
      <c r="D4" s="10">
        <v>1244.8463999999999</v>
      </c>
      <c r="E4" s="10">
        <v>1969.7955999999999</v>
      </c>
      <c r="F4" s="10">
        <v>3308.7164000000012</v>
      </c>
      <c r="G4" s="10">
        <v>6320.338600000001</v>
      </c>
      <c r="H4" s="10"/>
      <c r="I4" s="10"/>
      <c r="J4" s="10"/>
      <c r="K4" s="10"/>
      <c r="L4" s="10"/>
    </row>
    <row r="5" spans="1:12" x14ac:dyDescent="0.25">
      <c r="C5" s="1" t="s">
        <v>4</v>
      </c>
      <c r="D5" s="10">
        <v>706.01595999999972</v>
      </c>
      <c r="E5" s="10">
        <v>1300.9078000000004</v>
      </c>
      <c r="F5" s="10">
        <v>2619.4939999999992</v>
      </c>
      <c r="G5" s="10">
        <v>5415.8602000000001</v>
      </c>
      <c r="H5" s="11"/>
      <c r="I5" s="10"/>
      <c r="J5" s="10"/>
      <c r="K5" s="10"/>
      <c r="L5" s="10"/>
    </row>
    <row r="6" spans="1:12" x14ac:dyDescent="0.25">
      <c r="C6" s="1" t="s">
        <v>11</v>
      </c>
      <c r="D6" s="10">
        <v>1232.2766000000001</v>
      </c>
      <c r="E6" s="10">
        <v>2026.6083999999996</v>
      </c>
      <c r="F6" s="10">
        <v>3316.1202000000003</v>
      </c>
      <c r="G6" s="10">
        <v>6330.1558000000005</v>
      </c>
      <c r="H6" s="10"/>
      <c r="I6" s="10"/>
      <c r="J6" s="10"/>
      <c r="K6" s="10"/>
      <c r="L6" s="10"/>
    </row>
    <row r="7" spans="1:12" x14ac:dyDescent="0.25">
      <c r="C7" s="1" t="s">
        <v>12</v>
      </c>
      <c r="D7" s="10">
        <v>655.69731999999999</v>
      </c>
      <c r="E7" s="10">
        <v>1322.2719999999999</v>
      </c>
      <c r="F7" s="10">
        <v>2575.1058000000003</v>
      </c>
      <c r="G7" s="10">
        <v>5197.3040000000001</v>
      </c>
      <c r="H7" s="10"/>
      <c r="I7" s="10"/>
      <c r="J7" s="10"/>
      <c r="K7" s="10"/>
      <c r="L7" s="10"/>
    </row>
    <row r="8" spans="1:12" x14ac:dyDescent="0.25">
      <c r="C8" s="1" t="s">
        <v>5</v>
      </c>
      <c r="D8" s="10">
        <v>787.52170000000012</v>
      </c>
      <c r="E8" s="10">
        <v>1484.0466000000004</v>
      </c>
      <c r="F8" s="10">
        <v>2880.6154000000006</v>
      </c>
      <c r="G8" s="10">
        <v>6286.639799999999</v>
      </c>
      <c r="H8" s="10"/>
      <c r="I8" s="10"/>
      <c r="J8" s="10"/>
      <c r="K8" s="10"/>
      <c r="L8" s="10"/>
    </row>
    <row r="9" spans="1:12" x14ac:dyDescent="0.25">
      <c r="C9" s="1" t="s">
        <v>6</v>
      </c>
      <c r="D9" s="10"/>
      <c r="E9" s="10">
        <v>1505.5848000000001</v>
      </c>
      <c r="F9" s="10">
        <v>2938.6935999999992</v>
      </c>
      <c r="G9" s="10">
        <v>6332.6830000000018</v>
      </c>
      <c r="H9" s="10"/>
      <c r="I9" s="10"/>
      <c r="J9" s="10"/>
      <c r="K9" s="10"/>
      <c r="L9" s="9"/>
    </row>
    <row r="10" spans="1:12" x14ac:dyDescent="0.25">
      <c r="C10" s="1" t="s">
        <v>7</v>
      </c>
      <c r="D10" s="10"/>
      <c r="E10" s="10">
        <v>1491.7985999999999</v>
      </c>
      <c r="F10" s="10">
        <v>2913.1618000000003</v>
      </c>
      <c r="G10" s="10">
        <v>6310.7021999999997</v>
      </c>
      <c r="H10" s="10"/>
      <c r="I10" s="10"/>
      <c r="J10" s="10"/>
      <c r="K10" s="10"/>
      <c r="L10" s="10"/>
    </row>
    <row r="11" spans="1:12" x14ac:dyDescent="0.25">
      <c r="C11" s="1" t="s">
        <v>8</v>
      </c>
      <c r="D11" s="10">
        <v>1452.3474000000001</v>
      </c>
      <c r="E11" s="10">
        <v>2854.3485999999998</v>
      </c>
      <c r="F11" s="10">
        <v>5793.8559999999998</v>
      </c>
      <c r="G11" s="10">
        <v>11851.997999999998</v>
      </c>
      <c r="H11" s="10"/>
      <c r="I11" s="10"/>
      <c r="J11" s="10"/>
      <c r="K11" s="10"/>
      <c r="L11" s="10"/>
    </row>
    <row r="12" spans="1:12" x14ac:dyDescent="0.25">
      <c r="C12" s="1" t="s">
        <v>9</v>
      </c>
      <c r="D12" s="10">
        <v>5989.4683999999988</v>
      </c>
      <c r="E12" s="10">
        <v>6519.1558000000005</v>
      </c>
      <c r="F12" s="10">
        <v>7790.1365999999989</v>
      </c>
      <c r="G12" s="10">
        <v>10566.860000000002</v>
      </c>
      <c r="H12" s="10"/>
      <c r="I12" s="10"/>
      <c r="J12" s="10"/>
      <c r="K12" s="10"/>
      <c r="L12" s="10"/>
    </row>
    <row r="13" spans="1:12" x14ac:dyDescent="0.25">
      <c r="C13" s="1" t="s">
        <v>13</v>
      </c>
      <c r="D13" s="10">
        <v>1445.5902000000001</v>
      </c>
      <c r="E13" s="10">
        <v>2848.6058000000007</v>
      </c>
      <c r="F13" s="10">
        <v>5764.5794000000005</v>
      </c>
      <c r="G13" s="10">
        <v>11761.321999999996</v>
      </c>
      <c r="H13" s="10"/>
      <c r="I13" s="10"/>
      <c r="J13" s="10"/>
      <c r="K13" s="10"/>
      <c r="L13" s="10"/>
    </row>
    <row r="14" spans="1:12" x14ac:dyDescent="0.25">
      <c r="C14" s="1" t="s">
        <v>10</v>
      </c>
      <c r="D14" s="10"/>
      <c r="E14" s="10">
        <v>3252.7520000000009</v>
      </c>
      <c r="F14" s="10">
        <v>6539.0816000000004</v>
      </c>
      <c r="G14" s="10">
        <v>13432.055999999999</v>
      </c>
      <c r="H14" s="10"/>
      <c r="I14" s="10"/>
      <c r="J14" s="10"/>
      <c r="K14" s="10"/>
      <c r="L14" s="10"/>
    </row>
    <row r="15" spans="1:12" x14ac:dyDescent="0.25">
      <c r="C15" s="1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50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9">
        <v>10</v>
      </c>
      <c r="E31" s="9">
        <v>20</v>
      </c>
      <c r="F31" s="9">
        <v>40</v>
      </c>
      <c r="G31" s="9">
        <v>80</v>
      </c>
      <c r="H31" s="9">
        <v>160</v>
      </c>
      <c r="I31" s="9">
        <v>320</v>
      </c>
      <c r="J31" s="4"/>
      <c r="K31" s="4"/>
      <c r="L31" s="4"/>
    </row>
    <row r="32" spans="3:12" x14ac:dyDescent="0.25">
      <c r="C32" s="1" t="s">
        <v>1</v>
      </c>
      <c r="D32" s="5">
        <f>D3/D$2</f>
        <v>2419.6247999999991</v>
      </c>
      <c r="E32" s="5">
        <f t="shared" ref="E32:L32" si="0">E3/E$2</f>
        <v>2363.5075999999999</v>
      </c>
      <c r="F32" s="5">
        <f t="shared" si="0"/>
        <v>2352.2155499999994</v>
      </c>
      <c r="G32" s="5">
        <f t="shared" si="0"/>
        <v>2340.1660000000002</v>
      </c>
      <c r="H32" s="5">
        <f t="shared" si="0"/>
        <v>0</v>
      </c>
      <c r="I32" s="5">
        <f t="shared" si="0"/>
        <v>0</v>
      </c>
      <c r="J32" s="5" t="e">
        <f t="shared" si="0"/>
        <v>#DIV/0!</v>
      </c>
      <c r="K32" s="5" t="e">
        <f t="shared" si="0"/>
        <v>#DIV/0!</v>
      </c>
      <c r="L32" s="5" t="e">
        <f t="shared" si="0"/>
        <v>#DIV/0!</v>
      </c>
    </row>
    <row r="33" spans="3:12" x14ac:dyDescent="0.25">
      <c r="C33" s="1" t="s">
        <v>2</v>
      </c>
      <c r="D33" s="5">
        <f t="shared" ref="D33:L43" si="1">D4/D$2</f>
        <v>124.48463999999998</v>
      </c>
      <c r="E33" s="5">
        <f t="shared" si="1"/>
        <v>98.489779999999996</v>
      </c>
      <c r="F33" s="5">
        <f t="shared" si="1"/>
        <v>82.717910000000032</v>
      </c>
      <c r="G33" s="5">
        <f t="shared" si="1"/>
        <v>79.004232500000015</v>
      </c>
      <c r="H33" s="5">
        <f t="shared" si="1"/>
        <v>0</v>
      </c>
      <c r="I33" s="5">
        <f t="shared" si="1"/>
        <v>0</v>
      </c>
      <c r="J33" s="5" t="e">
        <f t="shared" si="1"/>
        <v>#DIV/0!</v>
      </c>
      <c r="K33" s="5" t="e">
        <f t="shared" si="1"/>
        <v>#DIV/0!</v>
      </c>
      <c r="L33" s="5" t="e">
        <f t="shared" si="1"/>
        <v>#DIV/0!</v>
      </c>
    </row>
    <row r="34" spans="3:12" x14ac:dyDescent="0.25">
      <c r="C34" s="1" t="s">
        <v>4</v>
      </c>
      <c r="D34" s="5">
        <f t="shared" si="1"/>
        <v>70.601595999999972</v>
      </c>
      <c r="E34" s="5">
        <f t="shared" si="1"/>
        <v>65.045390000000026</v>
      </c>
      <c r="F34" s="5">
        <f t="shared" si="1"/>
        <v>65.487349999999978</v>
      </c>
      <c r="G34" s="5">
        <f t="shared" si="1"/>
        <v>67.698252499999995</v>
      </c>
      <c r="H34" s="5">
        <f t="shared" si="1"/>
        <v>0</v>
      </c>
      <c r="I34" s="5">
        <f t="shared" si="1"/>
        <v>0</v>
      </c>
      <c r="J34" s="5" t="e">
        <f t="shared" si="1"/>
        <v>#DIV/0!</v>
      </c>
      <c r="K34" s="5" t="e">
        <f t="shared" si="1"/>
        <v>#DIV/0!</v>
      </c>
      <c r="L34" s="5" t="e">
        <f t="shared" si="1"/>
        <v>#DIV/0!</v>
      </c>
    </row>
    <row r="35" spans="3:12" x14ac:dyDescent="0.25">
      <c r="C35" s="1" t="s">
        <v>11</v>
      </c>
      <c r="D35" s="5">
        <f t="shared" si="1"/>
        <v>123.22766000000001</v>
      </c>
      <c r="E35" s="5">
        <f t="shared" si="1"/>
        <v>101.33041999999998</v>
      </c>
      <c r="F35" s="5">
        <f t="shared" si="1"/>
        <v>82.903005000000007</v>
      </c>
      <c r="G35" s="5">
        <f t="shared" si="1"/>
        <v>79.1269475</v>
      </c>
      <c r="H35" s="5">
        <f t="shared" si="1"/>
        <v>0</v>
      </c>
      <c r="I35" s="5">
        <f t="shared" si="1"/>
        <v>0</v>
      </c>
      <c r="J35" s="5" t="e">
        <f t="shared" si="1"/>
        <v>#DIV/0!</v>
      </c>
      <c r="K35" s="5" t="e">
        <f t="shared" si="1"/>
        <v>#DIV/0!</v>
      </c>
      <c r="L35" s="5" t="e">
        <f t="shared" si="1"/>
        <v>#DIV/0!</v>
      </c>
    </row>
    <row r="36" spans="3:12" x14ac:dyDescent="0.25">
      <c r="C36" s="1" t="s">
        <v>12</v>
      </c>
      <c r="D36" s="5">
        <f t="shared" si="1"/>
        <v>65.569732000000002</v>
      </c>
      <c r="E36" s="5">
        <f t="shared" si="1"/>
        <v>66.113599999999991</v>
      </c>
      <c r="F36" s="5">
        <f t="shared" si="1"/>
        <v>64.377645000000001</v>
      </c>
      <c r="G36" s="5">
        <f t="shared" si="1"/>
        <v>64.966300000000004</v>
      </c>
      <c r="H36" s="5">
        <f t="shared" si="1"/>
        <v>0</v>
      </c>
      <c r="I36" s="5">
        <f t="shared" si="1"/>
        <v>0</v>
      </c>
      <c r="J36" s="5" t="e">
        <f t="shared" si="1"/>
        <v>#DIV/0!</v>
      </c>
      <c r="K36" s="5" t="e">
        <f t="shared" si="1"/>
        <v>#DIV/0!</v>
      </c>
      <c r="L36" s="5" t="e">
        <f t="shared" si="1"/>
        <v>#DIV/0!</v>
      </c>
    </row>
    <row r="37" spans="3:12" x14ac:dyDescent="0.25">
      <c r="C37" s="1" t="s">
        <v>5</v>
      </c>
      <c r="D37" s="5">
        <f t="shared" si="1"/>
        <v>78.752170000000007</v>
      </c>
      <c r="E37" s="5">
        <f t="shared" si="1"/>
        <v>74.202330000000018</v>
      </c>
      <c r="F37" s="5">
        <f t="shared" si="1"/>
        <v>72.015385000000009</v>
      </c>
      <c r="G37" s="5">
        <f t="shared" si="1"/>
        <v>78.582997499999991</v>
      </c>
      <c r="H37" s="5">
        <f t="shared" si="1"/>
        <v>0</v>
      </c>
      <c r="I37" s="5">
        <f t="shared" si="1"/>
        <v>0</v>
      </c>
      <c r="J37" s="5" t="e">
        <f t="shared" si="1"/>
        <v>#DIV/0!</v>
      </c>
      <c r="K37" s="5" t="e">
        <f t="shared" si="1"/>
        <v>#DIV/0!</v>
      </c>
      <c r="L37" s="5" t="e">
        <f t="shared" si="1"/>
        <v>#DIV/0!</v>
      </c>
    </row>
    <row r="38" spans="3:12" x14ac:dyDescent="0.25">
      <c r="C38" s="1" t="s">
        <v>6</v>
      </c>
      <c r="D38" s="5">
        <f t="shared" si="1"/>
        <v>0</v>
      </c>
      <c r="E38" s="5">
        <f t="shared" si="1"/>
        <v>75.279240000000001</v>
      </c>
      <c r="F38" s="5">
        <f t="shared" si="1"/>
        <v>73.467339999999979</v>
      </c>
      <c r="G38" s="5">
        <f t="shared" si="1"/>
        <v>79.158537500000023</v>
      </c>
      <c r="H38" s="5">
        <f t="shared" si="1"/>
        <v>0</v>
      </c>
      <c r="I38" s="5">
        <f t="shared" si="1"/>
        <v>0</v>
      </c>
      <c r="J38" s="5" t="e">
        <f t="shared" si="1"/>
        <v>#DIV/0!</v>
      </c>
      <c r="K38" s="5" t="e">
        <f t="shared" si="1"/>
        <v>#DIV/0!</v>
      </c>
      <c r="L38" s="5" t="e">
        <f t="shared" si="1"/>
        <v>#DIV/0!</v>
      </c>
    </row>
    <row r="39" spans="3:12" x14ac:dyDescent="0.25">
      <c r="C39" s="1" t="s">
        <v>7</v>
      </c>
      <c r="D39" s="5">
        <f t="shared" si="1"/>
        <v>0</v>
      </c>
      <c r="E39" s="5">
        <f t="shared" si="1"/>
        <v>74.589929999999995</v>
      </c>
      <c r="F39" s="5">
        <f t="shared" si="1"/>
        <v>72.829045000000008</v>
      </c>
      <c r="G39" s="5">
        <f t="shared" si="1"/>
        <v>78.883777499999994</v>
      </c>
      <c r="H39" s="5">
        <f t="shared" si="1"/>
        <v>0</v>
      </c>
      <c r="I39" s="5">
        <f t="shared" si="1"/>
        <v>0</v>
      </c>
      <c r="J39" s="5" t="e">
        <f t="shared" si="1"/>
        <v>#DIV/0!</v>
      </c>
      <c r="K39" s="5" t="e">
        <f t="shared" si="1"/>
        <v>#DIV/0!</v>
      </c>
      <c r="L39" s="5" t="e">
        <f t="shared" si="1"/>
        <v>#DIV/0!</v>
      </c>
    </row>
    <row r="40" spans="3:12" x14ac:dyDescent="0.25">
      <c r="C40" s="1" t="s">
        <v>8</v>
      </c>
      <c r="D40" s="5">
        <f t="shared" si="1"/>
        <v>145.23474000000002</v>
      </c>
      <c r="E40" s="5">
        <f t="shared" si="1"/>
        <v>142.71742999999998</v>
      </c>
      <c r="F40" s="5">
        <f t="shared" si="1"/>
        <v>144.84639999999999</v>
      </c>
      <c r="G40" s="5">
        <f t="shared" si="1"/>
        <v>148.14997499999998</v>
      </c>
      <c r="H40" s="5">
        <f t="shared" si="1"/>
        <v>0</v>
      </c>
      <c r="I40" s="5">
        <f t="shared" si="1"/>
        <v>0</v>
      </c>
      <c r="J40" s="5" t="e">
        <f t="shared" si="1"/>
        <v>#DIV/0!</v>
      </c>
      <c r="K40" s="5" t="e">
        <f t="shared" si="1"/>
        <v>#DIV/0!</v>
      </c>
      <c r="L40" s="5" t="e">
        <f t="shared" si="1"/>
        <v>#DIV/0!</v>
      </c>
    </row>
    <row r="41" spans="3:12" x14ac:dyDescent="0.25">
      <c r="C41" s="1" t="s">
        <v>9</v>
      </c>
      <c r="D41" s="5">
        <f t="shared" si="1"/>
        <v>598.94683999999984</v>
      </c>
      <c r="E41" s="5">
        <f t="shared" si="1"/>
        <v>325.95779000000005</v>
      </c>
      <c r="F41" s="5">
        <f t="shared" si="1"/>
        <v>194.75341499999996</v>
      </c>
      <c r="G41" s="5">
        <f t="shared" si="1"/>
        <v>132.08575000000002</v>
      </c>
      <c r="H41" s="5"/>
      <c r="I41" s="5">
        <f t="shared" si="1"/>
        <v>0</v>
      </c>
      <c r="J41" s="5" t="e">
        <f t="shared" si="1"/>
        <v>#DIV/0!</v>
      </c>
      <c r="K41" s="5" t="e">
        <f t="shared" si="1"/>
        <v>#DIV/0!</v>
      </c>
      <c r="L41" s="5" t="e">
        <f t="shared" si="1"/>
        <v>#DIV/0!</v>
      </c>
    </row>
    <row r="42" spans="3:12" x14ac:dyDescent="0.25">
      <c r="C42" s="1" t="s">
        <v>13</v>
      </c>
      <c r="D42" s="5">
        <f t="shared" si="1"/>
        <v>144.55902</v>
      </c>
      <c r="E42" s="5">
        <f t="shared" si="1"/>
        <v>142.43029000000004</v>
      </c>
      <c r="F42" s="5">
        <f t="shared" si="1"/>
        <v>144.114485</v>
      </c>
      <c r="G42" s="5">
        <f t="shared" si="1"/>
        <v>147.01652499999994</v>
      </c>
      <c r="H42" s="5">
        <f t="shared" si="1"/>
        <v>0</v>
      </c>
      <c r="I42" s="5">
        <f t="shared" si="1"/>
        <v>0</v>
      </c>
      <c r="J42" s="5" t="e">
        <f t="shared" si="1"/>
        <v>#DIV/0!</v>
      </c>
      <c r="K42" s="5" t="e">
        <f t="shared" si="1"/>
        <v>#DIV/0!</v>
      </c>
      <c r="L42" s="5" t="e">
        <f t="shared" si="1"/>
        <v>#DIV/0!</v>
      </c>
    </row>
    <row r="43" spans="3:12" x14ac:dyDescent="0.25">
      <c r="C43" s="1" t="s">
        <v>10</v>
      </c>
      <c r="D43" s="5">
        <f t="shared" si="1"/>
        <v>0</v>
      </c>
      <c r="E43" s="5">
        <f t="shared" si="1"/>
        <v>162.63760000000005</v>
      </c>
      <c r="F43" s="5">
        <f t="shared" si="1"/>
        <v>163.47704000000002</v>
      </c>
      <c r="G43" s="5">
        <f t="shared" si="1"/>
        <v>167.90069999999997</v>
      </c>
      <c r="H43" s="5">
        <f t="shared" si="1"/>
        <v>0</v>
      </c>
      <c r="I43" s="5">
        <f t="shared" si="1"/>
        <v>0</v>
      </c>
      <c r="J43" s="5" t="e">
        <f t="shared" si="1"/>
        <v>#DIV/0!</v>
      </c>
      <c r="K43" s="5" t="e">
        <f t="shared" si="1"/>
        <v>#DIV/0!</v>
      </c>
      <c r="L43" s="5" t="e">
        <f t="shared" si="1"/>
        <v>#DIV/0!</v>
      </c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9">
        <v>10</v>
      </c>
      <c r="E56" s="9">
        <v>20</v>
      </c>
      <c r="F56" s="9">
        <v>40</v>
      </c>
      <c r="G56" s="9">
        <v>80</v>
      </c>
      <c r="H56" s="9">
        <v>160</v>
      </c>
      <c r="I56" s="9">
        <v>320</v>
      </c>
      <c r="J56" s="4"/>
      <c r="K56" s="4"/>
      <c r="L56" s="4"/>
    </row>
    <row r="57" spans="3:12" x14ac:dyDescent="0.25">
      <c r="C57" s="1" t="s">
        <v>1</v>
      </c>
      <c r="D57" s="12">
        <f>D$3/D3</f>
        <v>1</v>
      </c>
      <c r="E57" s="12">
        <f t="shared" ref="E57:L58" si="2">E$3/E3</f>
        <v>1</v>
      </c>
      <c r="F57" s="12">
        <f t="shared" si="2"/>
        <v>1</v>
      </c>
      <c r="G57" s="12">
        <f t="shared" si="2"/>
        <v>1</v>
      </c>
      <c r="H57" s="12" t="e">
        <f t="shared" si="2"/>
        <v>#DIV/0!</v>
      </c>
      <c r="I57" s="12" t="e">
        <f t="shared" si="2"/>
        <v>#DIV/0!</v>
      </c>
      <c r="J57" s="12" t="e">
        <f t="shared" si="2"/>
        <v>#DIV/0!</v>
      </c>
      <c r="K57" s="12" t="e">
        <f t="shared" si="2"/>
        <v>#DIV/0!</v>
      </c>
      <c r="L57" s="12" t="e">
        <f t="shared" si="2"/>
        <v>#DIV/0!</v>
      </c>
    </row>
    <row r="58" spans="3:12" x14ac:dyDescent="0.25">
      <c r="C58" s="1" t="s">
        <v>2</v>
      </c>
      <c r="D58" s="12">
        <f t="shared" ref="D58:L68" si="3">D$3/D4</f>
        <v>19.437135376701892</v>
      </c>
      <c r="E58" s="12">
        <f t="shared" si="3"/>
        <v>23.997490907178388</v>
      </c>
      <c r="F58" s="12">
        <f t="shared" si="3"/>
        <v>28.436593115082314</v>
      </c>
      <c r="G58" s="12">
        <f t="shared" si="3"/>
        <v>29.620767469641574</v>
      </c>
      <c r="H58" s="12" t="e">
        <f t="shared" si="2"/>
        <v>#DIV/0!</v>
      </c>
      <c r="I58" s="12" t="e">
        <f t="shared" si="2"/>
        <v>#DIV/0!</v>
      </c>
      <c r="J58" s="12" t="e">
        <f t="shared" si="2"/>
        <v>#DIV/0!</v>
      </c>
      <c r="K58" s="12" t="e">
        <f t="shared" si="2"/>
        <v>#DIV/0!</v>
      </c>
      <c r="L58" s="12" t="e">
        <f t="shared" si="2"/>
        <v>#DIV/0!</v>
      </c>
    </row>
    <row r="59" spans="3:12" x14ac:dyDescent="0.25">
      <c r="C59" s="1" t="s">
        <v>4</v>
      </c>
      <c r="D59" s="12">
        <f t="shared" si="3"/>
        <v>34.271531198813129</v>
      </c>
      <c r="E59" s="12">
        <f t="shared" si="3"/>
        <v>36.336281479748202</v>
      </c>
      <c r="F59" s="12">
        <f t="shared" si="3"/>
        <v>35.918624742030332</v>
      </c>
      <c r="G59" s="12">
        <f t="shared" si="3"/>
        <v>34.567598329070606</v>
      </c>
      <c r="H59" s="12" t="e">
        <f t="shared" si="3"/>
        <v>#DIV/0!</v>
      </c>
      <c r="I59" s="12" t="e">
        <f t="shared" si="3"/>
        <v>#DIV/0!</v>
      </c>
      <c r="J59" s="12" t="e">
        <f t="shared" si="3"/>
        <v>#DIV/0!</v>
      </c>
      <c r="K59" s="12"/>
      <c r="L59" s="12"/>
    </row>
    <row r="60" spans="3:12" x14ac:dyDescent="0.25">
      <c r="C60" s="1" t="s">
        <v>11</v>
      </c>
      <c r="D60" s="12">
        <f t="shared" si="3"/>
        <v>19.6354032852689</v>
      </c>
      <c r="E60" s="12">
        <f t="shared" si="3"/>
        <v>23.32475874470865</v>
      </c>
      <c r="F60" s="12">
        <f t="shared" si="3"/>
        <v>28.373103604628074</v>
      </c>
      <c r="G60" s="12">
        <f t="shared" si="3"/>
        <v>29.574829737997916</v>
      </c>
      <c r="H60" s="12" t="e">
        <f t="shared" si="3"/>
        <v>#DIV/0!</v>
      </c>
      <c r="I60" s="12" t="e">
        <f t="shared" si="3"/>
        <v>#DIV/0!</v>
      </c>
      <c r="J60" s="12" t="e">
        <f t="shared" si="3"/>
        <v>#DIV/0!</v>
      </c>
      <c r="K60" s="12" t="e">
        <f t="shared" si="3"/>
        <v>#DIV/0!</v>
      </c>
      <c r="L60" s="12" t="e">
        <f t="shared" si="3"/>
        <v>#DIV/0!</v>
      </c>
    </row>
    <row r="61" spans="3:12" x14ac:dyDescent="0.25">
      <c r="C61" s="1" t="s">
        <v>12</v>
      </c>
      <c r="D61" s="12">
        <f t="shared" ref="D61" si="4">D$3/D7</f>
        <v>36.901550855812545</v>
      </c>
      <c r="E61" s="12">
        <f t="shared" si="3"/>
        <v>35.749189274218921</v>
      </c>
      <c r="F61" s="12">
        <f t="shared" si="3"/>
        <v>36.53776943844403</v>
      </c>
      <c r="G61" s="12">
        <f t="shared" si="3"/>
        <v>36.021229468201206</v>
      </c>
      <c r="H61" s="12" t="e">
        <f t="shared" si="3"/>
        <v>#DIV/0!</v>
      </c>
      <c r="I61" s="12" t="e">
        <f t="shared" si="3"/>
        <v>#DIV/0!</v>
      </c>
      <c r="J61" s="12" t="e">
        <f t="shared" si="3"/>
        <v>#DIV/0!</v>
      </c>
      <c r="K61" s="12" t="e">
        <f t="shared" si="3"/>
        <v>#DIV/0!</v>
      </c>
      <c r="L61" s="12" t="e">
        <f t="shared" si="3"/>
        <v>#DIV/0!</v>
      </c>
    </row>
    <row r="62" spans="3:12" x14ac:dyDescent="0.25">
      <c r="C62" s="1" t="s">
        <v>5</v>
      </c>
      <c r="D62" s="12">
        <f t="shared" ref="D62" si="5">D$3/D8</f>
        <v>30.724547653734479</v>
      </c>
      <c r="E62" s="12">
        <f t="shared" si="3"/>
        <v>31.852201945680132</v>
      </c>
      <c r="F62" s="12">
        <f t="shared" si="3"/>
        <v>32.662681036836766</v>
      </c>
      <c r="G62" s="12">
        <f t="shared" si="3"/>
        <v>29.779546141644705</v>
      </c>
      <c r="H62" s="12" t="e">
        <f t="shared" si="3"/>
        <v>#DIV/0!</v>
      </c>
      <c r="I62" s="12" t="e">
        <f t="shared" si="3"/>
        <v>#DIV/0!</v>
      </c>
      <c r="J62" s="12" t="e">
        <f t="shared" si="3"/>
        <v>#DIV/0!</v>
      </c>
      <c r="K62" s="12" t="e">
        <f t="shared" si="3"/>
        <v>#DIV/0!</v>
      </c>
      <c r="L62" s="12" t="e">
        <f t="shared" si="3"/>
        <v>#DIV/0!</v>
      </c>
    </row>
    <row r="63" spans="3:12" x14ac:dyDescent="0.25">
      <c r="C63" s="1" t="s">
        <v>6</v>
      </c>
      <c r="D63" s="12"/>
      <c r="E63" s="12">
        <f t="shared" si="3"/>
        <v>31.396539072392329</v>
      </c>
      <c r="F63" s="12">
        <f t="shared" si="3"/>
        <v>32.017159597720564</v>
      </c>
      <c r="G63" s="12">
        <f t="shared" si="3"/>
        <v>29.56302723505976</v>
      </c>
      <c r="H63" s="12" t="e">
        <f t="shared" si="3"/>
        <v>#DIV/0!</v>
      </c>
      <c r="I63" s="12" t="e">
        <f t="shared" si="3"/>
        <v>#DIV/0!</v>
      </c>
      <c r="J63" s="12" t="e">
        <f t="shared" si="3"/>
        <v>#DIV/0!</v>
      </c>
      <c r="K63" s="12" t="e">
        <f t="shared" si="3"/>
        <v>#DIV/0!</v>
      </c>
      <c r="L63" s="12" t="e">
        <f t="shared" si="3"/>
        <v>#DIV/0!</v>
      </c>
    </row>
    <row r="64" spans="3:12" x14ac:dyDescent="0.25">
      <c r="C64" s="1" t="s">
        <v>7</v>
      </c>
      <c r="D64" s="12"/>
      <c r="E64" s="12">
        <f t="shared" si="3"/>
        <v>31.686684784393819</v>
      </c>
      <c r="F64" s="12">
        <f t="shared" si="3"/>
        <v>32.29776732620892</v>
      </c>
      <c r="G64" s="12">
        <f t="shared" si="3"/>
        <v>29.665998183213272</v>
      </c>
      <c r="H64" s="12" t="e">
        <f t="shared" si="3"/>
        <v>#DIV/0!</v>
      </c>
      <c r="I64" s="12" t="e">
        <f t="shared" si="3"/>
        <v>#DIV/0!</v>
      </c>
      <c r="J64" s="12" t="e">
        <f t="shared" si="3"/>
        <v>#DIV/0!</v>
      </c>
      <c r="K64" s="12" t="e">
        <f t="shared" si="3"/>
        <v>#DIV/0!</v>
      </c>
      <c r="L64" s="12" t="e">
        <f t="shared" si="3"/>
        <v>#DIV/0!</v>
      </c>
    </row>
    <row r="65" spans="3:12" x14ac:dyDescent="0.25">
      <c r="C65" s="1" t="s">
        <v>8</v>
      </c>
      <c r="D65" s="12">
        <f t="shared" ref="D65" si="6">D$3/D11</f>
        <v>16.66009661324831</v>
      </c>
      <c r="E65" s="12">
        <f t="shared" si="3"/>
        <v>16.560749447352016</v>
      </c>
      <c r="F65" s="12">
        <f t="shared" si="3"/>
        <v>16.239378748798725</v>
      </c>
      <c r="G65" s="12">
        <f t="shared" si="3"/>
        <v>15.795925716491011</v>
      </c>
      <c r="H65" s="12" t="e">
        <f t="shared" si="3"/>
        <v>#DIV/0!</v>
      </c>
      <c r="I65" s="12" t="e">
        <f t="shared" si="3"/>
        <v>#DIV/0!</v>
      </c>
      <c r="J65" s="12" t="e">
        <f t="shared" si="3"/>
        <v>#DIV/0!</v>
      </c>
      <c r="K65" s="12" t="e">
        <f t="shared" si="3"/>
        <v>#DIV/0!</v>
      </c>
      <c r="L65" s="12" t="e">
        <f t="shared" si="3"/>
        <v>#DIV/0!</v>
      </c>
    </row>
    <row r="66" spans="3:12" x14ac:dyDescent="0.25">
      <c r="C66" s="1" t="s">
        <v>9</v>
      </c>
      <c r="D66" s="12">
        <f t="shared" ref="D66" si="7">D$3/D12</f>
        <v>4.0397989243920209</v>
      </c>
      <c r="E66" s="12">
        <f t="shared" si="3"/>
        <v>7.2509621567872315</v>
      </c>
      <c r="F66" s="12">
        <f t="shared" si="3"/>
        <v>12.077916836528898</v>
      </c>
      <c r="G66" s="12">
        <f t="shared" si="3"/>
        <v>17.71702095040532</v>
      </c>
      <c r="H66" s="12"/>
      <c r="I66" s="12" t="e">
        <f t="shared" si="3"/>
        <v>#DIV/0!</v>
      </c>
      <c r="J66" s="12" t="e">
        <f t="shared" si="3"/>
        <v>#DIV/0!</v>
      </c>
      <c r="K66" s="12" t="e">
        <f t="shared" si="3"/>
        <v>#DIV/0!</v>
      </c>
      <c r="L66" s="12" t="e">
        <f t="shared" si="3"/>
        <v>#DIV/0!</v>
      </c>
    </row>
    <row r="67" spans="3:12" x14ac:dyDescent="0.25">
      <c r="C67" s="1" t="s">
        <v>13</v>
      </c>
      <c r="D67" s="12">
        <f t="shared" ref="D67" si="8">D$3/D13</f>
        <v>16.737971798646665</v>
      </c>
      <c r="E67" s="12">
        <f t="shared" si="3"/>
        <v>16.594135980485607</v>
      </c>
      <c r="F67" s="12">
        <f t="shared" si="3"/>
        <v>16.321853767856847</v>
      </c>
      <c r="G67" s="12">
        <f t="shared" si="3"/>
        <v>15.917707210124853</v>
      </c>
      <c r="H67" s="12" t="e">
        <f t="shared" si="3"/>
        <v>#DIV/0!</v>
      </c>
      <c r="I67" s="12" t="e">
        <f t="shared" si="3"/>
        <v>#DIV/0!</v>
      </c>
      <c r="J67" s="12" t="e">
        <f t="shared" si="3"/>
        <v>#DIV/0!</v>
      </c>
      <c r="K67" s="12" t="e">
        <f t="shared" si="3"/>
        <v>#DIV/0!</v>
      </c>
      <c r="L67" s="12" t="e">
        <f t="shared" si="3"/>
        <v>#DIV/0!</v>
      </c>
    </row>
    <row r="68" spans="3:12" x14ac:dyDescent="0.25">
      <c r="C68" s="1" t="s">
        <v>10</v>
      </c>
      <c r="D68" s="12"/>
      <c r="E68" s="12">
        <f t="shared" si="3"/>
        <v>14.532356601425494</v>
      </c>
      <c r="F68" s="12">
        <f t="shared" si="3"/>
        <v>14.38866002222697</v>
      </c>
      <c r="G68" s="12">
        <f t="shared" si="3"/>
        <v>13.937797757841391</v>
      </c>
      <c r="H68" s="12" t="e">
        <f t="shared" si="3"/>
        <v>#DIV/0!</v>
      </c>
      <c r="I68" s="12" t="e">
        <f t="shared" si="3"/>
        <v>#DIV/0!</v>
      </c>
      <c r="J68" s="12" t="e">
        <f t="shared" si="3"/>
        <v>#DIV/0!</v>
      </c>
      <c r="K68" s="12" t="e">
        <f t="shared" si="3"/>
        <v>#DIV/0!</v>
      </c>
      <c r="L68" s="12" t="e">
        <f t="shared" si="3"/>
        <v>#DIV/0!</v>
      </c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9">
        <v>10</v>
      </c>
      <c r="E88" s="9">
        <v>20</v>
      </c>
      <c r="F88" s="9">
        <v>40</v>
      </c>
      <c r="G88" s="9">
        <v>80</v>
      </c>
      <c r="H88" s="9">
        <v>160</v>
      </c>
      <c r="I88" s="9">
        <v>320</v>
      </c>
      <c r="J88" s="4"/>
      <c r="K88" s="4"/>
      <c r="L88" s="4"/>
    </row>
    <row r="89" spans="3:12" x14ac:dyDescent="0.25">
      <c r="C89" s="1" t="s">
        <v>1</v>
      </c>
      <c r="D89" s="1">
        <v>283359.65897600004</v>
      </c>
      <c r="E89" s="1">
        <v>208658.18748500015</v>
      </c>
      <c r="F89" s="1">
        <v>5575468.6857099989</v>
      </c>
      <c r="G89" s="1">
        <v>1202611.8788399999</v>
      </c>
      <c r="H89" s="1"/>
      <c r="I89" s="1"/>
      <c r="J89" s="1"/>
      <c r="K89" s="1"/>
      <c r="L89" s="1"/>
    </row>
    <row r="90" spans="3:12" x14ac:dyDescent="0.25">
      <c r="C90" s="1" t="s">
        <v>2</v>
      </c>
      <c r="D90" s="1">
        <v>1398.6757460399999</v>
      </c>
      <c r="E90" s="1">
        <v>1716.6486126400005</v>
      </c>
      <c r="F90" s="1">
        <v>7377.3912300400007</v>
      </c>
      <c r="G90" s="1">
        <v>14446.001343039992</v>
      </c>
      <c r="H90" s="1"/>
      <c r="I90" s="1"/>
      <c r="J90" s="1"/>
      <c r="K90" s="1"/>
      <c r="L90" s="1"/>
    </row>
    <row r="91" spans="3:12" x14ac:dyDescent="0.25">
      <c r="C91" s="1" t="s">
        <v>4</v>
      </c>
      <c r="D91" s="1">
        <v>964.07762147840003</v>
      </c>
      <c r="E91" s="1">
        <v>767.79211016000033</v>
      </c>
      <c r="F91" s="1">
        <v>4013.0225100000002</v>
      </c>
      <c r="G91" s="1">
        <v>47968.228871960011</v>
      </c>
      <c r="H91" s="6"/>
      <c r="I91" s="1"/>
      <c r="J91" s="1"/>
      <c r="K91" s="1"/>
      <c r="L91" s="1"/>
    </row>
    <row r="92" spans="3:12" x14ac:dyDescent="0.25">
      <c r="C92" s="1" t="s">
        <v>11</v>
      </c>
      <c r="D92" s="1">
        <v>1739.3787974399997</v>
      </c>
      <c r="E92" s="1">
        <v>4166.122005440001</v>
      </c>
      <c r="F92" s="1">
        <v>4105.4809499599996</v>
      </c>
      <c r="G92" s="1">
        <v>20571.286701360004</v>
      </c>
      <c r="H92" s="1"/>
      <c r="I92" s="1"/>
      <c r="J92" s="1"/>
      <c r="K92" s="1"/>
      <c r="L92" s="1"/>
    </row>
    <row r="93" spans="3:12" x14ac:dyDescent="0.25">
      <c r="C93" s="1" t="s">
        <v>12</v>
      </c>
      <c r="D93" s="1">
        <v>159.21094189759998</v>
      </c>
      <c r="E93" s="1">
        <v>874.68851499999994</v>
      </c>
      <c r="F93" s="1">
        <v>3582.4584163599993</v>
      </c>
      <c r="G93" s="1">
        <v>19912.777202000005</v>
      </c>
      <c r="H93" s="1"/>
      <c r="I93" s="1"/>
      <c r="J93" s="1"/>
      <c r="K93" s="1"/>
      <c r="L93" s="1"/>
    </row>
    <row r="94" spans="3:12" x14ac:dyDescent="0.25">
      <c r="C94" s="1" t="s">
        <v>5</v>
      </c>
      <c r="D94" s="1">
        <v>216.58551105000006</v>
      </c>
      <c r="E94" s="1">
        <v>656.31974944000012</v>
      </c>
      <c r="F94" s="1">
        <v>788.33944583999983</v>
      </c>
      <c r="G94" s="1">
        <v>5074.7384579599993</v>
      </c>
      <c r="H94" s="1"/>
      <c r="I94" s="1"/>
      <c r="J94" s="1"/>
      <c r="K94" s="1"/>
      <c r="L94" s="1"/>
    </row>
    <row r="95" spans="3:12" x14ac:dyDescent="0.25">
      <c r="C95" s="1" t="s">
        <v>6</v>
      </c>
      <c r="D95" s="1"/>
      <c r="E95" s="1">
        <v>748.02947495999956</v>
      </c>
      <c r="F95" s="1">
        <v>2635.2015140400013</v>
      </c>
      <c r="G95" s="1">
        <v>8414.919058000005</v>
      </c>
      <c r="H95" s="1"/>
      <c r="I95" s="1"/>
      <c r="J95" s="1"/>
      <c r="K95" s="1"/>
      <c r="L95" s="4"/>
    </row>
    <row r="96" spans="3:12" x14ac:dyDescent="0.25">
      <c r="C96" s="1" t="s">
        <v>7</v>
      </c>
      <c r="D96" s="1"/>
      <c r="E96" s="1">
        <v>117.03164004000013</v>
      </c>
      <c r="F96" s="1">
        <v>470.81687475999991</v>
      </c>
      <c r="G96" s="1">
        <v>10232.247376160003</v>
      </c>
      <c r="H96" s="1"/>
      <c r="I96" s="1"/>
      <c r="J96" s="1"/>
      <c r="K96" s="1"/>
      <c r="L96" s="1"/>
    </row>
    <row r="97" spans="3:12" x14ac:dyDescent="0.25">
      <c r="C97" s="1" t="s">
        <v>8</v>
      </c>
      <c r="D97" s="1">
        <v>248.92593124000021</v>
      </c>
      <c r="E97" s="1">
        <v>55.028495040000024</v>
      </c>
      <c r="F97" s="1">
        <v>115.5872949999997</v>
      </c>
      <c r="G97" s="1">
        <v>7109.6441309999991</v>
      </c>
      <c r="H97" s="1"/>
      <c r="I97" s="1"/>
      <c r="J97" s="1"/>
      <c r="K97" s="1"/>
      <c r="L97" s="1"/>
    </row>
    <row r="98" spans="3:12" x14ac:dyDescent="0.25">
      <c r="C98" s="1" t="s">
        <v>9</v>
      </c>
      <c r="D98" s="1">
        <v>10833.327747439998</v>
      </c>
      <c r="E98" s="1">
        <v>2206.0787933599986</v>
      </c>
      <c r="F98" s="1">
        <v>2327.6502414400029</v>
      </c>
      <c r="G98" s="1">
        <v>16297.526058000005</v>
      </c>
      <c r="H98" s="1"/>
      <c r="I98" s="1"/>
      <c r="J98" s="1"/>
      <c r="K98" s="1"/>
      <c r="L98" s="1"/>
    </row>
    <row r="99" spans="3:12" x14ac:dyDescent="0.25">
      <c r="C99" s="1" t="s">
        <v>13</v>
      </c>
      <c r="D99" s="1">
        <v>146.85207996000005</v>
      </c>
      <c r="E99" s="1">
        <v>27.374082359999946</v>
      </c>
      <c r="F99" s="1">
        <v>101.97512764000025</v>
      </c>
      <c r="G99" s="1">
        <v>178.85193000000146</v>
      </c>
      <c r="H99" s="1"/>
      <c r="I99" s="1"/>
      <c r="J99" s="1"/>
      <c r="K99" s="1"/>
      <c r="L99" s="1"/>
    </row>
    <row r="100" spans="3:12" x14ac:dyDescent="0.25">
      <c r="C100" s="1" t="s">
        <v>10</v>
      </c>
      <c r="D100" s="1"/>
      <c r="E100" s="1">
        <v>36.025233999999976</v>
      </c>
      <c r="F100" s="1">
        <v>1340.0639744400007</v>
      </c>
      <c r="G100" s="1">
        <v>2213.2385609999938</v>
      </c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9">
        <v>10</v>
      </c>
      <c r="E111" s="9">
        <v>20</v>
      </c>
      <c r="F111" s="9">
        <v>40</v>
      </c>
      <c r="G111" s="9">
        <v>80</v>
      </c>
      <c r="H111" s="9">
        <v>160</v>
      </c>
      <c r="I111" s="9">
        <v>320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0">
        <v>147.55029419978814</v>
      </c>
      <c r="E112" s="10">
        <v>126.61605688398107</v>
      </c>
      <c r="F112" s="10">
        <v>654.50317803695236</v>
      </c>
      <c r="G112" s="10">
        <v>303.97216299364459</v>
      </c>
      <c r="H112" s="10"/>
      <c r="I112" s="10"/>
      <c r="J112" s="10"/>
      <c r="K112" s="1"/>
      <c r="L112" s="1"/>
    </row>
    <row r="113" spans="3:12" x14ac:dyDescent="0.25">
      <c r="C113" s="1" t="s">
        <v>2</v>
      </c>
      <c r="D113" s="10">
        <v>10.366438873583601</v>
      </c>
      <c r="E113" s="10">
        <v>11.484491551930217</v>
      </c>
      <c r="F113" s="10">
        <v>23.807976037169418</v>
      </c>
      <c r="G113" s="10">
        <v>33.315389464757104</v>
      </c>
      <c r="H113" s="10"/>
      <c r="I113" s="10"/>
      <c r="J113" s="10"/>
      <c r="K113" s="1"/>
      <c r="L113" s="1"/>
    </row>
    <row r="114" spans="3:12" x14ac:dyDescent="0.25">
      <c r="C114" s="1" t="s">
        <v>4</v>
      </c>
      <c r="D114" s="10">
        <v>8.6065098508877806</v>
      </c>
      <c r="E114" s="10">
        <v>7.6805600972724086</v>
      </c>
      <c r="F114" s="10">
        <v>17.559286588250675</v>
      </c>
      <c r="G114" s="10">
        <v>60.708277530254726</v>
      </c>
      <c r="H114" s="11"/>
      <c r="I114" s="10"/>
      <c r="J114" s="10"/>
      <c r="K114" s="1"/>
      <c r="L114" s="1"/>
    </row>
    <row r="115" spans="3:12" x14ac:dyDescent="0.25">
      <c r="C115" s="1" t="s">
        <v>11</v>
      </c>
      <c r="D115" s="10">
        <v>11.560274727051691</v>
      </c>
      <c r="E115" s="10">
        <v>17.891100746515466</v>
      </c>
      <c r="F115" s="10">
        <v>17.760414194137663</v>
      </c>
      <c r="G115" s="10">
        <v>39.755919054134459</v>
      </c>
      <c r="H115" s="10"/>
      <c r="I115" s="10"/>
      <c r="J115" s="10"/>
      <c r="K115" s="1"/>
      <c r="L115" s="1"/>
    </row>
    <row r="116" spans="3:12" x14ac:dyDescent="0.25">
      <c r="C116" s="1" t="s">
        <v>12</v>
      </c>
      <c r="D116" s="10">
        <v>3.4974984042707438</v>
      </c>
      <c r="E116" s="10">
        <v>8.1978087306596734</v>
      </c>
      <c r="F116" s="10">
        <v>16.590583023081841</v>
      </c>
      <c r="G116" s="10">
        <v>39.114428258432511</v>
      </c>
      <c r="H116" s="10"/>
      <c r="I116" s="10"/>
      <c r="J116" s="10"/>
      <c r="K116" s="1"/>
      <c r="L116" s="1"/>
    </row>
    <row r="117" spans="3:12" x14ac:dyDescent="0.25">
      <c r="C117" s="1" t="s">
        <v>5</v>
      </c>
      <c r="D117" s="10">
        <v>4.079301163801663</v>
      </c>
      <c r="E117" s="10">
        <v>7.1011519480274528</v>
      </c>
      <c r="F117" s="10">
        <v>7.7826535515066366</v>
      </c>
      <c r="G117" s="10">
        <v>19.745944019012679</v>
      </c>
      <c r="H117" s="10"/>
      <c r="I117" s="10"/>
      <c r="J117" s="10"/>
      <c r="K117" s="1"/>
      <c r="L117" s="1"/>
    </row>
    <row r="118" spans="3:12" x14ac:dyDescent="0.25">
      <c r="C118" s="1" t="s">
        <v>6</v>
      </c>
      <c r="D118" s="10"/>
      <c r="E118" s="10">
        <v>7.5810685671695834</v>
      </c>
      <c r="F118" s="10">
        <v>14.229118128918648</v>
      </c>
      <c r="G118" s="10">
        <v>25.427053723627839</v>
      </c>
      <c r="H118" s="10"/>
      <c r="I118" s="10"/>
      <c r="J118" s="10"/>
      <c r="K118" s="1"/>
      <c r="L118" s="4"/>
    </row>
    <row r="119" spans="3:12" x14ac:dyDescent="0.25">
      <c r="C119" s="1" t="s">
        <v>7</v>
      </c>
      <c r="D119" s="10"/>
      <c r="E119" s="10">
        <v>2.9986288479158754</v>
      </c>
      <c r="F119" s="10">
        <v>6.0144660711953737</v>
      </c>
      <c r="G119" s="10">
        <v>28.038616770538546</v>
      </c>
      <c r="H119" s="10"/>
      <c r="I119" s="10"/>
      <c r="J119" s="10"/>
      <c r="K119" s="1"/>
      <c r="L119" s="1"/>
    </row>
    <row r="120" spans="3:12" x14ac:dyDescent="0.25">
      <c r="C120" s="1" t="s">
        <v>8</v>
      </c>
      <c r="D120" s="10">
        <v>4.3732684743829404</v>
      </c>
      <c r="E120" s="10">
        <v>2.0561977849694522</v>
      </c>
      <c r="F120" s="10">
        <v>2.9800676249776572</v>
      </c>
      <c r="G120" s="10">
        <v>23.371952804012587</v>
      </c>
      <c r="H120" s="10"/>
      <c r="I120" s="10"/>
      <c r="J120" s="10"/>
      <c r="K120" s="1"/>
      <c r="L120" s="1"/>
    </row>
    <row r="121" spans="3:12" x14ac:dyDescent="0.25">
      <c r="C121" s="1" t="s">
        <v>9</v>
      </c>
      <c r="D121" s="10">
        <v>28.850411392063545</v>
      </c>
      <c r="E121" s="10">
        <v>13.019118474437331</v>
      </c>
      <c r="F121" s="10">
        <v>13.373033438615126</v>
      </c>
      <c r="G121" s="10">
        <v>35.38603569331066</v>
      </c>
      <c r="H121" s="10"/>
      <c r="I121" s="10"/>
      <c r="J121" s="10"/>
      <c r="K121" s="1"/>
      <c r="L121" s="1"/>
    </row>
    <row r="122" spans="3:12" x14ac:dyDescent="0.25">
      <c r="C122" s="1" t="s">
        <v>13</v>
      </c>
      <c r="D122" s="10">
        <v>3.3590086346252108</v>
      </c>
      <c r="E122" s="10">
        <v>1.4502432540382719</v>
      </c>
      <c r="F122" s="10">
        <v>2.7990986061295695</v>
      </c>
      <c r="G122" s="10">
        <v>3.7069598710749636</v>
      </c>
      <c r="H122" s="10"/>
      <c r="I122" s="10"/>
      <c r="J122" s="10"/>
      <c r="K122" s="1"/>
      <c r="L122" s="1"/>
    </row>
    <row r="123" spans="3:12" x14ac:dyDescent="0.25">
      <c r="C123" s="1" t="s">
        <v>10</v>
      </c>
      <c r="D123" s="10"/>
      <c r="E123" s="10">
        <v>1.6636979229078812</v>
      </c>
      <c r="F123" s="10">
        <v>10.146910627583852</v>
      </c>
      <c r="G123" s="10">
        <v>13.040227955014876</v>
      </c>
      <c r="H123" s="10"/>
      <c r="I123" s="10"/>
      <c r="J123" s="10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4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4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4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4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D5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4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4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9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9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9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zoomScale="115" zoomScaleNormal="115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D58" sqref="D58:F64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2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</row>
    <row r="2" spans="1:12" x14ac:dyDescent="0.25">
      <c r="B2" t="s">
        <v>0</v>
      </c>
      <c r="C2" s="1"/>
      <c r="D2" s="9">
        <v>8</v>
      </c>
      <c r="E2" s="9">
        <v>16</v>
      </c>
      <c r="F2" s="9">
        <v>32</v>
      </c>
      <c r="G2" s="9"/>
      <c r="H2" s="9"/>
      <c r="I2" s="9"/>
      <c r="J2" s="9"/>
      <c r="K2" s="9"/>
      <c r="L2" s="9"/>
    </row>
    <row r="3" spans="1:12" x14ac:dyDescent="0.25">
      <c r="A3">
        <v>1</v>
      </c>
      <c r="C3" s="1" t="s">
        <v>1</v>
      </c>
      <c r="D3" s="10">
        <v>169450.7</v>
      </c>
      <c r="E3" s="10">
        <v>346403.18367346941</v>
      </c>
      <c r="F3" s="10">
        <v>725121.66</v>
      </c>
      <c r="G3" s="10"/>
      <c r="H3" s="10"/>
      <c r="I3" s="10"/>
      <c r="J3" s="10"/>
      <c r="K3" s="10"/>
      <c r="L3" s="10"/>
    </row>
    <row r="4" spans="1:12" x14ac:dyDescent="0.25">
      <c r="C4" s="1" t="s">
        <v>2</v>
      </c>
      <c r="D4" s="10">
        <v>5066.7535999999982</v>
      </c>
      <c r="E4" s="10">
        <v>7238.9484000000011</v>
      </c>
      <c r="F4" s="10">
        <v>21937.48</v>
      </c>
      <c r="G4" s="10"/>
      <c r="H4" s="10"/>
      <c r="I4" s="10"/>
      <c r="J4" s="10"/>
      <c r="K4" s="10"/>
      <c r="L4" s="10"/>
    </row>
    <row r="5" spans="1:12" x14ac:dyDescent="0.25">
      <c r="C5" s="1" t="s">
        <v>4</v>
      </c>
      <c r="D5" s="10">
        <v>3687.1821999999993</v>
      </c>
      <c r="E5" s="10">
        <v>7295.7897999999996</v>
      </c>
      <c r="F5" s="10">
        <v>14808.391999999998</v>
      </c>
      <c r="G5" s="10"/>
      <c r="H5" s="11"/>
      <c r="I5" s="10"/>
      <c r="J5" s="10"/>
      <c r="K5" s="10"/>
      <c r="L5" s="10"/>
    </row>
    <row r="6" spans="1:12" x14ac:dyDescent="0.25">
      <c r="C6" s="1" t="s">
        <v>11</v>
      </c>
      <c r="D6" s="10">
        <v>5014.2218000000003</v>
      </c>
      <c r="E6" s="10">
        <v>7224.1119999999983</v>
      </c>
      <c r="F6" s="10">
        <v>21809.186000000002</v>
      </c>
      <c r="G6" s="10"/>
      <c r="H6" s="10"/>
      <c r="I6" s="10"/>
      <c r="J6" s="10"/>
      <c r="K6" s="10"/>
      <c r="L6" s="10"/>
    </row>
    <row r="7" spans="1:12" x14ac:dyDescent="0.25">
      <c r="C7" s="1" t="s">
        <v>12</v>
      </c>
      <c r="D7" s="10">
        <v>3435.3452000000016</v>
      </c>
      <c r="E7" s="10">
        <v>14552.846000000001</v>
      </c>
      <c r="F7" s="10">
        <v>14570.165999999999</v>
      </c>
      <c r="G7" s="10"/>
      <c r="H7" s="10"/>
      <c r="I7" s="10"/>
      <c r="J7" s="10"/>
      <c r="K7" s="10"/>
      <c r="L7" s="10"/>
    </row>
    <row r="8" spans="1:12" x14ac:dyDescent="0.25">
      <c r="C8" s="1" t="s">
        <v>5</v>
      </c>
      <c r="D8" s="10">
        <v>7780.8096000000005</v>
      </c>
      <c r="E8" s="10">
        <v>14455.903999999999</v>
      </c>
      <c r="F8" s="10">
        <v>39537.840000000004</v>
      </c>
      <c r="G8" s="10"/>
      <c r="H8" s="10"/>
      <c r="I8" s="10"/>
      <c r="J8" s="10"/>
      <c r="K8" s="10"/>
      <c r="L8" s="10"/>
    </row>
    <row r="9" spans="1:12" x14ac:dyDescent="0.25">
      <c r="C9" s="1" t="s">
        <v>6</v>
      </c>
      <c r="D9" s="10">
        <v>7597.5917999999992</v>
      </c>
      <c r="E9" s="9">
        <v>14385.483999999999</v>
      </c>
      <c r="F9" s="10">
        <v>38834.561999999991</v>
      </c>
      <c r="G9" s="10"/>
      <c r="H9" s="10"/>
      <c r="I9" s="10"/>
      <c r="J9" s="10"/>
      <c r="K9" s="10"/>
      <c r="L9" s="9"/>
    </row>
    <row r="10" spans="1:12" x14ac:dyDescent="0.25">
      <c r="C10" s="1" t="s">
        <v>7</v>
      </c>
      <c r="D10" s="10">
        <v>7623.8973999999998</v>
      </c>
      <c r="E10" s="10">
        <v>14368.898000000003</v>
      </c>
      <c r="F10" s="10">
        <v>38508.324000000001</v>
      </c>
      <c r="G10" s="10"/>
      <c r="H10" s="10"/>
      <c r="I10" s="10"/>
      <c r="J10" s="10"/>
      <c r="K10" s="10"/>
      <c r="L10" s="10"/>
    </row>
    <row r="11" spans="1:12" x14ac:dyDescent="0.25">
      <c r="C11" s="1" t="s">
        <v>8</v>
      </c>
      <c r="D11" s="10">
        <v>9367.5429999999997</v>
      </c>
      <c r="E11" s="10">
        <v>19058.434000000001</v>
      </c>
      <c r="F11" s="10">
        <v>38053.311999999991</v>
      </c>
      <c r="G11" s="10"/>
      <c r="H11" s="10"/>
      <c r="I11" s="10"/>
      <c r="J11" s="10"/>
      <c r="K11" s="10"/>
      <c r="L11" s="10"/>
    </row>
    <row r="12" spans="1:12" x14ac:dyDescent="0.25">
      <c r="C12" s="1" t="s">
        <v>9</v>
      </c>
      <c r="D12" s="10">
        <v>53067.760000000009</v>
      </c>
      <c r="E12" s="10">
        <v>63940.110000000008</v>
      </c>
      <c r="F12" s="10">
        <v>64165.308000000012</v>
      </c>
      <c r="G12" s="10"/>
      <c r="H12" s="10"/>
      <c r="I12" s="10"/>
      <c r="J12" s="10"/>
      <c r="K12" s="10"/>
      <c r="L12" s="10"/>
    </row>
    <row r="13" spans="1:12" x14ac:dyDescent="0.25">
      <c r="C13" s="1" t="s">
        <v>13</v>
      </c>
      <c r="D13" s="10">
        <v>9142.8876000000037</v>
      </c>
      <c r="E13" s="10">
        <v>18754.625999999997</v>
      </c>
      <c r="F13" s="10">
        <v>38021.898000000016</v>
      </c>
      <c r="G13" s="10"/>
      <c r="H13" s="10"/>
      <c r="I13" s="10"/>
      <c r="J13" s="10"/>
      <c r="K13" s="10"/>
      <c r="L13" s="10"/>
    </row>
    <row r="14" spans="1:12" x14ac:dyDescent="0.25">
      <c r="C14" s="1" t="s">
        <v>10</v>
      </c>
      <c r="D14" s="10">
        <v>10499.87</v>
      </c>
      <c r="E14" s="10">
        <v>20981.817999999999</v>
      </c>
      <c r="F14" s="10">
        <v>45930.825999999994</v>
      </c>
      <c r="G14" s="10"/>
      <c r="H14" s="10"/>
      <c r="I14" s="10"/>
      <c r="J14" s="10"/>
      <c r="K14" s="10"/>
      <c r="L14" s="10"/>
    </row>
    <row r="15" spans="1:12" x14ac:dyDescent="0.25">
      <c r="C15" s="1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C16" s="1"/>
      <c r="D16" s="10"/>
      <c r="E16" s="10"/>
      <c r="F16" s="10"/>
      <c r="G16" s="10"/>
      <c r="H16" s="10"/>
      <c r="I16" s="10"/>
      <c r="J16" s="10"/>
      <c r="K16" s="10"/>
      <c r="L16" s="10"/>
    </row>
    <row r="17" spans="3:12" x14ac:dyDescent="0.25">
      <c r="C17" s="1"/>
      <c r="D17" s="10"/>
      <c r="E17" s="10"/>
      <c r="F17" s="10"/>
      <c r="G17" s="10"/>
      <c r="H17" s="10"/>
      <c r="I17" s="10"/>
      <c r="J17" s="10"/>
      <c r="K17" s="10"/>
      <c r="L17" s="10"/>
    </row>
    <row r="18" spans="3:12" x14ac:dyDescent="0.25">
      <c r="C18" s="1"/>
      <c r="D18" s="10"/>
      <c r="E18" s="10"/>
      <c r="F18" s="10"/>
      <c r="G18" s="10"/>
      <c r="H18" s="10"/>
      <c r="I18" s="10"/>
      <c r="J18" s="10"/>
      <c r="K18" s="10"/>
      <c r="L18" s="10"/>
    </row>
    <row r="19" spans="3:12" x14ac:dyDescent="0.25">
      <c r="C19" s="1"/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/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/>
      <c r="D21" s="10"/>
      <c r="E21" s="10"/>
      <c r="F21" s="10"/>
      <c r="G21" s="10"/>
      <c r="H21" s="10"/>
      <c r="I21" s="10"/>
      <c r="J21" s="10"/>
      <c r="K21" s="10"/>
      <c r="L21" s="10"/>
    </row>
    <row r="30" spans="3:12" x14ac:dyDescent="0.25">
      <c r="C30" s="1">
        <v>50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9">
        <v>8</v>
      </c>
      <c r="E31" s="9">
        <v>16</v>
      </c>
      <c r="F31" s="9">
        <v>32</v>
      </c>
      <c r="G31" s="9"/>
      <c r="H31" s="9"/>
      <c r="I31" s="9"/>
      <c r="J31" s="4"/>
      <c r="K31" s="4"/>
      <c r="L31" s="4"/>
    </row>
    <row r="32" spans="3:12" x14ac:dyDescent="0.25">
      <c r="C32" s="1" t="s">
        <v>1</v>
      </c>
      <c r="D32" s="13">
        <f>D3/D$2</f>
        <v>21181.337500000001</v>
      </c>
      <c r="E32" s="13">
        <f t="shared" ref="E32:L32" si="0">E3/E$2</f>
        <v>21650.198979591838</v>
      </c>
      <c r="F32" s="5">
        <f t="shared" si="0"/>
        <v>22660.051875000001</v>
      </c>
      <c r="G32" s="5" t="e">
        <f t="shared" si="0"/>
        <v>#DIV/0!</v>
      </c>
      <c r="H32" s="5" t="e">
        <f t="shared" si="0"/>
        <v>#DIV/0!</v>
      </c>
      <c r="I32" s="5" t="e">
        <f t="shared" si="0"/>
        <v>#DIV/0!</v>
      </c>
      <c r="J32" s="5" t="e">
        <f t="shared" si="0"/>
        <v>#DIV/0!</v>
      </c>
      <c r="K32" s="5" t="e">
        <f t="shared" si="0"/>
        <v>#DIV/0!</v>
      </c>
      <c r="L32" s="5" t="e">
        <f t="shared" si="0"/>
        <v>#DIV/0!</v>
      </c>
    </row>
    <row r="33" spans="3:12" x14ac:dyDescent="0.25">
      <c r="C33" s="1" t="s">
        <v>2</v>
      </c>
      <c r="D33" s="13">
        <f t="shared" ref="D33:L43" si="1">D4/D$2</f>
        <v>633.34419999999977</v>
      </c>
      <c r="E33" s="13">
        <f t="shared" si="1"/>
        <v>452.43427500000007</v>
      </c>
      <c r="F33" s="5">
        <f t="shared" si="1"/>
        <v>685.54624999999999</v>
      </c>
      <c r="G33" s="5" t="e">
        <f t="shared" si="1"/>
        <v>#DIV/0!</v>
      </c>
      <c r="H33" s="5" t="e">
        <f t="shared" si="1"/>
        <v>#DIV/0!</v>
      </c>
      <c r="I33" s="5" t="e">
        <f t="shared" si="1"/>
        <v>#DIV/0!</v>
      </c>
      <c r="J33" s="5" t="e">
        <f t="shared" si="1"/>
        <v>#DIV/0!</v>
      </c>
      <c r="K33" s="5" t="e">
        <f t="shared" si="1"/>
        <v>#DIV/0!</v>
      </c>
      <c r="L33" s="5" t="e">
        <f t="shared" si="1"/>
        <v>#DIV/0!</v>
      </c>
    </row>
    <row r="34" spans="3:12" x14ac:dyDescent="0.25">
      <c r="C34" s="1" t="s">
        <v>4</v>
      </c>
      <c r="D34" s="13">
        <f t="shared" si="1"/>
        <v>460.89777499999991</v>
      </c>
      <c r="E34" s="13">
        <f t="shared" si="1"/>
        <v>455.98686249999997</v>
      </c>
      <c r="F34" s="5">
        <f t="shared" si="1"/>
        <v>462.76224999999994</v>
      </c>
      <c r="G34" s="5" t="e">
        <f t="shared" si="1"/>
        <v>#DIV/0!</v>
      </c>
      <c r="H34" s="5" t="e">
        <f t="shared" si="1"/>
        <v>#DIV/0!</v>
      </c>
      <c r="I34" s="5" t="e">
        <f t="shared" si="1"/>
        <v>#DIV/0!</v>
      </c>
      <c r="J34" s="5" t="e">
        <f t="shared" si="1"/>
        <v>#DIV/0!</v>
      </c>
      <c r="K34" s="5" t="e">
        <f t="shared" si="1"/>
        <v>#DIV/0!</v>
      </c>
      <c r="L34" s="5" t="e">
        <f t="shared" si="1"/>
        <v>#DIV/0!</v>
      </c>
    </row>
    <row r="35" spans="3:12" x14ac:dyDescent="0.25">
      <c r="C35" s="1" t="s">
        <v>11</v>
      </c>
      <c r="D35" s="13">
        <f t="shared" si="1"/>
        <v>626.77772500000003</v>
      </c>
      <c r="E35" s="13">
        <f t="shared" si="1"/>
        <v>451.50699999999989</v>
      </c>
      <c r="F35" s="5">
        <f t="shared" si="1"/>
        <v>681.53706250000005</v>
      </c>
      <c r="G35" s="5" t="e">
        <f t="shared" si="1"/>
        <v>#DIV/0!</v>
      </c>
      <c r="H35" s="5" t="e">
        <f t="shared" si="1"/>
        <v>#DIV/0!</v>
      </c>
      <c r="I35" s="5" t="e">
        <f t="shared" si="1"/>
        <v>#DIV/0!</v>
      </c>
      <c r="J35" s="5" t="e">
        <f t="shared" si="1"/>
        <v>#DIV/0!</v>
      </c>
      <c r="K35" s="5" t="e">
        <f t="shared" si="1"/>
        <v>#DIV/0!</v>
      </c>
      <c r="L35" s="5" t="e">
        <f t="shared" si="1"/>
        <v>#DIV/0!</v>
      </c>
    </row>
    <row r="36" spans="3:12" x14ac:dyDescent="0.25">
      <c r="C36" s="1" t="s">
        <v>12</v>
      </c>
      <c r="D36" s="13">
        <f t="shared" si="1"/>
        <v>429.4181500000002</v>
      </c>
      <c r="E36" s="13">
        <f t="shared" si="1"/>
        <v>909.55287500000009</v>
      </c>
      <c r="F36" s="5">
        <f t="shared" si="1"/>
        <v>455.31768749999998</v>
      </c>
      <c r="G36" s="5" t="e">
        <f t="shared" si="1"/>
        <v>#DIV/0!</v>
      </c>
      <c r="H36" s="5" t="e">
        <f t="shared" si="1"/>
        <v>#DIV/0!</v>
      </c>
      <c r="I36" s="5" t="e">
        <f t="shared" si="1"/>
        <v>#DIV/0!</v>
      </c>
      <c r="J36" s="5" t="e">
        <f t="shared" si="1"/>
        <v>#DIV/0!</v>
      </c>
      <c r="K36" s="5" t="e">
        <f t="shared" si="1"/>
        <v>#DIV/0!</v>
      </c>
      <c r="L36" s="5" t="e">
        <f t="shared" si="1"/>
        <v>#DIV/0!</v>
      </c>
    </row>
    <row r="37" spans="3:12" x14ac:dyDescent="0.25">
      <c r="C37" s="1" t="s">
        <v>5</v>
      </c>
      <c r="D37" s="13">
        <f t="shared" si="1"/>
        <v>972.60120000000006</v>
      </c>
      <c r="E37" s="13">
        <f t="shared" si="1"/>
        <v>903.49399999999991</v>
      </c>
      <c r="F37" s="5">
        <f t="shared" si="1"/>
        <v>1235.5575000000001</v>
      </c>
      <c r="G37" s="5" t="e">
        <f t="shared" si="1"/>
        <v>#DIV/0!</v>
      </c>
      <c r="H37" s="5" t="e">
        <f t="shared" si="1"/>
        <v>#DIV/0!</v>
      </c>
      <c r="I37" s="5" t="e">
        <f t="shared" si="1"/>
        <v>#DIV/0!</v>
      </c>
      <c r="J37" s="5" t="e">
        <f t="shared" si="1"/>
        <v>#DIV/0!</v>
      </c>
      <c r="K37" s="5" t="e">
        <f t="shared" si="1"/>
        <v>#DIV/0!</v>
      </c>
      <c r="L37" s="5" t="e">
        <f t="shared" si="1"/>
        <v>#DIV/0!</v>
      </c>
    </row>
    <row r="38" spans="3:12" x14ac:dyDescent="0.25">
      <c r="C38" s="1" t="s">
        <v>6</v>
      </c>
      <c r="D38" s="13">
        <f t="shared" si="1"/>
        <v>949.6989749999999</v>
      </c>
      <c r="E38" s="13">
        <f t="shared" si="1"/>
        <v>899.09274999999991</v>
      </c>
      <c r="F38" s="5">
        <f t="shared" si="1"/>
        <v>1213.5800624999997</v>
      </c>
      <c r="G38" s="5" t="e">
        <f t="shared" si="1"/>
        <v>#DIV/0!</v>
      </c>
      <c r="H38" s="5" t="e">
        <f t="shared" si="1"/>
        <v>#DIV/0!</v>
      </c>
      <c r="I38" s="5" t="e">
        <f t="shared" si="1"/>
        <v>#DIV/0!</v>
      </c>
      <c r="J38" s="5" t="e">
        <f t="shared" si="1"/>
        <v>#DIV/0!</v>
      </c>
      <c r="K38" s="5" t="e">
        <f t="shared" si="1"/>
        <v>#DIV/0!</v>
      </c>
      <c r="L38" s="5" t="e">
        <f t="shared" si="1"/>
        <v>#DIV/0!</v>
      </c>
    </row>
    <row r="39" spans="3:12" x14ac:dyDescent="0.25">
      <c r="C39" s="1" t="s">
        <v>7</v>
      </c>
      <c r="D39" s="13">
        <f t="shared" si="1"/>
        <v>952.98717499999998</v>
      </c>
      <c r="E39" s="13">
        <f t="shared" si="1"/>
        <v>898.05612500000018</v>
      </c>
      <c r="F39" s="5">
        <f t="shared" si="1"/>
        <v>1203.385125</v>
      </c>
      <c r="G39" s="5" t="e">
        <f t="shared" si="1"/>
        <v>#DIV/0!</v>
      </c>
      <c r="H39" s="5" t="e">
        <f t="shared" si="1"/>
        <v>#DIV/0!</v>
      </c>
      <c r="I39" s="5" t="e">
        <f t="shared" si="1"/>
        <v>#DIV/0!</v>
      </c>
      <c r="J39" s="5" t="e">
        <f t="shared" si="1"/>
        <v>#DIV/0!</v>
      </c>
      <c r="K39" s="5" t="e">
        <f t="shared" si="1"/>
        <v>#DIV/0!</v>
      </c>
      <c r="L39" s="5" t="e">
        <f t="shared" si="1"/>
        <v>#DIV/0!</v>
      </c>
    </row>
    <row r="40" spans="3:12" x14ac:dyDescent="0.25">
      <c r="C40" s="1" t="s">
        <v>8</v>
      </c>
      <c r="D40" s="13">
        <f t="shared" si="1"/>
        <v>1170.942875</v>
      </c>
      <c r="E40" s="13">
        <f t="shared" si="1"/>
        <v>1191.1521250000001</v>
      </c>
      <c r="F40" s="5">
        <f t="shared" si="1"/>
        <v>1189.1659999999997</v>
      </c>
      <c r="G40" s="5" t="e">
        <f t="shared" si="1"/>
        <v>#DIV/0!</v>
      </c>
      <c r="H40" s="5" t="e">
        <f t="shared" si="1"/>
        <v>#DIV/0!</v>
      </c>
      <c r="I40" s="5" t="e">
        <f t="shared" si="1"/>
        <v>#DIV/0!</v>
      </c>
      <c r="J40" s="5" t="e">
        <f t="shared" si="1"/>
        <v>#DIV/0!</v>
      </c>
      <c r="K40" s="5" t="e">
        <f t="shared" si="1"/>
        <v>#DIV/0!</v>
      </c>
      <c r="L40" s="5" t="e">
        <f t="shared" si="1"/>
        <v>#DIV/0!</v>
      </c>
    </row>
    <row r="41" spans="3:12" x14ac:dyDescent="0.25">
      <c r="C41" s="1" t="s">
        <v>9</v>
      </c>
      <c r="D41" s="13">
        <f t="shared" si="1"/>
        <v>6633.4700000000012</v>
      </c>
      <c r="E41" s="13">
        <f t="shared" si="1"/>
        <v>3996.2568750000005</v>
      </c>
      <c r="F41" s="5">
        <f t="shared" si="1"/>
        <v>2005.1658750000004</v>
      </c>
      <c r="G41" s="5" t="e">
        <f t="shared" si="1"/>
        <v>#DIV/0!</v>
      </c>
      <c r="H41" s="5"/>
      <c r="I41" s="5" t="e">
        <f t="shared" si="1"/>
        <v>#DIV/0!</v>
      </c>
      <c r="J41" s="5" t="e">
        <f t="shared" si="1"/>
        <v>#DIV/0!</v>
      </c>
      <c r="K41" s="5" t="e">
        <f t="shared" si="1"/>
        <v>#DIV/0!</v>
      </c>
      <c r="L41" s="5" t="e">
        <f t="shared" si="1"/>
        <v>#DIV/0!</v>
      </c>
    </row>
    <row r="42" spans="3:12" x14ac:dyDescent="0.25">
      <c r="C42" s="1" t="s">
        <v>13</v>
      </c>
      <c r="D42" s="13">
        <f t="shared" si="1"/>
        <v>1142.8609500000005</v>
      </c>
      <c r="E42" s="13">
        <f t="shared" si="1"/>
        <v>1172.1641249999998</v>
      </c>
      <c r="F42" s="5">
        <f t="shared" si="1"/>
        <v>1188.1843125000005</v>
      </c>
      <c r="G42" s="5" t="e">
        <f t="shared" si="1"/>
        <v>#DIV/0!</v>
      </c>
      <c r="H42" s="5" t="e">
        <f t="shared" si="1"/>
        <v>#DIV/0!</v>
      </c>
      <c r="I42" s="5" t="e">
        <f t="shared" si="1"/>
        <v>#DIV/0!</v>
      </c>
      <c r="J42" s="5" t="e">
        <f t="shared" si="1"/>
        <v>#DIV/0!</v>
      </c>
      <c r="K42" s="5" t="e">
        <f t="shared" si="1"/>
        <v>#DIV/0!</v>
      </c>
      <c r="L42" s="5" t="e">
        <f t="shared" si="1"/>
        <v>#DIV/0!</v>
      </c>
    </row>
    <row r="43" spans="3:12" x14ac:dyDescent="0.25">
      <c r="C43" s="1" t="s">
        <v>10</v>
      </c>
      <c r="D43" s="13">
        <f t="shared" si="1"/>
        <v>1312.4837500000001</v>
      </c>
      <c r="E43" s="13">
        <f t="shared" si="1"/>
        <v>1311.363625</v>
      </c>
      <c r="F43" s="5">
        <f t="shared" si="1"/>
        <v>1435.3383124999998</v>
      </c>
      <c r="G43" s="5" t="e">
        <f t="shared" si="1"/>
        <v>#DIV/0!</v>
      </c>
      <c r="H43" s="5" t="e">
        <f t="shared" si="1"/>
        <v>#DIV/0!</v>
      </c>
      <c r="I43" s="5" t="e">
        <f t="shared" si="1"/>
        <v>#DIV/0!</v>
      </c>
      <c r="J43" s="5" t="e">
        <f t="shared" si="1"/>
        <v>#DIV/0!</v>
      </c>
      <c r="K43" s="5" t="e">
        <f t="shared" si="1"/>
        <v>#DIV/0!</v>
      </c>
      <c r="L43" s="5" t="e">
        <f t="shared" si="1"/>
        <v>#DIV/0!</v>
      </c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5" spans="3:12" x14ac:dyDescent="0.25">
      <c r="C55" s="1">
        <v>50</v>
      </c>
      <c r="D55" s="2">
        <v>2</v>
      </c>
      <c r="E55" s="3">
        <v>4</v>
      </c>
      <c r="F55" s="2">
        <v>8</v>
      </c>
      <c r="G55" s="2">
        <v>16</v>
      </c>
      <c r="H55" s="2">
        <v>32</v>
      </c>
      <c r="I55" s="2">
        <v>64</v>
      </c>
      <c r="J55" s="2">
        <v>128</v>
      </c>
      <c r="K55" s="2">
        <v>256</v>
      </c>
      <c r="L55" s="2">
        <v>512</v>
      </c>
    </row>
    <row r="56" spans="3:12" x14ac:dyDescent="0.25">
      <c r="C56" s="1"/>
      <c r="D56" s="9">
        <v>8</v>
      </c>
      <c r="E56" s="9">
        <v>16</v>
      </c>
      <c r="F56" s="9">
        <v>32</v>
      </c>
      <c r="G56" s="9"/>
      <c r="H56" s="9"/>
      <c r="I56" s="9"/>
      <c r="J56" s="4"/>
      <c r="K56" s="4"/>
      <c r="L56" s="4"/>
    </row>
    <row r="57" spans="3:12" x14ac:dyDescent="0.25">
      <c r="C57" s="1" t="s">
        <v>1</v>
      </c>
      <c r="D57" s="12">
        <f>D$3/D3</f>
        <v>1</v>
      </c>
      <c r="E57" s="12">
        <f t="shared" ref="E57:L58" si="2">E$3/E3</f>
        <v>1</v>
      </c>
      <c r="F57" s="12">
        <f t="shared" si="2"/>
        <v>1</v>
      </c>
      <c r="G57" s="12" t="e">
        <f t="shared" si="2"/>
        <v>#DIV/0!</v>
      </c>
      <c r="H57" s="12" t="e">
        <f t="shared" si="2"/>
        <v>#DIV/0!</v>
      </c>
      <c r="I57" s="12" t="e">
        <f t="shared" si="2"/>
        <v>#DIV/0!</v>
      </c>
      <c r="J57" s="12" t="e">
        <f t="shared" si="2"/>
        <v>#DIV/0!</v>
      </c>
      <c r="K57" s="12" t="e">
        <f t="shared" si="2"/>
        <v>#DIV/0!</v>
      </c>
      <c r="L57" s="12" t="e">
        <f t="shared" si="2"/>
        <v>#DIV/0!</v>
      </c>
    </row>
    <row r="58" spans="3:12" x14ac:dyDescent="0.25">
      <c r="C58" s="1" t="s">
        <v>2</v>
      </c>
      <c r="D58" s="12">
        <f t="shared" ref="D58:L68" si="3">D$3/D4</f>
        <v>33.443643282752113</v>
      </c>
      <c r="E58" s="12">
        <f t="shared" si="3"/>
        <v>47.852694139036736</v>
      </c>
      <c r="F58" s="12">
        <f t="shared" si="3"/>
        <v>33.054008938127808</v>
      </c>
      <c r="G58" s="12" t="e">
        <f t="shared" si="3"/>
        <v>#DIV/0!</v>
      </c>
      <c r="H58" s="12" t="e">
        <f t="shared" si="2"/>
        <v>#DIV/0!</v>
      </c>
      <c r="I58" s="12" t="e">
        <f t="shared" si="2"/>
        <v>#DIV/0!</v>
      </c>
      <c r="J58" s="12" t="e">
        <f t="shared" si="2"/>
        <v>#DIV/0!</v>
      </c>
      <c r="K58" s="12" t="e">
        <f t="shared" si="2"/>
        <v>#DIV/0!</v>
      </c>
      <c r="L58" s="12" t="e">
        <f t="shared" si="2"/>
        <v>#DIV/0!</v>
      </c>
    </row>
    <row r="59" spans="3:12" x14ac:dyDescent="0.25">
      <c r="C59" s="1" t="s">
        <v>4</v>
      </c>
      <c r="D59" s="12">
        <f t="shared" si="3"/>
        <v>45.956692891390084</v>
      </c>
      <c r="E59" s="12">
        <f t="shared" si="3"/>
        <v>47.479874443952518</v>
      </c>
      <c r="F59" s="12">
        <f t="shared" si="3"/>
        <v>48.96694117767818</v>
      </c>
      <c r="G59" s="12" t="e">
        <f t="shared" si="3"/>
        <v>#DIV/0!</v>
      </c>
      <c r="H59" s="12" t="e">
        <f t="shared" si="3"/>
        <v>#DIV/0!</v>
      </c>
      <c r="I59" s="12" t="e">
        <f t="shared" si="3"/>
        <v>#DIV/0!</v>
      </c>
      <c r="J59" s="12" t="e">
        <f t="shared" si="3"/>
        <v>#DIV/0!</v>
      </c>
      <c r="K59" s="12"/>
      <c r="L59" s="12"/>
    </row>
    <row r="60" spans="3:12" x14ac:dyDescent="0.25">
      <c r="C60" s="1" t="s">
        <v>11</v>
      </c>
      <c r="D60" s="12">
        <f t="shared" si="3"/>
        <v>33.794017647962839</v>
      </c>
      <c r="E60" s="12">
        <f t="shared" si="3"/>
        <v>47.950970814609391</v>
      </c>
      <c r="F60" s="12">
        <f t="shared" si="3"/>
        <v>33.248451363567625</v>
      </c>
      <c r="G60" s="12" t="e">
        <f t="shared" si="3"/>
        <v>#DIV/0!</v>
      </c>
      <c r="H60" s="12" t="e">
        <f t="shared" si="3"/>
        <v>#DIV/0!</v>
      </c>
      <c r="I60" s="12" t="e">
        <f t="shared" si="3"/>
        <v>#DIV/0!</v>
      </c>
      <c r="J60" s="12" t="e">
        <f t="shared" si="3"/>
        <v>#DIV/0!</v>
      </c>
      <c r="K60" s="12" t="e">
        <f t="shared" si="3"/>
        <v>#DIV/0!</v>
      </c>
      <c r="L60" s="12" t="e">
        <f t="shared" si="3"/>
        <v>#DIV/0!</v>
      </c>
    </row>
    <row r="61" spans="3:12" x14ac:dyDescent="0.25">
      <c r="C61" s="1" t="s">
        <v>12</v>
      </c>
      <c r="D61" s="12"/>
      <c r="E61" s="12">
        <f t="shared" si="3"/>
        <v>23.803123023047821</v>
      </c>
      <c r="F61" s="12">
        <f t="shared" si="3"/>
        <v>49.767563389463106</v>
      </c>
      <c r="G61" s="12" t="e">
        <f t="shared" si="3"/>
        <v>#DIV/0!</v>
      </c>
      <c r="H61" s="12" t="e">
        <f t="shared" si="3"/>
        <v>#DIV/0!</v>
      </c>
      <c r="I61" s="12" t="e">
        <f t="shared" si="3"/>
        <v>#DIV/0!</v>
      </c>
      <c r="J61" s="12" t="e">
        <f t="shared" si="3"/>
        <v>#DIV/0!</v>
      </c>
      <c r="K61" s="12" t="e">
        <f t="shared" si="3"/>
        <v>#DIV/0!</v>
      </c>
      <c r="L61" s="12" t="e">
        <f t="shared" si="3"/>
        <v>#DIV/0!</v>
      </c>
    </row>
    <row r="62" spans="3:12" x14ac:dyDescent="0.25">
      <c r="C62" s="1" t="s">
        <v>5</v>
      </c>
      <c r="D62" s="12"/>
      <c r="E62" s="12">
        <f t="shared" si="3"/>
        <v>23.962747931465888</v>
      </c>
      <c r="F62" s="12">
        <f t="shared" si="3"/>
        <v>18.33994118039832</v>
      </c>
      <c r="G62" s="12" t="e">
        <f t="shared" si="3"/>
        <v>#DIV/0!</v>
      </c>
      <c r="H62" s="12" t="e">
        <f t="shared" si="3"/>
        <v>#DIV/0!</v>
      </c>
      <c r="I62" s="12" t="e">
        <f t="shared" si="3"/>
        <v>#DIV/0!</v>
      </c>
      <c r="J62" s="12" t="e">
        <f t="shared" si="3"/>
        <v>#DIV/0!</v>
      </c>
      <c r="K62" s="12" t="e">
        <f t="shared" si="3"/>
        <v>#DIV/0!</v>
      </c>
      <c r="L62" s="12" t="e">
        <f t="shared" si="3"/>
        <v>#DIV/0!</v>
      </c>
    </row>
    <row r="63" spans="3:12" x14ac:dyDescent="0.25">
      <c r="C63" s="1" t="s">
        <v>6</v>
      </c>
      <c r="D63" s="12">
        <f t="shared" si="3"/>
        <v>22.303211920387724</v>
      </c>
      <c r="E63" s="12">
        <f t="shared" si="3"/>
        <v>24.080050672849758</v>
      </c>
      <c r="F63" s="12">
        <f t="shared" si="3"/>
        <v>18.672069997853978</v>
      </c>
      <c r="G63" s="12" t="e">
        <f t="shared" si="3"/>
        <v>#DIV/0!</v>
      </c>
      <c r="H63" s="12" t="e">
        <f t="shared" si="3"/>
        <v>#DIV/0!</v>
      </c>
      <c r="I63" s="12" t="e">
        <f t="shared" si="3"/>
        <v>#DIV/0!</v>
      </c>
      <c r="J63" s="12" t="e">
        <f t="shared" si="3"/>
        <v>#DIV/0!</v>
      </c>
      <c r="K63" s="12" t="e">
        <f t="shared" si="3"/>
        <v>#DIV/0!</v>
      </c>
      <c r="L63" s="12" t="e">
        <f t="shared" si="3"/>
        <v>#DIV/0!</v>
      </c>
    </row>
    <row r="64" spans="3:12" x14ac:dyDescent="0.25">
      <c r="C64" s="1" t="s">
        <v>7</v>
      </c>
      <c r="D64" s="12">
        <f t="shared" si="3"/>
        <v>22.226256612529966</v>
      </c>
      <c r="E64" s="12">
        <f t="shared" si="3"/>
        <v>24.107846243565049</v>
      </c>
      <c r="F64" s="12">
        <f t="shared" si="3"/>
        <v>18.830257582750161</v>
      </c>
      <c r="G64" s="12" t="e">
        <f t="shared" si="3"/>
        <v>#DIV/0!</v>
      </c>
      <c r="H64" s="12" t="e">
        <f t="shared" si="3"/>
        <v>#DIV/0!</v>
      </c>
      <c r="I64" s="12" t="e">
        <f t="shared" si="3"/>
        <v>#DIV/0!</v>
      </c>
      <c r="J64" s="12" t="e">
        <f t="shared" si="3"/>
        <v>#DIV/0!</v>
      </c>
      <c r="K64" s="12" t="e">
        <f t="shared" si="3"/>
        <v>#DIV/0!</v>
      </c>
      <c r="L64" s="12" t="e">
        <f t="shared" si="3"/>
        <v>#DIV/0!</v>
      </c>
    </row>
    <row r="65" spans="3:12" x14ac:dyDescent="0.25">
      <c r="C65" s="1" t="s">
        <v>8</v>
      </c>
      <c r="D65" s="12"/>
      <c r="E65" s="12">
        <f t="shared" si="3"/>
        <v>18.175847169472025</v>
      </c>
      <c r="F65" s="12">
        <f t="shared" si="3"/>
        <v>19.055415202755551</v>
      </c>
      <c r="G65" s="12" t="e">
        <f t="shared" si="3"/>
        <v>#DIV/0!</v>
      </c>
      <c r="H65" s="12" t="e">
        <f t="shared" si="3"/>
        <v>#DIV/0!</v>
      </c>
      <c r="I65" s="12" t="e">
        <f t="shared" si="3"/>
        <v>#DIV/0!</v>
      </c>
      <c r="J65" s="12" t="e">
        <f t="shared" si="3"/>
        <v>#DIV/0!</v>
      </c>
      <c r="K65" s="12" t="e">
        <f t="shared" si="3"/>
        <v>#DIV/0!</v>
      </c>
      <c r="L65" s="12" t="e">
        <f t="shared" si="3"/>
        <v>#DIV/0!</v>
      </c>
    </row>
    <row r="66" spans="3:12" x14ac:dyDescent="0.25">
      <c r="C66" s="1" t="s">
        <v>9</v>
      </c>
      <c r="D66" s="12">
        <f t="shared" si="3"/>
        <v>3.1931006697851951</v>
      </c>
      <c r="E66" s="12">
        <f t="shared" si="3"/>
        <v>5.4176194516004017</v>
      </c>
      <c r="F66" s="12">
        <f t="shared" si="3"/>
        <v>11.300836582908632</v>
      </c>
      <c r="G66" s="12" t="e">
        <f t="shared" si="3"/>
        <v>#DIV/0!</v>
      </c>
      <c r="H66" s="12"/>
      <c r="I66" s="12" t="e">
        <f t="shared" si="3"/>
        <v>#DIV/0!</v>
      </c>
      <c r="J66" s="12" t="e">
        <f t="shared" si="3"/>
        <v>#DIV/0!</v>
      </c>
      <c r="K66" s="12" t="e">
        <f t="shared" si="3"/>
        <v>#DIV/0!</v>
      </c>
      <c r="L66" s="12" t="e">
        <f t="shared" si="3"/>
        <v>#DIV/0!</v>
      </c>
    </row>
    <row r="67" spans="3:12" x14ac:dyDescent="0.25">
      <c r="C67" s="1" t="s">
        <v>13</v>
      </c>
      <c r="D67" s="12">
        <f t="shared" si="3"/>
        <v>18.533608572416437</v>
      </c>
      <c r="E67" s="12">
        <f t="shared" si="3"/>
        <v>18.47027947523291</v>
      </c>
      <c r="F67" s="12">
        <f t="shared" si="3"/>
        <v>19.071158941092307</v>
      </c>
      <c r="G67" s="12" t="e">
        <f t="shared" si="3"/>
        <v>#DIV/0!</v>
      </c>
      <c r="H67" s="12" t="e">
        <f t="shared" si="3"/>
        <v>#DIV/0!</v>
      </c>
      <c r="I67" s="12" t="e">
        <f t="shared" si="3"/>
        <v>#DIV/0!</v>
      </c>
      <c r="J67" s="12" t="e">
        <f t="shared" si="3"/>
        <v>#DIV/0!</v>
      </c>
      <c r="K67" s="12" t="e">
        <f t="shared" si="3"/>
        <v>#DIV/0!</v>
      </c>
      <c r="L67" s="12" t="e">
        <f t="shared" si="3"/>
        <v>#DIV/0!</v>
      </c>
    </row>
    <row r="68" spans="3:12" x14ac:dyDescent="0.25">
      <c r="C68" s="1" t="s">
        <v>10</v>
      </c>
      <c r="D68" s="12">
        <f t="shared" si="3"/>
        <v>16.138361713049779</v>
      </c>
      <c r="E68" s="12">
        <f t="shared" si="3"/>
        <v>16.50968394032726</v>
      </c>
      <c r="F68" s="12">
        <f t="shared" si="3"/>
        <v>15.787254947254816</v>
      </c>
      <c r="G68" s="12" t="e">
        <f t="shared" si="3"/>
        <v>#DIV/0!</v>
      </c>
      <c r="H68" s="12" t="e">
        <f t="shared" si="3"/>
        <v>#DIV/0!</v>
      </c>
      <c r="I68" s="12" t="e">
        <f t="shared" si="3"/>
        <v>#DIV/0!</v>
      </c>
      <c r="J68" s="12" t="e">
        <f t="shared" si="3"/>
        <v>#DIV/0!</v>
      </c>
      <c r="K68" s="12" t="e">
        <f t="shared" si="3"/>
        <v>#DIV/0!</v>
      </c>
      <c r="L68" s="12" t="e">
        <f t="shared" si="3"/>
        <v>#DIV/0!</v>
      </c>
    </row>
    <row r="69" spans="3:12" x14ac:dyDescent="0.25">
      <c r="C69" s="1"/>
      <c r="D69" s="12"/>
      <c r="E69" s="12"/>
      <c r="F69" s="12"/>
      <c r="G69" s="12"/>
      <c r="H69" s="12"/>
      <c r="I69" s="12"/>
      <c r="J69" s="12"/>
      <c r="K69" s="12"/>
      <c r="L69" s="12"/>
    </row>
    <row r="70" spans="3:12" x14ac:dyDescent="0.25">
      <c r="C70" s="1"/>
      <c r="D70" s="12"/>
      <c r="E70" s="12"/>
      <c r="F70" s="12"/>
      <c r="G70" s="12"/>
      <c r="H70" s="12"/>
      <c r="I70" s="12"/>
      <c r="J70" s="12"/>
      <c r="K70" s="12"/>
      <c r="L70" s="12"/>
    </row>
    <row r="71" spans="3:12" x14ac:dyDescent="0.25">
      <c r="C71" s="1"/>
      <c r="D71" s="12"/>
      <c r="E71" s="12"/>
      <c r="F71" s="12"/>
      <c r="G71" s="12"/>
      <c r="H71" s="12"/>
      <c r="I71" s="12"/>
      <c r="J71" s="12"/>
      <c r="K71" s="12"/>
      <c r="L71" s="12"/>
    </row>
    <row r="72" spans="3:12" x14ac:dyDescent="0.25">
      <c r="C72" s="1"/>
      <c r="D72" s="12"/>
      <c r="E72" s="12"/>
      <c r="F72" s="12"/>
      <c r="G72" s="12"/>
      <c r="H72" s="12"/>
      <c r="I72" s="12"/>
      <c r="J72" s="12"/>
      <c r="K72" s="12"/>
      <c r="L72" s="12"/>
    </row>
    <row r="73" spans="3:12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</row>
    <row r="74" spans="3:12" x14ac:dyDescent="0.25">
      <c r="C74" s="1"/>
      <c r="D74" s="12"/>
      <c r="E74" s="12"/>
      <c r="F74" s="12"/>
      <c r="G74" s="12"/>
      <c r="H74" s="12"/>
      <c r="I74" s="12"/>
      <c r="J74" s="12"/>
      <c r="K74" s="12"/>
      <c r="L74" s="12"/>
    </row>
    <row r="75" spans="3:12" x14ac:dyDescent="0.25">
      <c r="C75" s="1"/>
      <c r="D75" s="12"/>
      <c r="E75" s="12"/>
      <c r="F75" s="12"/>
      <c r="G75" s="12"/>
      <c r="H75" s="12"/>
      <c r="I75" s="12"/>
      <c r="J75" s="12"/>
      <c r="K75" s="12"/>
      <c r="L75" s="12"/>
    </row>
    <row r="86" spans="3:12" x14ac:dyDescent="0.25">
      <c r="C86" t="s">
        <v>3</v>
      </c>
    </row>
    <row r="87" spans="3:12" x14ac:dyDescent="0.25">
      <c r="C87" s="1">
        <v>50</v>
      </c>
      <c r="D87" s="2">
        <v>2</v>
      </c>
      <c r="E87" s="3">
        <v>4</v>
      </c>
      <c r="F87" s="2">
        <v>8</v>
      </c>
      <c r="G87" s="2">
        <v>16</v>
      </c>
      <c r="H87" s="2">
        <v>32</v>
      </c>
      <c r="I87" s="2">
        <v>64</v>
      </c>
      <c r="J87" s="2">
        <v>128</v>
      </c>
      <c r="K87" s="2">
        <v>256</v>
      </c>
      <c r="L87" s="2">
        <v>512</v>
      </c>
    </row>
    <row r="88" spans="3:12" x14ac:dyDescent="0.25">
      <c r="C88" s="1"/>
      <c r="D88" s="9">
        <v>8</v>
      </c>
      <c r="E88" s="9">
        <v>16</v>
      </c>
      <c r="F88" s="9">
        <v>32</v>
      </c>
      <c r="G88" s="9"/>
      <c r="H88" s="9"/>
      <c r="I88" s="9"/>
      <c r="J88" s="4"/>
      <c r="K88" s="4"/>
      <c r="L88" s="4"/>
    </row>
    <row r="89" spans="3:12" x14ac:dyDescent="0.25">
      <c r="C89" s="1" t="s">
        <v>1</v>
      </c>
      <c r="D89" s="1">
        <v>185979674.41574499</v>
      </c>
      <c r="E89" s="1">
        <v>1819201436.1225934</v>
      </c>
      <c r="F89" s="1">
        <v>4227732039.3342276</v>
      </c>
      <c r="G89" s="1"/>
      <c r="H89" s="1"/>
      <c r="I89" s="1"/>
      <c r="J89" s="1"/>
      <c r="K89" s="1"/>
      <c r="L89" s="1"/>
    </row>
    <row r="90" spans="3:12" x14ac:dyDescent="0.25">
      <c r="C90" s="1" t="s">
        <v>2</v>
      </c>
      <c r="D90" s="1">
        <v>49970.221636039998</v>
      </c>
      <c r="E90" s="1">
        <v>55197.310351440006</v>
      </c>
      <c r="F90" s="1">
        <v>447808.36600800016</v>
      </c>
      <c r="G90" s="1"/>
      <c r="H90" s="1"/>
      <c r="I90" s="1"/>
      <c r="J90" s="1"/>
      <c r="K90" s="1"/>
      <c r="L90" s="1"/>
    </row>
    <row r="91" spans="3:12" x14ac:dyDescent="0.25">
      <c r="C91" s="1" t="s">
        <v>4</v>
      </c>
      <c r="D91" s="1">
        <v>2756.9613901599996</v>
      </c>
      <c r="E91" s="1">
        <v>29213.499027959995</v>
      </c>
      <c r="F91" s="1">
        <v>361978.27163899987</v>
      </c>
      <c r="G91" s="1"/>
      <c r="H91" s="6"/>
      <c r="I91" s="1"/>
      <c r="J91" s="1"/>
      <c r="K91" s="1"/>
      <c r="L91" s="1"/>
    </row>
    <row r="92" spans="3:12" x14ac:dyDescent="0.25">
      <c r="C92" s="1" t="s">
        <v>11</v>
      </c>
      <c r="D92" s="1">
        <v>52733.074396760028</v>
      </c>
      <c r="E92" s="1">
        <v>31147.663213000007</v>
      </c>
      <c r="F92" s="1">
        <v>694682.55500700022</v>
      </c>
      <c r="G92" s="1"/>
      <c r="H92" s="1"/>
      <c r="I92" s="1"/>
      <c r="J92" s="1"/>
      <c r="K92" s="1"/>
      <c r="L92" s="1"/>
    </row>
    <row r="93" spans="3:12" x14ac:dyDescent="0.25">
      <c r="C93" s="1" t="s">
        <v>12</v>
      </c>
      <c r="D93" s="1">
        <v>9636.626045959998</v>
      </c>
      <c r="E93" s="1">
        <v>69304.939797000014</v>
      </c>
      <c r="F93" s="1">
        <v>245488.38895699999</v>
      </c>
      <c r="G93" s="1"/>
      <c r="H93" s="1"/>
      <c r="I93" s="1"/>
      <c r="J93" s="1"/>
      <c r="K93" s="1"/>
      <c r="L93" s="1"/>
    </row>
    <row r="94" spans="3:12" x14ac:dyDescent="0.25">
      <c r="C94" s="1" t="s">
        <v>5</v>
      </c>
      <c r="D94" s="1">
        <v>54156.58414084003</v>
      </c>
      <c r="E94" s="1">
        <v>49587.751100000016</v>
      </c>
      <c r="F94" s="1">
        <v>18931402.130931001</v>
      </c>
      <c r="G94" s="1"/>
      <c r="H94" s="1"/>
      <c r="I94" s="1"/>
      <c r="J94" s="1"/>
      <c r="K94" s="1"/>
      <c r="L94" s="1"/>
    </row>
    <row r="95" spans="3:12" x14ac:dyDescent="0.25">
      <c r="C95" s="1" t="s">
        <v>6</v>
      </c>
      <c r="D95" s="1">
        <v>44938.23232476</v>
      </c>
      <c r="E95" s="1">
        <v>38433.702196999984</v>
      </c>
      <c r="F95" s="1">
        <v>37095745.963297009</v>
      </c>
      <c r="G95" s="1"/>
      <c r="H95" s="1"/>
      <c r="I95" s="1"/>
      <c r="J95" s="1"/>
      <c r="K95" s="1"/>
      <c r="L95" s="4"/>
    </row>
    <row r="96" spans="3:12" x14ac:dyDescent="0.25">
      <c r="C96" s="1" t="s">
        <v>7</v>
      </c>
      <c r="D96" s="1">
        <v>41723.675509239998</v>
      </c>
      <c r="E96" s="1">
        <v>67330.685951999985</v>
      </c>
      <c r="F96" s="1">
        <v>8014301.2016619984</v>
      </c>
      <c r="G96" s="1"/>
      <c r="H96" s="1"/>
      <c r="I96" s="1"/>
      <c r="J96" s="1"/>
      <c r="K96" s="1"/>
      <c r="L96" s="1"/>
    </row>
    <row r="97" spans="3:12" x14ac:dyDescent="0.25">
      <c r="C97" s="1" t="s">
        <v>8</v>
      </c>
      <c r="D97" s="1">
        <v>301.28984700000183</v>
      </c>
      <c r="E97" s="1">
        <v>168.23559300000289</v>
      </c>
      <c r="F97" s="1">
        <v>754.25424599999485</v>
      </c>
      <c r="G97" s="1"/>
      <c r="H97" s="1"/>
      <c r="I97" s="1"/>
      <c r="J97" s="1"/>
      <c r="K97" s="1"/>
      <c r="L97" s="1"/>
    </row>
    <row r="98" spans="3:12" x14ac:dyDescent="0.25">
      <c r="C98" s="1" t="s">
        <v>9</v>
      </c>
      <c r="D98" s="1">
        <v>4555.1706590000103</v>
      </c>
      <c r="E98" s="1">
        <v>672637.21179700003</v>
      </c>
      <c r="F98" s="1">
        <v>87192.754640999949</v>
      </c>
      <c r="G98" s="1"/>
      <c r="H98" s="1"/>
      <c r="I98" s="1"/>
      <c r="J98" s="1"/>
      <c r="K98" s="1"/>
      <c r="L98" s="1"/>
    </row>
    <row r="99" spans="3:12" x14ac:dyDescent="0.25">
      <c r="C99" s="1" t="s">
        <v>13</v>
      </c>
      <c r="D99" s="1">
        <v>1086.9540812400028</v>
      </c>
      <c r="E99" s="1">
        <v>1200.9421819999966</v>
      </c>
      <c r="F99" s="1">
        <v>25161.238317999963</v>
      </c>
      <c r="G99" s="1"/>
      <c r="H99" s="1"/>
      <c r="I99" s="1"/>
      <c r="J99" s="1"/>
      <c r="K99" s="1"/>
      <c r="L99" s="1"/>
    </row>
    <row r="100" spans="3:12" x14ac:dyDescent="0.25">
      <c r="C100" s="1" t="s">
        <v>10</v>
      </c>
      <c r="D100" s="1">
        <v>1804.9457369999952</v>
      </c>
      <c r="E100" s="1">
        <v>3102.3514570000202</v>
      </c>
      <c r="F100" s="1">
        <v>7193.872837000039</v>
      </c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9" spans="3:12" x14ac:dyDescent="0.25">
      <c r="C109" t="s">
        <v>18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9">
        <v>8</v>
      </c>
      <c r="E111" s="9">
        <v>16</v>
      </c>
      <c r="F111" s="9">
        <v>32</v>
      </c>
      <c r="G111" s="9">
        <v>80</v>
      </c>
      <c r="H111" s="9">
        <v>160</v>
      </c>
      <c r="I111" s="9">
        <v>320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0">
        <v>3780.1045415055019</v>
      </c>
      <c r="E112" s="10">
        <v>11822.558299292547</v>
      </c>
      <c r="F112" s="10">
        <v>18022.905094521455</v>
      </c>
      <c r="G112" s="10"/>
      <c r="H112" s="10"/>
      <c r="I112" s="10"/>
      <c r="J112" s="10"/>
      <c r="K112" s="1"/>
      <c r="L112" s="1"/>
    </row>
    <row r="113" spans="3:12" x14ac:dyDescent="0.25">
      <c r="C113" s="1" t="s">
        <v>2</v>
      </c>
      <c r="D113" s="10">
        <v>61.962182569210917</v>
      </c>
      <c r="E113" s="10">
        <v>65.122344467331942</v>
      </c>
      <c r="F113" s="10">
        <v>185.48857748423936</v>
      </c>
      <c r="G113" s="10"/>
      <c r="H113" s="10"/>
      <c r="I113" s="10"/>
      <c r="J113" s="10"/>
      <c r="K113" s="1"/>
      <c r="L113" s="1"/>
    </row>
    <row r="114" spans="3:12" x14ac:dyDescent="0.25">
      <c r="C114" s="1" t="s">
        <v>4</v>
      </c>
      <c r="D114" s="10">
        <v>14.554135409867982</v>
      </c>
      <c r="E114" s="10">
        <v>47.376487388959326</v>
      </c>
      <c r="F114" s="10">
        <v>166.76784632106884</v>
      </c>
      <c r="G114" s="10"/>
      <c r="H114" s="11"/>
      <c r="I114" s="10"/>
      <c r="J114" s="10"/>
      <c r="K114" s="1"/>
      <c r="L114" s="1"/>
    </row>
    <row r="115" spans="3:12" x14ac:dyDescent="0.25">
      <c r="C115" s="1" t="s">
        <v>11</v>
      </c>
      <c r="D115" s="10">
        <v>63.652082228721049</v>
      </c>
      <c r="E115" s="10">
        <v>48.919702165704329</v>
      </c>
      <c r="F115" s="10">
        <v>231.02781232201855</v>
      </c>
      <c r="G115" s="10"/>
      <c r="H115" s="10"/>
      <c r="I115" s="10"/>
      <c r="J115" s="10"/>
      <c r="K115" s="1"/>
      <c r="L115" s="1"/>
    </row>
    <row r="116" spans="3:12" x14ac:dyDescent="0.25">
      <c r="C116" s="1" t="s">
        <v>12</v>
      </c>
      <c r="D116" s="10">
        <v>27.210315183091843</v>
      </c>
      <c r="E116" s="10">
        <v>72.971481651965277</v>
      </c>
      <c r="F116" s="10">
        <v>137.33668082615154</v>
      </c>
      <c r="G116" s="10"/>
      <c r="H116" s="10"/>
      <c r="I116" s="10"/>
      <c r="J116" s="10"/>
      <c r="K116" s="1"/>
      <c r="L116" s="1"/>
    </row>
    <row r="117" spans="3:12" x14ac:dyDescent="0.25">
      <c r="C117" s="1" t="s">
        <v>5</v>
      </c>
      <c r="D117" s="10">
        <v>64.505493352961963</v>
      </c>
      <c r="E117" s="10">
        <v>61.724598763501099</v>
      </c>
      <c r="F117" s="10">
        <v>1206.0420757683748</v>
      </c>
      <c r="G117" s="10"/>
      <c r="H117" s="10"/>
      <c r="I117" s="10"/>
      <c r="J117" s="10"/>
      <c r="K117" s="1"/>
      <c r="L117" s="1"/>
    </row>
    <row r="118" spans="3:12" x14ac:dyDescent="0.25">
      <c r="C118" s="1" t="s">
        <v>6</v>
      </c>
      <c r="D118" s="10">
        <v>58.759631261402241</v>
      </c>
      <c r="E118" s="10">
        <v>54.340944113991085</v>
      </c>
      <c r="F118" s="10">
        <v>1688.2358703250075</v>
      </c>
      <c r="G118" s="10"/>
      <c r="H118" s="10"/>
      <c r="I118" s="10"/>
      <c r="J118" s="10"/>
      <c r="K118" s="1"/>
      <c r="L118" s="4"/>
    </row>
    <row r="119" spans="3:12" x14ac:dyDescent="0.25">
      <c r="C119" s="1" t="s">
        <v>7</v>
      </c>
      <c r="D119" s="10">
        <v>56.619020096836074</v>
      </c>
      <c r="E119" s="10">
        <v>71.924622091909953</v>
      </c>
      <c r="F119" s="10">
        <v>784.70044598311176</v>
      </c>
      <c r="G119" s="10"/>
      <c r="H119" s="10"/>
      <c r="I119" s="10"/>
      <c r="J119" s="10"/>
      <c r="K119" s="1"/>
      <c r="L119" s="1"/>
    </row>
    <row r="120" spans="3:12" x14ac:dyDescent="0.25">
      <c r="C120" s="1" t="s">
        <v>8</v>
      </c>
      <c r="D120" s="10">
        <v>4.8113097514818293</v>
      </c>
      <c r="E120" s="10">
        <v>3.5952575820622674</v>
      </c>
      <c r="F120" s="10">
        <v>7.6125463695580597</v>
      </c>
      <c r="G120" s="10"/>
      <c r="H120" s="10"/>
      <c r="I120" s="10"/>
      <c r="J120" s="10"/>
      <c r="K120" s="1"/>
      <c r="L120" s="1"/>
    </row>
    <row r="121" spans="3:12" x14ac:dyDescent="0.25">
      <c r="C121" s="1" t="s">
        <v>9</v>
      </c>
      <c r="D121" s="10">
        <v>18.707829165146038</v>
      </c>
      <c r="E121" s="10">
        <v>227.33249274309009</v>
      </c>
      <c r="F121" s="10">
        <v>81.848602459524656</v>
      </c>
      <c r="G121" s="10"/>
      <c r="H121" s="10"/>
      <c r="I121" s="10"/>
      <c r="J121" s="10"/>
      <c r="K121" s="1"/>
      <c r="L121" s="1"/>
    </row>
    <row r="122" spans="3:12" x14ac:dyDescent="0.25">
      <c r="C122" s="1" t="s">
        <v>13</v>
      </c>
      <c r="D122" s="10">
        <v>9.1385368615458304</v>
      </c>
      <c r="E122" s="10">
        <v>9.6057685651604015</v>
      </c>
      <c r="F122" s="10">
        <v>43.968036827320063</v>
      </c>
      <c r="G122" s="10"/>
      <c r="H122" s="10"/>
      <c r="I122" s="10"/>
      <c r="J122" s="10"/>
      <c r="K122" s="1"/>
      <c r="L122" s="1"/>
    </row>
    <row r="123" spans="3:12" x14ac:dyDescent="0.25">
      <c r="C123" s="1" t="s">
        <v>10</v>
      </c>
      <c r="D123" s="10">
        <v>11.776144991684827</v>
      </c>
      <c r="E123" s="10">
        <v>15.438907576128097</v>
      </c>
      <c r="F123" s="10">
        <v>23.509990170401753</v>
      </c>
      <c r="G123" s="10"/>
      <c r="H123" s="10"/>
      <c r="I123" s="10"/>
      <c r="J123" s="10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</sheetData>
  <conditionalFormatting sqref="D44:D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5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4:F5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4:G5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4:H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I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D5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4:J5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4:K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4:L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9:J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9:K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9:L7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Ускорение 100</vt:lpstr>
      <vt:lpstr>Ускорение</vt:lpstr>
      <vt:lpstr>Itog_100</vt:lpstr>
      <vt:lpstr>Itog</vt:lpstr>
      <vt:lpstr>Лист1</vt:lpstr>
      <vt:lpstr>1050LAPTOP</vt:lpstr>
      <vt:lpstr>1050COMP</vt:lpstr>
      <vt:lpstr>3060COMP Kaf</vt:lpstr>
      <vt:lpstr>3060LAPTOP</vt:lpstr>
      <vt:lpstr>4060COMP</vt:lpstr>
      <vt:lpstr>3060LAPTOP 10</vt:lpstr>
      <vt:lpstr>3060LAPTOP 100</vt:lpstr>
      <vt:lpstr>3060LAPTOP 1000</vt:lpstr>
      <vt:lpstr>3060LAPTOP 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2025-07-03T18:13:41Z</dcterms:modified>
</cp:coreProperties>
</file>