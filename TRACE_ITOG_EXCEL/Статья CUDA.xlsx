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5"/>
  </bookViews>
  <sheets>
    <sheet name="Itog" sheetId="11" r:id="rId1"/>
    <sheet name="Лист6" sheetId="21" r:id="rId2"/>
    <sheet name="1050LAPTOP" sheetId="9" r:id="rId3"/>
    <sheet name="1050COMP" sheetId="8" r:id="rId4"/>
    <sheet name="3060COMP Kaf" sheetId="7" r:id="rId5"/>
    <sheet name="3060LAPTOP" sheetId="1" r:id="rId6"/>
    <sheet name="Лист8" sheetId="32" r:id="rId7"/>
    <sheet name="3060LAPTOP_100" sheetId="27" r:id="rId8"/>
    <sheet name="4060COMP" sheetId="10" r:id="rId9"/>
    <sheet name="JETSON" sheetId="17" r:id="rId10"/>
    <sheet name="ANT" sheetId="25" r:id="rId11"/>
    <sheet name="REA" sheetId="18" r:id="rId12"/>
    <sheet name="Лист8 (2)" sheetId="33" r:id="rId13"/>
    <sheet name="Лист10" sheetId="34" r:id="rId14"/>
    <sheet name="REA ANT" sheetId="29" r:id="rId15"/>
    <sheet name="ANT+T" sheetId="36" r:id="rId16"/>
    <sheet name="Лист11" sheetId="38" r:id="rId17"/>
    <sheet name="Лист9" sheetId="37" r:id="rId18"/>
    <sheet name="REA размерность" sheetId="19" r:id="rId19"/>
    <sheet name="Лист2" sheetId="23" r:id="rId20"/>
    <sheet name="Лист4" sheetId="30" r:id="rId21"/>
    <sheet name="Лист5" sheetId="26" r:id="rId22"/>
    <sheet name="Лист1" sheetId="22" r:id="rId23"/>
    <sheet name="Лист3" sheetId="24" r:id="rId24"/>
    <sheet name="Лист7" sheetId="35" r:id="rId25"/>
    <sheet name="Лист12" sheetId="39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39" l="1"/>
  <c r="E11" i="39"/>
  <c r="F11" i="39"/>
  <c r="G11" i="39"/>
  <c r="H11" i="39"/>
  <c r="D12" i="39"/>
  <c r="E12" i="39"/>
  <c r="F12" i="39"/>
  <c r="G12" i="39"/>
  <c r="H12" i="39"/>
  <c r="D13" i="39"/>
  <c r="E13" i="39"/>
  <c r="F13" i="39"/>
  <c r="G13" i="39"/>
  <c r="H13" i="39"/>
  <c r="D15" i="39"/>
  <c r="E15" i="39"/>
  <c r="F15" i="39"/>
  <c r="G15" i="39"/>
  <c r="H15" i="39"/>
  <c r="I15" i="39"/>
  <c r="J15" i="39"/>
  <c r="K15" i="39"/>
  <c r="D16" i="39"/>
  <c r="E16" i="39"/>
  <c r="F16" i="39"/>
  <c r="G16" i="39"/>
  <c r="H16" i="39"/>
  <c r="I16" i="39"/>
  <c r="J16" i="39"/>
  <c r="K16" i="39"/>
  <c r="D17" i="39"/>
  <c r="E17" i="39"/>
  <c r="F17" i="39"/>
  <c r="G17" i="39"/>
  <c r="H17" i="39"/>
  <c r="I17" i="39"/>
  <c r="J17" i="39"/>
  <c r="K17" i="39"/>
  <c r="D19" i="39"/>
  <c r="E19" i="39"/>
  <c r="F19" i="39"/>
  <c r="G19" i="39"/>
  <c r="H19" i="39"/>
  <c r="I19" i="39"/>
  <c r="J19" i="39"/>
  <c r="K19" i="39"/>
  <c r="L19" i="39"/>
  <c r="M19" i="39"/>
  <c r="N19" i="39"/>
  <c r="O19" i="39"/>
  <c r="P19" i="39"/>
  <c r="Q19" i="39"/>
  <c r="R19" i="39"/>
  <c r="D20" i="39"/>
  <c r="E20" i="39"/>
  <c r="F20" i="39"/>
  <c r="G20" i="39"/>
  <c r="H20" i="39"/>
  <c r="I20" i="39"/>
  <c r="J20" i="39"/>
  <c r="K20" i="39"/>
  <c r="L20" i="39"/>
  <c r="M20" i="39"/>
  <c r="N20" i="39"/>
  <c r="O20" i="39"/>
  <c r="P20" i="39"/>
  <c r="Q20" i="39"/>
  <c r="R20" i="39"/>
  <c r="D21" i="39"/>
  <c r="E21" i="39"/>
  <c r="F21" i="39"/>
  <c r="G21" i="39"/>
  <c r="H21" i="39"/>
  <c r="I21" i="39"/>
  <c r="J21" i="39"/>
  <c r="K21" i="39"/>
  <c r="L21" i="39"/>
  <c r="M21" i="39"/>
  <c r="N21" i="39"/>
  <c r="O21" i="39"/>
  <c r="P21" i="39"/>
  <c r="Q21" i="39"/>
  <c r="R21" i="39"/>
  <c r="C21" i="39"/>
  <c r="C20" i="39"/>
  <c r="C19" i="39"/>
  <c r="C17" i="39"/>
  <c r="C16" i="39"/>
  <c r="C15" i="39"/>
  <c r="C13" i="39"/>
  <c r="C12" i="39"/>
  <c r="C11" i="39"/>
  <c r="G48" i="38" l="1"/>
  <c r="K49" i="38"/>
  <c r="K50" i="38"/>
  <c r="K51" i="38"/>
  <c r="K52" i="38"/>
  <c r="K53" i="38"/>
  <c r="K54" i="38"/>
  <c r="K55" i="38"/>
  <c r="K56" i="38"/>
  <c r="K57" i="38"/>
  <c r="K48" i="38"/>
  <c r="G49" i="38"/>
  <c r="G50" i="38"/>
  <c r="G51" i="38"/>
  <c r="G52" i="38"/>
  <c r="G53" i="38"/>
  <c r="G54" i="38"/>
  <c r="G55" i="38"/>
  <c r="G56" i="38"/>
  <c r="G57" i="38"/>
  <c r="I21" i="38"/>
  <c r="H21" i="38"/>
  <c r="I20" i="38"/>
  <c r="H20" i="38"/>
  <c r="I19" i="38"/>
  <c r="H19" i="38"/>
  <c r="I18" i="38"/>
  <c r="H18" i="38"/>
  <c r="I17" i="38"/>
  <c r="H17" i="38"/>
  <c r="I16" i="38"/>
  <c r="H16" i="38"/>
  <c r="I15" i="38"/>
  <c r="H15" i="38"/>
  <c r="I14" i="38"/>
  <c r="H14" i="38"/>
  <c r="I13" i="38"/>
  <c r="H13" i="38"/>
  <c r="I12" i="38"/>
  <c r="H12" i="38"/>
  <c r="I11" i="38"/>
  <c r="H11" i="38"/>
  <c r="I10" i="38"/>
  <c r="H10" i="38"/>
  <c r="I9" i="38"/>
  <c r="H9" i="38"/>
  <c r="I8" i="38"/>
  <c r="H8" i="38"/>
  <c r="I7" i="38"/>
  <c r="H7" i="38"/>
  <c r="I6" i="38"/>
  <c r="H6" i="38"/>
  <c r="I5" i="38"/>
  <c r="H5" i="38"/>
  <c r="I4" i="38"/>
  <c r="H4" i="38"/>
  <c r="I3" i="38"/>
  <c r="H3" i="38"/>
  <c r="I2" i="38"/>
  <c r="H2" i="38"/>
  <c r="T55" i="18" l="1"/>
  <c r="U55" i="18"/>
  <c r="P55" i="18"/>
  <c r="Q55" i="18"/>
  <c r="R55" i="18"/>
  <c r="S55" i="18"/>
  <c r="O55" i="18"/>
  <c r="E4" i="33"/>
  <c r="D148" i="18"/>
  <c r="E148" i="18"/>
  <c r="F148" i="18"/>
  <c r="G148" i="18"/>
  <c r="H148" i="18"/>
  <c r="I148" i="18"/>
  <c r="J148" i="18"/>
  <c r="K148" i="18"/>
  <c r="L148" i="18"/>
  <c r="D55" i="18"/>
  <c r="E55" i="18"/>
  <c r="F55" i="18"/>
  <c r="G55" i="18"/>
  <c r="H55" i="18"/>
  <c r="I55" i="18"/>
  <c r="J55" i="18"/>
  <c r="K55" i="18"/>
  <c r="L55" i="18"/>
  <c r="M55" i="18"/>
  <c r="D85" i="18"/>
  <c r="E85" i="18"/>
  <c r="F85" i="18"/>
  <c r="G85" i="18"/>
  <c r="H85" i="18"/>
  <c r="I85" i="18"/>
  <c r="J85" i="18"/>
  <c r="K85" i="18"/>
  <c r="L85" i="18"/>
  <c r="M85" i="18"/>
  <c r="AT3" i="36" l="1"/>
  <c r="AV99" i="36"/>
  <c r="AU99" i="36"/>
  <c r="AR99" i="36"/>
  <c r="AQ99" i="36"/>
  <c r="AP99" i="36"/>
  <c r="AV97" i="36"/>
  <c r="AU97" i="36"/>
  <c r="AR97" i="36"/>
  <c r="AQ97" i="36"/>
  <c r="AP97" i="36"/>
  <c r="AV95" i="36"/>
  <c r="AU95" i="36"/>
  <c r="AR95" i="36"/>
  <c r="AQ95" i="36"/>
  <c r="AP95" i="36"/>
  <c r="AV93" i="36"/>
  <c r="AU93" i="36"/>
  <c r="AR93" i="36"/>
  <c r="AQ93" i="36"/>
  <c r="AP93" i="36"/>
  <c r="AV91" i="36"/>
  <c r="AU91" i="36"/>
  <c r="AR91" i="36"/>
  <c r="AQ91" i="36"/>
  <c r="AP91" i="36"/>
  <c r="AV89" i="36"/>
  <c r="AU89" i="36"/>
  <c r="AR89" i="36"/>
  <c r="AQ89" i="36"/>
  <c r="AP89" i="36"/>
  <c r="AV87" i="36"/>
  <c r="AU87" i="36"/>
  <c r="AR87" i="36"/>
  <c r="AQ87" i="36"/>
  <c r="AP87" i="36"/>
  <c r="AW81" i="36"/>
  <c r="AX81" i="36" s="1"/>
  <c r="AS81" i="36"/>
  <c r="AT81" i="36" s="1"/>
  <c r="AW79" i="36"/>
  <c r="AX79" i="36" s="1"/>
  <c r="AS79" i="36"/>
  <c r="AT79" i="36" s="1"/>
  <c r="AW77" i="36"/>
  <c r="AX77" i="36" s="1"/>
  <c r="AS77" i="36"/>
  <c r="AT77" i="36" s="1"/>
  <c r="AW75" i="36"/>
  <c r="AX75" i="36" s="1"/>
  <c r="AS75" i="36"/>
  <c r="AT75" i="36" s="1"/>
  <c r="AW73" i="36"/>
  <c r="AX73" i="36" s="1"/>
  <c r="AS73" i="36"/>
  <c r="AT73" i="36" s="1"/>
  <c r="AW71" i="36"/>
  <c r="AX71" i="36" s="1"/>
  <c r="AS71" i="36"/>
  <c r="AT71" i="36" s="1"/>
  <c r="AW69" i="36"/>
  <c r="AX69" i="36" s="1"/>
  <c r="AS69" i="36"/>
  <c r="AT69" i="36" s="1"/>
  <c r="AV57" i="36"/>
  <c r="AU57" i="36"/>
  <c r="AR57" i="36"/>
  <c r="AQ57" i="36"/>
  <c r="AP57" i="36"/>
  <c r="AV56" i="36"/>
  <c r="AU56" i="36"/>
  <c r="AW56" i="36" s="1"/>
  <c r="AX56" i="36" s="1"/>
  <c r="AR56" i="36"/>
  <c r="AQ56" i="36"/>
  <c r="AP56" i="36"/>
  <c r="AV55" i="36"/>
  <c r="AU55" i="36"/>
  <c r="AR55" i="36"/>
  <c r="AQ55" i="36"/>
  <c r="AP55" i="36"/>
  <c r="AV54" i="36"/>
  <c r="AU54" i="36"/>
  <c r="AR54" i="36"/>
  <c r="AQ54" i="36"/>
  <c r="AP54" i="36"/>
  <c r="AS54" i="36" s="1"/>
  <c r="AT54" i="36" s="1"/>
  <c r="AV53" i="36"/>
  <c r="AU53" i="36"/>
  <c r="AR53" i="36"/>
  <c r="AQ53" i="36"/>
  <c r="AP53" i="36"/>
  <c r="AV52" i="36"/>
  <c r="AU52" i="36"/>
  <c r="AR52" i="36"/>
  <c r="AQ52" i="36"/>
  <c r="AP52" i="36"/>
  <c r="AV51" i="36"/>
  <c r="AU51" i="36"/>
  <c r="AR51" i="36"/>
  <c r="AQ51" i="36"/>
  <c r="AP51" i="36"/>
  <c r="AV50" i="36"/>
  <c r="AU50" i="36"/>
  <c r="AR50" i="36"/>
  <c r="AQ50" i="36"/>
  <c r="AP50" i="36"/>
  <c r="AV49" i="36"/>
  <c r="AU49" i="36"/>
  <c r="AR49" i="36"/>
  <c r="AQ49" i="36"/>
  <c r="AP49" i="36"/>
  <c r="AV48" i="36"/>
  <c r="AU48" i="36"/>
  <c r="AR48" i="36"/>
  <c r="AQ48" i="36"/>
  <c r="AP48" i="36"/>
  <c r="AV47" i="36"/>
  <c r="AU47" i="36"/>
  <c r="AR47" i="36"/>
  <c r="AQ47" i="36"/>
  <c r="AP47" i="36"/>
  <c r="AV46" i="36"/>
  <c r="AU46" i="36"/>
  <c r="AW46" i="36" s="1"/>
  <c r="AX46" i="36" s="1"/>
  <c r="AR46" i="36"/>
  <c r="AQ46" i="36"/>
  <c r="AP46" i="36"/>
  <c r="AV45" i="36"/>
  <c r="AU45" i="36"/>
  <c r="AR45" i="36"/>
  <c r="AQ45" i="36"/>
  <c r="AP45" i="36"/>
  <c r="AV44" i="36"/>
  <c r="AU44" i="36"/>
  <c r="AR44" i="36"/>
  <c r="AQ44" i="36"/>
  <c r="AP44" i="36"/>
  <c r="AV43" i="36"/>
  <c r="AU43" i="36"/>
  <c r="AR43" i="36"/>
  <c r="AQ43" i="36"/>
  <c r="AP43" i="36"/>
  <c r="AV42" i="36"/>
  <c r="AU42" i="36"/>
  <c r="AW42" i="36" s="1"/>
  <c r="AX42" i="36" s="1"/>
  <c r="AR42" i="36"/>
  <c r="AQ42" i="36"/>
  <c r="AP42" i="36"/>
  <c r="AN42" i="36"/>
  <c r="AN44" i="36" s="1"/>
  <c r="AN46" i="36" s="1"/>
  <c r="AN48" i="36" s="1"/>
  <c r="AN50" i="36" s="1"/>
  <c r="AN52" i="36" s="1"/>
  <c r="AN54" i="36" s="1"/>
  <c r="AN56" i="36" s="1"/>
  <c r="AV41" i="36"/>
  <c r="AU41" i="36"/>
  <c r="AR41" i="36"/>
  <c r="AQ41" i="36"/>
  <c r="AP41" i="36"/>
  <c r="AV40" i="36"/>
  <c r="AU40" i="36"/>
  <c r="AR40" i="36"/>
  <c r="AQ40" i="36"/>
  <c r="AP40" i="36"/>
  <c r="AN40" i="36"/>
  <c r="AV39" i="36"/>
  <c r="AU39" i="36"/>
  <c r="AR39" i="36"/>
  <c r="AQ39" i="36"/>
  <c r="AP39" i="36"/>
  <c r="AV38" i="36"/>
  <c r="AU38" i="36"/>
  <c r="AR38" i="36"/>
  <c r="AQ38" i="36"/>
  <c r="AS38" i="36" s="1"/>
  <c r="AT38" i="36" s="1"/>
  <c r="AP38" i="36"/>
  <c r="AN38" i="36"/>
  <c r="AV37" i="36"/>
  <c r="AU37" i="36"/>
  <c r="AR37" i="36"/>
  <c r="AQ37" i="36"/>
  <c r="AP37" i="36"/>
  <c r="AV36" i="36"/>
  <c r="AU36" i="36"/>
  <c r="AR36" i="36"/>
  <c r="AQ36" i="36"/>
  <c r="AP36" i="36"/>
  <c r="AW23" i="36"/>
  <c r="AX23" i="36" s="1"/>
  <c r="AS23" i="36"/>
  <c r="AT23" i="36" s="1"/>
  <c r="AW21" i="36"/>
  <c r="AX21" i="36" s="1"/>
  <c r="AS21" i="36"/>
  <c r="AT21" i="36" s="1"/>
  <c r="AW19" i="36"/>
  <c r="AX19" i="36" s="1"/>
  <c r="AS19" i="36"/>
  <c r="AT19" i="36" s="1"/>
  <c r="AW17" i="36"/>
  <c r="AX17" i="36" s="1"/>
  <c r="AS17" i="36"/>
  <c r="AT17" i="36" s="1"/>
  <c r="AW15" i="36"/>
  <c r="AX15" i="36" s="1"/>
  <c r="AS15" i="36"/>
  <c r="AT15" i="36" s="1"/>
  <c r="AW13" i="36"/>
  <c r="AX13" i="36" s="1"/>
  <c r="AS13" i="36"/>
  <c r="AT13" i="36" s="1"/>
  <c r="AW11" i="36"/>
  <c r="AX11" i="36" s="1"/>
  <c r="AS11" i="36"/>
  <c r="AT11" i="36" s="1"/>
  <c r="AW9" i="36"/>
  <c r="AX9" i="36" s="1"/>
  <c r="AS9" i="36"/>
  <c r="AT9" i="36" s="1"/>
  <c r="AW7" i="36"/>
  <c r="AX7" i="36" s="1"/>
  <c r="AS7" i="36"/>
  <c r="AT7" i="36" s="1"/>
  <c r="AW5" i="36"/>
  <c r="AX5" i="36" s="1"/>
  <c r="AS5" i="36"/>
  <c r="AT5" i="36" s="1"/>
  <c r="AN5" i="36"/>
  <c r="AN7" i="36" s="1"/>
  <c r="AN9" i="36" s="1"/>
  <c r="AN11" i="36" s="1"/>
  <c r="AN13" i="36" s="1"/>
  <c r="AN15" i="36" s="1"/>
  <c r="AN17" i="36" s="1"/>
  <c r="AN19" i="36" s="1"/>
  <c r="AN21" i="36" s="1"/>
  <c r="AN23" i="36" s="1"/>
  <c r="AW3" i="36"/>
  <c r="AX3" i="36" s="1"/>
  <c r="AS3" i="36"/>
  <c r="K83" i="37"/>
  <c r="J83" i="37"/>
  <c r="G83" i="37"/>
  <c r="E83" i="37"/>
  <c r="C83" i="37"/>
  <c r="K81" i="37"/>
  <c r="J81" i="37"/>
  <c r="G81" i="37"/>
  <c r="E81" i="37"/>
  <c r="C81" i="37"/>
  <c r="K79" i="37"/>
  <c r="J79" i="37"/>
  <c r="G79" i="37"/>
  <c r="E79" i="37"/>
  <c r="C79" i="37"/>
  <c r="K77" i="37"/>
  <c r="J77" i="37"/>
  <c r="G77" i="37"/>
  <c r="E77" i="37"/>
  <c r="C77" i="37"/>
  <c r="K75" i="37"/>
  <c r="J75" i="37"/>
  <c r="G75" i="37"/>
  <c r="E75" i="37"/>
  <c r="C75" i="37"/>
  <c r="K73" i="37"/>
  <c r="J73" i="37"/>
  <c r="G73" i="37"/>
  <c r="E73" i="37"/>
  <c r="C73" i="37"/>
  <c r="K71" i="37"/>
  <c r="J71" i="37"/>
  <c r="G71" i="37"/>
  <c r="E71" i="37"/>
  <c r="C71" i="37"/>
  <c r="L65" i="37"/>
  <c r="M65" i="37" s="1"/>
  <c r="H65" i="37"/>
  <c r="I65" i="37" s="1"/>
  <c r="L63" i="37"/>
  <c r="M63" i="37" s="1"/>
  <c r="H63" i="37"/>
  <c r="I63" i="37" s="1"/>
  <c r="L61" i="37"/>
  <c r="M61" i="37" s="1"/>
  <c r="H61" i="37"/>
  <c r="I61" i="37" s="1"/>
  <c r="L59" i="37"/>
  <c r="M59" i="37" s="1"/>
  <c r="H59" i="37"/>
  <c r="I59" i="37" s="1"/>
  <c r="L57" i="37"/>
  <c r="M57" i="37" s="1"/>
  <c r="H57" i="37"/>
  <c r="I57" i="37" s="1"/>
  <c r="L55" i="37"/>
  <c r="M55" i="37" s="1"/>
  <c r="H55" i="37"/>
  <c r="I55" i="37" s="1"/>
  <c r="L53" i="37"/>
  <c r="M53" i="37" s="1"/>
  <c r="H53" i="37"/>
  <c r="I53" i="37" s="1"/>
  <c r="K49" i="37"/>
  <c r="J49" i="37"/>
  <c r="G49" i="37"/>
  <c r="E49" i="37"/>
  <c r="C49" i="37"/>
  <c r="K48" i="37"/>
  <c r="J48" i="37"/>
  <c r="L48" i="37" s="1"/>
  <c r="M48" i="37" s="1"/>
  <c r="G48" i="37"/>
  <c r="E48" i="37"/>
  <c r="C48" i="37"/>
  <c r="K47" i="37"/>
  <c r="J47" i="37"/>
  <c r="G47" i="37"/>
  <c r="E47" i="37"/>
  <c r="C47" i="37"/>
  <c r="K46" i="37"/>
  <c r="J46" i="37"/>
  <c r="L46" i="37" s="1"/>
  <c r="M46" i="37" s="1"/>
  <c r="G46" i="37"/>
  <c r="E46" i="37"/>
  <c r="C46" i="37"/>
  <c r="K45" i="37"/>
  <c r="J45" i="37"/>
  <c r="G45" i="37"/>
  <c r="E45" i="37"/>
  <c r="C45" i="37"/>
  <c r="K44" i="37"/>
  <c r="J44" i="37"/>
  <c r="G44" i="37"/>
  <c r="E44" i="37"/>
  <c r="C44" i="37"/>
  <c r="K43" i="37"/>
  <c r="J43" i="37"/>
  <c r="G43" i="37"/>
  <c r="E43" i="37"/>
  <c r="C43" i="37"/>
  <c r="K42" i="37"/>
  <c r="J42" i="37"/>
  <c r="G42" i="37"/>
  <c r="E42" i="37"/>
  <c r="C42" i="37"/>
  <c r="K41" i="37"/>
  <c r="J41" i="37"/>
  <c r="G41" i="37"/>
  <c r="E41" i="37"/>
  <c r="C41" i="37"/>
  <c r="K40" i="37"/>
  <c r="J40" i="37"/>
  <c r="G40" i="37"/>
  <c r="E40" i="37"/>
  <c r="C40" i="37"/>
  <c r="K39" i="37"/>
  <c r="J39" i="37"/>
  <c r="G39" i="37"/>
  <c r="E39" i="37"/>
  <c r="C39" i="37"/>
  <c r="K38" i="37"/>
  <c r="J38" i="37"/>
  <c r="G38" i="37"/>
  <c r="E38" i="37"/>
  <c r="C38" i="37"/>
  <c r="K37" i="37"/>
  <c r="J37" i="37"/>
  <c r="G37" i="37"/>
  <c r="E37" i="37"/>
  <c r="C37" i="37"/>
  <c r="K36" i="37"/>
  <c r="J36" i="37"/>
  <c r="L36" i="37" s="1"/>
  <c r="M36" i="37" s="1"/>
  <c r="G36" i="37"/>
  <c r="E36" i="37"/>
  <c r="C36" i="37"/>
  <c r="K35" i="37"/>
  <c r="J35" i="37"/>
  <c r="G35" i="37"/>
  <c r="E35" i="37"/>
  <c r="C35" i="37"/>
  <c r="K34" i="37"/>
  <c r="J34" i="37"/>
  <c r="L34" i="37" s="1"/>
  <c r="M34" i="37" s="1"/>
  <c r="G34" i="37"/>
  <c r="E34" i="37"/>
  <c r="C34" i="37"/>
  <c r="K33" i="37"/>
  <c r="J33" i="37"/>
  <c r="G33" i="37"/>
  <c r="E33" i="37"/>
  <c r="C33" i="37"/>
  <c r="K32" i="37"/>
  <c r="J32" i="37"/>
  <c r="G32" i="37"/>
  <c r="E32" i="37"/>
  <c r="C32" i="37"/>
  <c r="K31" i="37"/>
  <c r="J31" i="37"/>
  <c r="G31" i="37"/>
  <c r="E31" i="37"/>
  <c r="C31" i="37"/>
  <c r="K30" i="37"/>
  <c r="J30" i="37"/>
  <c r="G30" i="37"/>
  <c r="E30" i="37"/>
  <c r="C30" i="37"/>
  <c r="K29" i="37"/>
  <c r="J29" i="37"/>
  <c r="G29" i="37"/>
  <c r="E29" i="37"/>
  <c r="C29" i="37"/>
  <c r="K28" i="37"/>
  <c r="J28" i="37"/>
  <c r="G28" i="37"/>
  <c r="E28" i="37"/>
  <c r="C28" i="37"/>
  <c r="K27" i="37"/>
  <c r="J27" i="37"/>
  <c r="G27" i="37"/>
  <c r="E27" i="37"/>
  <c r="C27" i="37"/>
  <c r="K26" i="37"/>
  <c r="J26" i="37"/>
  <c r="G26" i="37"/>
  <c r="E26" i="37"/>
  <c r="C26" i="37"/>
  <c r="K25" i="37"/>
  <c r="J25" i="37"/>
  <c r="G25" i="37"/>
  <c r="E25" i="37"/>
  <c r="C25" i="37"/>
  <c r="K24" i="37"/>
  <c r="J24" i="37"/>
  <c r="G24" i="37"/>
  <c r="E24" i="37"/>
  <c r="C24" i="37"/>
  <c r="K23" i="37"/>
  <c r="J23" i="37"/>
  <c r="G23" i="37"/>
  <c r="E23" i="37"/>
  <c r="C23" i="37"/>
  <c r="K22" i="37"/>
  <c r="J22" i="37"/>
  <c r="L22" i="37" s="1"/>
  <c r="M22" i="37" s="1"/>
  <c r="G22" i="37"/>
  <c r="E22" i="37"/>
  <c r="C22" i="37"/>
  <c r="K21" i="37"/>
  <c r="J21" i="37"/>
  <c r="G21" i="37"/>
  <c r="E21" i="37"/>
  <c r="C21" i="37"/>
  <c r="K20" i="37"/>
  <c r="J20" i="37"/>
  <c r="L20" i="37" s="1"/>
  <c r="M20" i="37" s="1"/>
  <c r="G20" i="37"/>
  <c r="E20" i="37"/>
  <c r="C20" i="37"/>
  <c r="L16" i="37"/>
  <c r="M16" i="37" s="1"/>
  <c r="H16" i="37"/>
  <c r="I16" i="37" s="1"/>
  <c r="L15" i="37"/>
  <c r="M15" i="37" s="1"/>
  <c r="H15" i="37"/>
  <c r="I15" i="37" s="1"/>
  <c r="L14" i="37"/>
  <c r="M14" i="37" s="1"/>
  <c r="H14" i="37"/>
  <c r="I14" i="37" s="1"/>
  <c r="L13" i="37"/>
  <c r="M13" i="37" s="1"/>
  <c r="H13" i="37"/>
  <c r="I13" i="37" s="1"/>
  <c r="L12" i="37"/>
  <c r="M12" i="37" s="1"/>
  <c r="H12" i="37"/>
  <c r="I12" i="37" s="1"/>
  <c r="L11" i="37"/>
  <c r="M11" i="37" s="1"/>
  <c r="H11" i="37"/>
  <c r="I11" i="37" s="1"/>
  <c r="L10" i="37"/>
  <c r="M10" i="37" s="1"/>
  <c r="H10" i="37"/>
  <c r="I10" i="37" s="1"/>
  <c r="L9" i="37"/>
  <c r="M9" i="37" s="1"/>
  <c r="H9" i="37"/>
  <c r="I9" i="37" s="1"/>
  <c r="L8" i="37"/>
  <c r="M8" i="37" s="1"/>
  <c r="H8" i="37"/>
  <c r="I8" i="37" s="1"/>
  <c r="L7" i="37"/>
  <c r="M7" i="37" s="1"/>
  <c r="H7" i="37"/>
  <c r="I7" i="37" s="1"/>
  <c r="L6" i="37"/>
  <c r="M6" i="37" s="1"/>
  <c r="H6" i="37"/>
  <c r="I6" i="37" s="1"/>
  <c r="L5" i="37"/>
  <c r="M5" i="37" s="1"/>
  <c r="H5" i="37"/>
  <c r="I5" i="37" s="1"/>
  <c r="L4" i="37"/>
  <c r="M4" i="37" s="1"/>
  <c r="H4" i="37"/>
  <c r="I4" i="37" s="1"/>
  <c r="L3" i="37"/>
  <c r="M3" i="37" s="1"/>
  <c r="H3" i="37"/>
  <c r="I3" i="37" s="1"/>
  <c r="W40" i="36"/>
  <c r="X40" i="36" s="1"/>
  <c r="J56" i="36"/>
  <c r="K56" i="36" s="1"/>
  <c r="J54" i="36"/>
  <c r="K54" i="36" s="1"/>
  <c r="F44" i="36"/>
  <c r="G44" i="36" s="1"/>
  <c r="P46" i="36"/>
  <c r="P37" i="36"/>
  <c r="AA38" i="36"/>
  <c r="AA40" i="36" s="1"/>
  <c r="AA42" i="36" s="1"/>
  <c r="AA44" i="36" s="1"/>
  <c r="AA46" i="36" s="1"/>
  <c r="AA48" i="36" s="1"/>
  <c r="AA50" i="36" s="1"/>
  <c r="AA52" i="36" s="1"/>
  <c r="AA54" i="36" s="1"/>
  <c r="AA56" i="36" s="1"/>
  <c r="AI53" i="36"/>
  <c r="AH53" i="36"/>
  <c r="AE53" i="36"/>
  <c r="AD53" i="36"/>
  <c r="AC53" i="36"/>
  <c r="V53" i="36"/>
  <c r="U53" i="36"/>
  <c r="R53" i="36"/>
  <c r="Q53" i="36"/>
  <c r="P53" i="36"/>
  <c r="I53" i="36"/>
  <c r="H53" i="36"/>
  <c r="E53" i="36"/>
  <c r="D53" i="36"/>
  <c r="C53" i="36"/>
  <c r="AI52" i="36"/>
  <c r="AH52" i="36"/>
  <c r="AJ52" i="36" s="1"/>
  <c r="AK52" i="36" s="1"/>
  <c r="AE52" i="36"/>
  <c r="AD52" i="36"/>
  <c r="AC52" i="36"/>
  <c r="AF52" i="36" s="1"/>
  <c r="AG52" i="36" s="1"/>
  <c r="V52" i="36"/>
  <c r="U52" i="36"/>
  <c r="W52" i="36" s="1"/>
  <c r="X52" i="36" s="1"/>
  <c r="R52" i="36"/>
  <c r="Q52" i="36"/>
  <c r="P52" i="36"/>
  <c r="I52" i="36"/>
  <c r="H52" i="36"/>
  <c r="J52" i="36" s="1"/>
  <c r="K52" i="36" s="1"/>
  <c r="E52" i="36"/>
  <c r="D52" i="36"/>
  <c r="C52" i="36"/>
  <c r="AI51" i="36"/>
  <c r="AH51" i="36"/>
  <c r="AE51" i="36"/>
  <c r="AD51" i="36"/>
  <c r="AC51" i="36"/>
  <c r="V51" i="36"/>
  <c r="U51" i="36"/>
  <c r="R51" i="36"/>
  <c r="Q51" i="36"/>
  <c r="P51" i="36"/>
  <c r="I51" i="36"/>
  <c r="H51" i="36"/>
  <c r="E51" i="36"/>
  <c r="D51" i="36"/>
  <c r="C51" i="36"/>
  <c r="AI50" i="36"/>
  <c r="AH50" i="36"/>
  <c r="AE50" i="36"/>
  <c r="AD50" i="36"/>
  <c r="AC50" i="36"/>
  <c r="AF50" i="36" s="1"/>
  <c r="AG50" i="36" s="1"/>
  <c r="V50" i="36"/>
  <c r="U50" i="36"/>
  <c r="W50" i="36" s="1"/>
  <c r="X50" i="36" s="1"/>
  <c r="R50" i="36"/>
  <c r="Q50" i="36"/>
  <c r="P50" i="36"/>
  <c r="I50" i="36"/>
  <c r="H50" i="36"/>
  <c r="J50" i="36" s="1"/>
  <c r="K50" i="36" s="1"/>
  <c r="E50" i="36"/>
  <c r="D50" i="36"/>
  <c r="C50" i="36"/>
  <c r="AI49" i="36"/>
  <c r="AH49" i="36"/>
  <c r="AE49" i="36"/>
  <c r="AD49" i="36"/>
  <c r="AC49" i="36"/>
  <c r="V49" i="36"/>
  <c r="U49" i="36"/>
  <c r="R49" i="36"/>
  <c r="Q49" i="36"/>
  <c r="P49" i="36"/>
  <c r="I49" i="36"/>
  <c r="H49" i="36"/>
  <c r="E49" i="36"/>
  <c r="D49" i="36"/>
  <c r="C49" i="36"/>
  <c r="AI48" i="36"/>
  <c r="AH48" i="36"/>
  <c r="AJ48" i="36" s="1"/>
  <c r="AK48" i="36" s="1"/>
  <c r="AE48" i="36"/>
  <c r="AD48" i="36"/>
  <c r="AC48" i="36"/>
  <c r="V48" i="36"/>
  <c r="U48" i="36"/>
  <c r="W48" i="36" s="1"/>
  <c r="X48" i="36" s="1"/>
  <c r="R48" i="36"/>
  <c r="S48" i="36" s="1"/>
  <c r="T48" i="36" s="1"/>
  <c r="Q48" i="36"/>
  <c r="P48" i="36"/>
  <c r="I48" i="36"/>
  <c r="H48" i="36"/>
  <c r="E48" i="36"/>
  <c r="D48" i="36"/>
  <c r="C48" i="36"/>
  <c r="AI47" i="36"/>
  <c r="AH47" i="36"/>
  <c r="AE47" i="36"/>
  <c r="AD47" i="36"/>
  <c r="AC47" i="36"/>
  <c r="V47" i="36"/>
  <c r="U47" i="36"/>
  <c r="R47" i="36"/>
  <c r="Q47" i="36"/>
  <c r="P47" i="36"/>
  <c r="I47" i="36"/>
  <c r="H47" i="36"/>
  <c r="E47" i="36"/>
  <c r="D47" i="36"/>
  <c r="C47" i="36"/>
  <c r="AI46" i="36"/>
  <c r="AH46" i="36"/>
  <c r="AE46" i="36"/>
  <c r="AD46" i="36"/>
  <c r="AC46" i="36"/>
  <c r="AF46" i="36" s="1"/>
  <c r="AG46" i="36" s="1"/>
  <c r="V46" i="36"/>
  <c r="U46" i="36"/>
  <c r="R46" i="36"/>
  <c r="Q46" i="36"/>
  <c r="I46" i="36"/>
  <c r="H46" i="36"/>
  <c r="E46" i="36"/>
  <c r="D46" i="36"/>
  <c r="C46" i="36"/>
  <c r="F46" i="36" s="1"/>
  <c r="G46" i="36" s="1"/>
  <c r="AK7" i="36"/>
  <c r="AA5" i="36"/>
  <c r="AA7" i="36" s="1"/>
  <c r="AA9" i="36" s="1"/>
  <c r="AA11" i="36" s="1"/>
  <c r="AA13" i="36" s="1"/>
  <c r="AA15" i="36" s="1"/>
  <c r="AA17" i="36" s="1"/>
  <c r="AA19" i="36" s="1"/>
  <c r="AA21" i="36" s="1"/>
  <c r="AA23" i="36" s="1"/>
  <c r="AI99" i="36"/>
  <c r="AH99" i="36"/>
  <c r="AE99" i="36"/>
  <c r="AD99" i="36"/>
  <c r="AC99" i="36"/>
  <c r="AI97" i="36"/>
  <c r="AH97" i="36"/>
  <c r="AE97" i="36"/>
  <c r="AD97" i="36"/>
  <c r="AC97" i="36"/>
  <c r="AI95" i="36"/>
  <c r="AH95" i="36"/>
  <c r="AE95" i="36"/>
  <c r="AD95" i="36"/>
  <c r="AC95" i="36"/>
  <c r="AI93" i="36"/>
  <c r="AH93" i="36"/>
  <c r="AE93" i="36"/>
  <c r="AD93" i="36"/>
  <c r="AC93" i="36"/>
  <c r="AI91" i="36"/>
  <c r="AH91" i="36"/>
  <c r="AE91" i="36"/>
  <c r="AD91" i="36"/>
  <c r="AC91" i="36"/>
  <c r="AI89" i="36"/>
  <c r="AH89" i="36"/>
  <c r="AE89" i="36"/>
  <c r="AD89" i="36"/>
  <c r="AC89" i="36"/>
  <c r="AI87" i="36"/>
  <c r="AH87" i="36"/>
  <c r="AE87" i="36"/>
  <c r="AD87" i="36"/>
  <c r="AC87" i="36"/>
  <c r="AJ81" i="36"/>
  <c r="AK81" i="36" s="1"/>
  <c r="AF81" i="36"/>
  <c r="AG81" i="36" s="1"/>
  <c r="AJ79" i="36"/>
  <c r="AK79" i="36" s="1"/>
  <c r="AF79" i="36"/>
  <c r="AG79" i="36" s="1"/>
  <c r="AJ77" i="36"/>
  <c r="AK77" i="36" s="1"/>
  <c r="AF77" i="36"/>
  <c r="AG77" i="36" s="1"/>
  <c r="AJ75" i="36"/>
  <c r="AK75" i="36" s="1"/>
  <c r="AF75" i="36"/>
  <c r="AG75" i="36" s="1"/>
  <c r="AJ73" i="36"/>
  <c r="AK73" i="36" s="1"/>
  <c r="AF73" i="36"/>
  <c r="AG73" i="36" s="1"/>
  <c r="AJ71" i="36"/>
  <c r="AK71" i="36" s="1"/>
  <c r="AF71" i="36"/>
  <c r="AG71" i="36" s="1"/>
  <c r="AJ69" i="36"/>
  <c r="AK69" i="36" s="1"/>
  <c r="AF69" i="36"/>
  <c r="AG69" i="36" s="1"/>
  <c r="AI57" i="36"/>
  <c r="AH57" i="36"/>
  <c r="AE57" i="36"/>
  <c r="AD57" i="36"/>
  <c r="AC57" i="36"/>
  <c r="AI56" i="36"/>
  <c r="AH56" i="36"/>
  <c r="AJ56" i="36" s="1"/>
  <c r="AK56" i="36" s="1"/>
  <c r="AE56" i="36"/>
  <c r="AD56" i="36"/>
  <c r="AC56" i="36"/>
  <c r="AI55" i="36"/>
  <c r="AH55" i="36"/>
  <c r="AE55" i="36"/>
  <c r="AD55" i="36"/>
  <c r="AC55" i="36"/>
  <c r="AI54" i="36"/>
  <c r="AH54" i="36"/>
  <c r="AJ54" i="36" s="1"/>
  <c r="AK54" i="36" s="1"/>
  <c r="AE54" i="36"/>
  <c r="AD54" i="36"/>
  <c r="AC54" i="36"/>
  <c r="AI45" i="36"/>
  <c r="AH45" i="36"/>
  <c r="AE45" i="36"/>
  <c r="AD45" i="36"/>
  <c r="AC45" i="36"/>
  <c r="AI44" i="36"/>
  <c r="AH44" i="36"/>
  <c r="AE44" i="36"/>
  <c r="AD44" i="36"/>
  <c r="AC44" i="36"/>
  <c r="AI43" i="36"/>
  <c r="AH43" i="36"/>
  <c r="AE43" i="36"/>
  <c r="AD43" i="36"/>
  <c r="AC43" i="36"/>
  <c r="AI42" i="36"/>
  <c r="AH42" i="36"/>
  <c r="AJ42" i="36" s="1"/>
  <c r="AK42" i="36" s="1"/>
  <c r="AE42" i="36"/>
  <c r="AD42" i="36"/>
  <c r="AC42" i="36"/>
  <c r="AI41" i="36"/>
  <c r="AH41" i="36"/>
  <c r="AE41" i="36"/>
  <c r="AD41" i="36"/>
  <c r="AC41" i="36"/>
  <c r="AI40" i="36"/>
  <c r="AH40" i="36"/>
  <c r="AJ40" i="36" s="1"/>
  <c r="AK40" i="36" s="1"/>
  <c r="AE40" i="36"/>
  <c r="AD40" i="36"/>
  <c r="AC40" i="36"/>
  <c r="AF40" i="36" s="1"/>
  <c r="AG40" i="36" s="1"/>
  <c r="AI39" i="36"/>
  <c r="AH39" i="36"/>
  <c r="AE39" i="36"/>
  <c r="AD39" i="36"/>
  <c r="AC39" i="36"/>
  <c r="AI38" i="36"/>
  <c r="AH38" i="36"/>
  <c r="AE38" i="36"/>
  <c r="AD38" i="36"/>
  <c r="AC38" i="36"/>
  <c r="AF38" i="36" s="1"/>
  <c r="AG38" i="36" s="1"/>
  <c r="AI37" i="36"/>
  <c r="AH37" i="36"/>
  <c r="AE37" i="36"/>
  <c r="AD37" i="36"/>
  <c r="AC37" i="36"/>
  <c r="AI36" i="36"/>
  <c r="AH36" i="36"/>
  <c r="AJ36" i="36" s="1"/>
  <c r="AK36" i="36" s="1"/>
  <c r="AE36" i="36"/>
  <c r="AD36" i="36"/>
  <c r="AC36" i="36"/>
  <c r="AJ23" i="36"/>
  <c r="AK23" i="36" s="1"/>
  <c r="AF23" i="36"/>
  <c r="AG23" i="36" s="1"/>
  <c r="AJ21" i="36"/>
  <c r="AK21" i="36" s="1"/>
  <c r="AF21" i="36"/>
  <c r="AG21" i="36" s="1"/>
  <c r="AJ19" i="36"/>
  <c r="AK19" i="36" s="1"/>
  <c r="AF19" i="36"/>
  <c r="AG19" i="36" s="1"/>
  <c r="AJ17" i="36"/>
  <c r="AK17" i="36" s="1"/>
  <c r="AF17" i="36"/>
  <c r="AG17" i="36" s="1"/>
  <c r="AJ15" i="36"/>
  <c r="AK15" i="36" s="1"/>
  <c r="AF15" i="36"/>
  <c r="AG15" i="36" s="1"/>
  <c r="AJ13" i="36"/>
  <c r="AK13" i="36" s="1"/>
  <c r="AF13" i="36"/>
  <c r="AG13" i="36" s="1"/>
  <c r="AJ11" i="36"/>
  <c r="AK11" i="36" s="1"/>
  <c r="AF11" i="36"/>
  <c r="AG11" i="36" s="1"/>
  <c r="AJ9" i="36"/>
  <c r="AK9" i="36" s="1"/>
  <c r="AF9" i="36"/>
  <c r="AG9" i="36" s="1"/>
  <c r="AJ7" i="36"/>
  <c r="AF7" i="36"/>
  <c r="AG7" i="36" s="1"/>
  <c r="AJ5" i="36"/>
  <c r="AK5" i="36" s="1"/>
  <c r="AF5" i="36"/>
  <c r="AG5" i="36" s="1"/>
  <c r="AJ3" i="36"/>
  <c r="AK3" i="36" s="1"/>
  <c r="AF3" i="36"/>
  <c r="AG3" i="36" s="1"/>
  <c r="V99" i="36"/>
  <c r="U99" i="36"/>
  <c r="R99" i="36"/>
  <c r="Q99" i="36"/>
  <c r="P99" i="36"/>
  <c r="V97" i="36"/>
  <c r="U97" i="36"/>
  <c r="R97" i="36"/>
  <c r="Q97" i="36"/>
  <c r="P97" i="36"/>
  <c r="V95" i="36"/>
  <c r="U95" i="36"/>
  <c r="R95" i="36"/>
  <c r="Q95" i="36"/>
  <c r="P95" i="36"/>
  <c r="V93" i="36"/>
  <c r="U93" i="36"/>
  <c r="R93" i="36"/>
  <c r="Q93" i="36"/>
  <c r="P93" i="36"/>
  <c r="V91" i="36"/>
  <c r="U91" i="36"/>
  <c r="R91" i="36"/>
  <c r="Q91" i="36"/>
  <c r="P91" i="36"/>
  <c r="V89" i="36"/>
  <c r="U89" i="36"/>
  <c r="R89" i="36"/>
  <c r="Q89" i="36"/>
  <c r="P89" i="36"/>
  <c r="V87" i="36"/>
  <c r="U87" i="36"/>
  <c r="R87" i="36"/>
  <c r="Q87" i="36"/>
  <c r="P87" i="36"/>
  <c r="W81" i="36"/>
  <c r="X81" i="36" s="1"/>
  <c r="S81" i="36"/>
  <c r="T81" i="36" s="1"/>
  <c r="W79" i="36"/>
  <c r="X79" i="36" s="1"/>
  <c r="S79" i="36"/>
  <c r="T79" i="36" s="1"/>
  <c r="W77" i="36"/>
  <c r="X77" i="36" s="1"/>
  <c r="S77" i="36"/>
  <c r="T77" i="36" s="1"/>
  <c r="W75" i="36"/>
  <c r="X75" i="36" s="1"/>
  <c r="S75" i="36"/>
  <c r="T75" i="36" s="1"/>
  <c r="W73" i="36"/>
  <c r="X73" i="36" s="1"/>
  <c r="S73" i="36"/>
  <c r="T73" i="36" s="1"/>
  <c r="W71" i="36"/>
  <c r="X71" i="36" s="1"/>
  <c r="S71" i="36"/>
  <c r="T71" i="36" s="1"/>
  <c r="W69" i="36"/>
  <c r="X69" i="36" s="1"/>
  <c r="S69" i="36"/>
  <c r="T69" i="36" s="1"/>
  <c r="V65" i="36"/>
  <c r="U65" i="36"/>
  <c r="R65" i="36"/>
  <c r="Q65" i="36"/>
  <c r="P65" i="36"/>
  <c r="V64" i="36"/>
  <c r="U64" i="36"/>
  <c r="W64" i="36" s="1"/>
  <c r="X64" i="36" s="1"/>
  <c r="R64" i="36"/>
  <c r="Q64" i="36"/>
  <c r="P64" i="36"/>
  <c r="V63" i="36"/>
  <c r="U63" i="36"/>
  <c r="R63" i="36"/>
  <c r="Q63" i="36"/>
  <c r="P63" i="36"/>
  <c r="V62" i="36"/>
  <c r="U62" i="36"/>
  <c r="W62" i="36" s="1"/>
  <c r="X62" i="36" s="1"/>
  <c r="R62" i="36"/>
  <c r="Q62" i="36"/>
  <c r="P62" i="36"/>
  <c r="S62" i="36" s="1"/>
  <c r="T62" i="36" s="1"/>
  <c r="V61" i="36"/>
  <c r="U61" i="36"/>
  <c r="R61" i="36"/>
  <c r="Q61" i="36"/>
  <c r="P61" i="36"/>
  <c r="V60" i="36"/>
  <c r="U60" i="36"/>
  <c r="W60" i="36" s="1"/>
  <c r="X60" i="36" s="1"/>
  <c r="R60" i="36"/>
  <c r="Q60" i="36"/>
  <c r="P60" i="36"/>
  <c r="S60" i="36" s="1"/>
  <c r="T60" i="36" s="1"/>
  <c r="V59" i="36"/>
  <c r="U59" i="36"/>
  <c r="R59" i="36"/>
  <c r="Q59" i="36"/>
  <c r="P59" i="36"/>
  <c r="V58" i="36"/>
  <c r="U58" i="36"/>
  <c r="R58" i="36"/>
  <c r="Q58" i="36"/>
  <c r="P58" i="36"/>
  <c r="V57" i="36"/>
  <c r="U57" i="36"/>
  <c r="R57" i="36"/>
  <c r="Q57" i="36"/>
  <c r="P57" i="36"/>
  <c r="V56" i="36"/>
  <c r="W56" i="36" s="1"/>
  <c r="X56" i="36" s="1"/>
  <c r="U56" i="36"/>
  <c r="R56" i="36"/>
  <c r="Q56" i="36"/>
  <c r="P56" i="36"/>
  <c r="V55" i="36"/>
  <c r="U55" i="36"/>
  <c r="R55" i="36"/>
  <c r="Q55" i="36"/>
  <c r="P55" i="36"/>
  <c r="V54" i="36"/>
  <c r="U54" i="36"/>
  <c r="R54" i="36"/>
  <c r="S54" i="36" s="1"/>
  <c r="T54" i="36" s="1"/>
  <c r="Q54" i="36"/>
  <c r="P54" i="36"/>
  <c r="V45" i="36"/>
  <c r="U45" i="36"/>
  <c r="R45" i="36"/>
  <c r="Q45" i="36"/>
  <c r="P45" i="36"/>
  <c r="V44" i="36"/>
  <c r="U44" i="36"/>
  <c r="W44" i="36" s="1"/>
  <c r="X44" i="36" s="1"/>
  <c r="R44" i="36"/>
  <c r="S44" i="36" s="1"/>
  <c r="T44" i="36" s="1"/>
  <c r="Q44" i="36"/>
  <c r="P44" i="36"/>
  <c r="V43" i="36"/>
  <c r="U43" i="36"/>
  <c r="R43" i="36"/>
  <c r="Q43" i="36"/>
  <c r="P43" i="36"/>
  <c r="V42" i="36"/>
  <c r="U42" i="36"/>
  <c r="W42" i="36" s="1"/>
  <c r="X42" i="36" s="1"/>
  <c r="R42" i="36"/>
  <c r="Q42" i="36"/>
  <c r="P42" i="36"/>
  <c r="S42" i="36" s="1"/>
  <c r="T42" i="36" s="1"/>
  <c r="V41" i="36"/>
  <c r="U41" i="36"/>
  <c r="R41" i="36"/>
  <c r="Q41" i="36"/>
  <c r="P41" i="36"/>
  <c r="V40" i="36"/>
  <c r="U40" i="36"/>
  <c r="R40" i="36"/>
  <c r="Q40" i="36"/>
  <c r="P40" i="36"/>
  <c r="S40" i="36" s="1"/>
  <c r="T40" i="36" s="1"/>
  <c r="V39" i="36"/>
  <c r="U39" i="36"/>
  <c r="R39" i="36"/>
  <c r="Q39" i="36"/>
  <c r="P39" i="36"/>
  <c r="V38" i="36"/>
  <c r="U38" i="36"/>
  <c r="W38" i="36" s="1"/>
  <c r="X38" i="36" s="1"/>
  <c r="R38" i="36"/>
  <c r="Q38" i="36"/>
  <c r="P38" i="36"/>
  <c r="V37" i="36"/>
  <c r="U37" i="36"/>
  <c r="R37" i="36"/>
  <c r="Q37" i="36"/>
  <c r="V36" i="36"/>
  <c r="U36" i="36"/>
  <c r="R36" i="36"/>
  <c r="Q36" i="36"/>
  <c r="P36" i="36"/>
  <c r="S36" i="36" s="1"/>
  <c r="T36" i="36" s="1"/>
  <c r="W31" i="36"/>
  <c r="X31" i="36" s="1"/>
  <c r="S31" i="36"/>
  <c r="T31" i="36" s="1"/>
  <c r="W29" i="36"/>
  <c r="X29" i="36" s="1"/>
  <c r="S29" i="36"/>
  <c r="T29" i="36" s="1"/>
  <c r="W27" i="36"/>
  <c r="X27" i="36" s="1"/>
  <c r="S27" i="36"/>
  <c r="T27" i="36" s="1"/>
  <c r="W25" i="36"/>
  <c r="X25" i="36" s="1"/>
  <c r="S25" i="36"/>
  <c r="T25" i="36" s="1"/>
  <c r="W23" i="36"/>
  <c r="X23" i="36" s="1"/>
  <c r="S23" i="36"/>
  <c r="T23" i="36" s="1"/>
  <c r="W21" i="36"/>
  <c r="X21" i="36" s="1"/>
  <c r="S21" i="36"/>
  <c r="T21" i="36" s="1"/>
  <c r="W19" i="36"/>
  <c r="X19" i="36" s="1"/>
  <c r="S19" i="36"/>
  <c r="T19" i="36" s="1"/>
  <c r="W17" i="36"/>
  <c r="X17" i="36" s="1"/>
  <c r="S17" i="36"/>
  <c r="T17" i="36" s="1"/>
  <c r="W15" i="36"/>
  <c r="X15" i="36" s="1"/>
  <c r="S15" i="36"/>
  <c r="T15" i="36" s="1"/>
  <c r="W13" i="36"/>
  <c r="X13" i="36" s="1"/>
  <c r="S13" i="36"/>
  <c r="T13" i="36" s="1"/>
  <c r="W11" i="36"/>
  <c r="X11" i="36" s="1"/>
  <c r="S11" i="36"/>
  <c r="T11" i="36" s="1"/>
  <c r="W9" i="36"/>
  <c r="X9" i="36" s="1"/>
  <c r="S9" i="36"/>
  <c r="T9" i="36" s="1"/>
  <c r="W7" i="36"/>
  <c r="X7" i="36" s="1"/>
  <c r="S7" i="36"/>
  <c r="T7" i="36" s="1"/>
  <c r="W5" i="36"/>
  <c r="X5" i="36" s="1"/>
  <c r="S5" i="36"/>
  <c r="T5" i="36" s="1"/>
  <c r="W3" i="36"/>
  <c r="X3" i="36" s="1"/>
  <c r="S3" i="36"/>
  <c r="T3" i="36" s="1"/>
  <c r="J19" i="36"/>
  <c r="K19" i="36" s="1"/>
  <c r="F19" i="36"/>
  <c r="G19" i="36" s="1"/>
  <c r="J17" i="36"/>
  <c r="K17" i="36" s="1"/>
  <c r="F17" i="36"/>
  <c r="G17" i="36" s="1"/>
  <c r="J15" i="36"/>
  <c r="K15" i="36" s="1"/>
  <c r="F15" i="36"/>
  <c r="G15" i="36" s="1"/>
  <c r="J13" i="36"/>
  <c r="K13" i="36" s="1"/>
  <c r="F13" i="36"/>
  <c r="G13" i="36" s="1"/>
  <c r="I43" i="36"/>
  <c r="H43" i="36"/>
  <c r="E43" i="36"/>
  <c r="D43" i="36"/>
  <c r="C43" i="36"/>
  <c r="I42" i="36"/>
  <c r="H42" i="36"/>
  <c r="J42" i="36" s="1"/>
  <c r="K42" i="36" s="1"/>
  <c r="E42" i="36"/>
  <c r="F42" i="36" s="1"/>
  <c r="G42" i="36" s="1"/>
  <c r="D42" i="36"/>
  <c r="C42" i="36"/>
  <c r="I41" i="36"/>
  <c r="H41" i="36"/>
  <c r="E41" i="36"/>
  <c r="D41" i="36"/>
  <c r="C41" i="36"/>
  <c r="I40" i="36"/>
  <c r="H40" i="36"/>
  <c r="J40" i="36" s="1"/>
  <c r="K40" i="36" s="1"/>
  <c r="E40" i="36"/>
  <c r="D40" i="36"/>
  <c r="C40" i="36"/>
  <c r="F40" i="36" s="1"/>
  <c r="G40" i="36" s="1"/>
  <c r="I39" i="36"/>
  <c r="H39" i="36"/>
  <c r="E39" i="36"/>
  <c r="D39" i="36"/>
  <c r="C39" i="36"/>
  <c r="I38" i="36"/>
  <c r="H38" i="36"/>
  <c r="J38" i="36" s="1"/>
  <c r="K38" i="36" s="1"/>
  <c r="E38" i="36"/>
  <c r="D38" i="36"/>
  <c r="C38" i="36"/>
  <c r="I37" i="36"/>
  <c r="H37" i="36"/>
  <c r="E37" i="36"/>
  <c r="D37" i="36"/>
  <c r="C37" i="36"/>
  <c r="I36" i="36"/>
  <c r="H36" i="36"/>
  <c r="J36" i="36" s="1"/>
  <c r="K36" i="36" s="1"/>
  <c r="E36" i="36"/>
  <c r="D36" i="36"/>
  <c r="C36" i="36"/>
  <c r="F36" i="36" s="1"/>
  <c r="G36" i="36" s="1"/>
  <c r="J9" i="36"/>
  <c r="K9" i="36" s="1"/>
  <c r="F9" i="36"/>
  <c r="G9" i="36" s="1"/>
  <c r="J7" i="36"/>
  <c r="K7" i="36" s="1"/>
  <c r="F7" i="36"/>
  <c r="G7" i="36" s="1"/>
  <c r="J5" i="36"/>
  <c r="K5" i="36" s="1"/>
  <c r="F5" i="36"/>
  <c r="G5" i="36" s="1"/>
  <c r="J3" i="36"/>
  <c r="K3" i="36" s="1"/>
  <c r="F3" i="36"/>
  <c r="G3" i="36" s="1"/>
  <c r="I64" i="36"/>
  <c r="H64" i="36"/>
  <c r="J64" i="36" s="1"/>
  <c r="K64" i="36" s="1"/>
  <c r="I62" i="36"/>
  <c r="H62" i="36"/>
  <c r="J62" i="36" s="1"/>
  <c r="K62" i="36" s="1"/>
  <c r="I60" i="36"/>
  <c r="H60" i="36"/>
  <c r="J60" i="36" s="1"/>
  <c r="K60" i="36" s="1"/>
  <c r="I58" i="36"/>
  <c r="H58" i="36"/>
  <c r="J58" i="36" s="1"/>
  <c r="K58" i="36" s="1"/>
  <c r="I56" i="36"/>
  <c r="H56" i="36"/>
  <c r="I54" i="36"/>
  <c r="H54" i="36"/>
  <c r="I44" i="36"/>
  <c r="H44" i="36"/>
  <c r="J44" i="36" s="1"/>
  <c r="K44" i="36" s="1"/>
  <c r="E64" i="36"/>
  <c r="D64" i="36"/>
  <c r="C64" i="36"/>
  <c r="E62" i="36"/>
  <c r="D62" i="36"/>
  <c r="C62" i="36"/>
  <c r="F62" i="36" s="1"/>
  <c r="G62" i="36" s="1"/>
  <c r="E60" i="36"/>
  <c r="D60" i="36"/>
  <c r="C60" i="36"/>
  <c r="F60" i="36" s="1"/>
  <c r="G60" i="36" s="1"/>
  <c r="E58" i="36"/>
  <c r="D58" i="36"/>
  <c r="C58" i="36"/>
  <c r="F58" i="36" s="1"/>
  <c r="G58" i="36" s="1"/>
  <c r="E56" i="36"/>
  <c r="D56" i="36"/>
  <c r="C56" i="36"/>
  <c r="F56" i="36" s="1"/>
  <c r="G56" i="36" s="1"/>
  <c r="E54" i="36"/>
  <c r="D54" i="36"/>
  <c r="C54" i="36"/>
  <c r="D44" i="36"/>
  <c r="E44" i="36"/>
  <c r="C44" i="36"/>
  <c r="C87" i="36"/>
  <c r="I99" i="36"/>
  <c r="H99" i="36"/>
  <c r="E99" i="36"/>
  <c r="D99" i="36"/>
  <c r="C99" i="36"/>
  <c r="I97" i="36"/>
  <c r="H97" i="36"/>
  <c r="E97" i="36"/>
  <c r="D97" i="36"/>
  <c r="C97" i="36"/>
  <c r="I95" i="36"/>
  <c r="H95" i="36"/>
  <c r="E95" i="36"/>
  <c r="D95" i="36"/>
  <c r="C95" i="36"/>
  <c r="I93" i="36"/>
  <c r="H93" i="36"/>
  <c r="E93" i="36"/>
  <c r="D93" i="36"/>
  <c r="C93" i="36"/>
  <c r="I91" i="36"/>
  <c r="H91" i="36"/>
  <c r="E91" i="36"/>
  <c r="D91" i="36"/>
  <c r="C91" i="36"/>
  <c r="I89" i="36"/>
  <c r="H89" i="36"/>
  <c r="E89" i="36"/>
  <c r="D89" i="36"/>
  <c r="C89" i="36"/>
  <c r="I87" i="36"/>
  <c r="H87" i="36"/>
  <c r="E87" i="36"/>
  <c r="D87" i="36"/>
  <c r="J81" i="36"/>
  <c r="K81" i="36" s="1"/>
  <c r="F81" i="36"/>
  <c r="G81" i="36" s="1"/>
  <c r="J79" i="36"/>
  <c r="K79" i="36" s="1"/>
  <c r="F79" i="36"/>
  <c r="G79" i="36" s="1"/>
  <c r="J77" i="36"/>
  <c r="K77" i="36" s="1"/>
  <c r="F77" i="36"/>
  <c r="G77" i="36" s="1"/>
  <c r="J75" i="36"/>
  <c r="K75" i="36" s="1"/>
  <c r="F75" i="36"/>
  <c r="G75" i="36" s="1"/>
  <c r="J73" i="36"/>
  <c r="K73" i="36" s="1"/>
  <c r="F73" i="36"/>
  <c r="G73" i="36" s="1"/>
  <c r="J71" i="36"/>
  <c r="K71" i="36" s="1"/>
  <c r="F71" i="36"/>
  <c r="G71" i="36" s="1"/>
  <c r="J69" i="36"/>
  <c r="K69" i="36" s="1"/>
  <c r="F69" i="36"/>
  <c r="G69" i="36" s="1"/>
  <c r="W54" i="36" l="1"/>
  <c r="X54" i="36" s="1"/>
  <c r="AJ46" i="36"/>
  <c r="AK46" i="36" s="1"/>
  <c r="AJ50" i="36"/>
  <c r="AK50" i="36" s="1"/>
  <c r="AW48" i="36"/>
  <c r="AX48" i="36" s="1"/>
  <c r="J46" i="36"/>
  <c r="K46" i="36" s="1"/>
  <c r="S38" i="36"/>
  <c r="T38" i="36" s="1"/>
  <c r="S58" i="36"/>
  <c r="T58" i="36" s="1"/>
  <c r="AF36" i="36"/>
  <c r="AG36" i="36" s="1"/>
  <c r="AJ38" i="36"/>
  <c r="AK38" i="36" s="1"/>
  <c r="AF56" i="36"/>
  <c r="AG56" i="36" s="1"/>
  <c r="F48" i="36"/>
  <c r="G48" i="36" s="1"/>
  <c r="F52" i="36"/>
  <c r="G52" i="36" s="1"/>
  <c r="AS52" i="36"/>
  <c r="AT52" i="36" s="1"/>
  <c r="S56" i="36"/>
  <c r="T56" i="36" s="1"/>
  <c r="AF54" i="36"/>
  <c r="AG54" i="36" s="1"/>
  <c r="W46" i="36"/>
  <c r="X46" i="36" s="1"/>
  <c r="F64" i="36"/>
  <c r="G64" i="36" s="1"/>
  <c r="S46" i="36"/>
  <c r="T46" i="36" s="1"/>
  <c r="W58" i="36"/>
  <c r="X58" i="36" s="1"/>
  <c r="AF44" i="36"/>
  <c r="AG44" i="36" s="1"/>
  <c r="J48" i="36"/>
  <c r="K48" i="36" s="1"/>
  <c r="S50" i="36"/>
  <c r="T50" i="36" s="1"/>
  <c r="F54" i="36"/>
  <c r="G54" i="36" s="1"/>
  <c r="AF42" i="36"/>
  <c r="AG42" i="36" s="1"/>
  <c r="S52" i="36"/>
  <c r="T52" i="36" s="1"/>
  <c r="F38" i="36"/>
  <c r="G38" i="36" s="1"/>
  <c r="W36" i="36"/>
  <c r="X36" i="36" s="1"/>
  <c r="S64" i="36"/>
  <c r="T64" i="36" s="1"/>
  <c r="AJ44" i="36"/>
  <c r="AK44" i="36" s="1"/>
  <c r="F50" i="36"/>
  <c r="G50" i="36" s="1"/>
  <c r="AS46" i="36"/>
  <c r="AT46" i="36" s="1"/>
  <c r="AF48" i="36"/>
  <c r="AG48" i="36" s="1"/>
  <c r="AW36" i="36"/>
  <c r="AX36" i="36" s="1"/>
  <c r="AS36" i="36"/>
  <c r="AT36" i="36" s="1"/>
  <c r="AS50" i="36"/>
  <c r="AT50" i="36" s="1"/>
  <c r="AW38" i="36"/>
  <c r="AX38" i="36" s="1"/>
  <c r="AW52" i="36"/>
  <c r="AX52" i="36" s="1"/>
  <c r="AW40" i="36"/>
  <c r="AX40" i="36" s="1"/>
  <c r="AS42" i="36"/>
  <c r="AT42" i="36" s="1"/>
  <c r="AS44" i="36"/>
  <c r="AT44" i="36" s="1"/>
  <c r="AW44" i="36"/>
  <c r="AX44" i="36" s="1"/>
  <c r="AS48" i="36"/>
  <c r="AT48" i="36" s="1"/>
  <c r="AW50" i="36"/>
  <c r="AX50" i="36" s="1"/>
  <c r="AW54" i="36"/>
  <c r="AX54" i="36" s="1"/>
  <c r="AS56" i="36"/>
  <c r="AT56" i="36" s="1"/>
  <c r="AS40" i="36"/>
  <c r="AT40" i="36" s="1"/>
  <c r="H20" i="37"/>
  <c r="I20" i="37" s="1"/>
  <c r="H32" i="37"/>
  <c r="I32" i="37" s="1"/>
  <c r="H40" i="37"/>
  <c r="I40" i="37" s="1"/>
  <c r="L42" i="37"/>
  <c r="M42" i="37" s="1"/>
  <c r="L40" i="37"/>
  <c r="M40" i="37" s="1"/>
  <c r="L26" i="37"/>
  <c r="M26" i="37" s="1"/>
  <c r="H38" i="37"/>
  <c r="I38" i="37" s="1"/>
  <c r="L24" i="37"/>
  <c r="M24" i="37" s="1"/>
  <c r="H44" i="37"/>
  <c r="I44" i="37" s="1"/>
  <c r="L28" i="37"/>
  <c r="M28" i="37" s="1"/>
  <c r="H34" i="37"/>
  <c r="I34" i="37" s="1"/>
  <c r="H36" i="37"/>
  <c r="I36" i="37" s="1"/>
  <c r="H48" i="37"/>
  <c r="I48" i="37" s="1"/>
  <c r="H22" i="37"/>
  <c r="I22" i="37" s="1"/>
  <c r="H42" i="37"/>
  <c r="I42" i="37" s="1"/>
  <c r="L44" i="37"/>
  <c r="M44" i="37" s="1"/>
  <c r="H28" i="37"/>
  <c r="I28" i="37" s="1"/>
  <c r="H30" i="37"/>
  <c r="I30" i="37" s="1"/>
  <c r="L32" i="37"/>
  <c r="M32" i="37" s="1"/>
  <c r="H46" i="37"/>
  <c r="I46" i="37" s="1"/>
  <c r="L38" i="37"/>
  <c r="M38" i="37" s="1"/>
  <c r="H24" i="37"/>
  <c r="I24" i="37" s="1"/>
  <c r="H26" i="37"/>
  <c r="I26" i="37" s="1"/>
  <c r="L30" i="37"/>
  <c r="M30" i="37" s="1"/>
  <c r="X98" i="33" l="1"/>
  <c r="W98" i="33"/>
  <c r="T98" i="33"/>
  <c r="S98" i="33"/>
  <c r="R98" i="33"/>
  <c r="X96" i="33"/>
  <c r="W96" i="33"/>
  <c r="T96" i="33"/>
  <c r="S96" i="33"/>
  <c r="R96" i="33"/>
  <c r="X94" i="33"/>
  <c r="W94" i="33"/>
  <c r="T94" i="33"/>
  <c r="S94" i="33"/>
  <c r="R94" i="33"/>
  <c r="X92" i="33"/>
  <c r="W92" i="33"/>
  <c r="T92" i="33"/>
  <c r="S92" i="33"/>
  <c r="R92" i="33"/>
  <c r="X90" i="33"/>
  <c r="W90" i="33"/>
  <c r="T90" i="33"/>
  <c r="S90" i="33"/>
  <c r="R90" i="33"/>
  <c r="X88" i="33"/>
  <c r="W88" i="33"/>
  <c r="T88" i="33"/>
  <c r="S88" i="33"/>
  <c r="R88" i="33"/>
  <c r="X86" i="33"/>
  <c r="W86" i="33"/>
  <c r="T86" i="33"/>
  <c r="S86" i="33"/>
  <c r="R86" i="33"/>
  <c r="Z80" i="33"/>
  <c r="Y80" i="33"/>
  <c r="U80" i="33"/>
  <c r="V80" i="33" s="1"/>
  <c r="Y78" i="33"/>
  <c r="Z78" i="33" s="1"/>
  <c r="U78" i="33"/>
  <c r="V78" i="33" s="1"/>
  <c r="Y76" i="33"/>
  <c r="Z76" i="33" s="1"/>
  <c r="U76" i="33"/>
  <c r="V76" i="33" s="1"/>
  <c r="Z74" i="33"/>
  <c r="Y74" i="33"/>
  <c r="U74" i="33"/>
  <c r="V74" i="33" s="1"/>
  <c r="Y72" i="33"/>
  <c r="Z72" i="33" s="1"/>
  <c r="U72" i="33"/>
  <c r="V72" i="33" s="1"/>
  <c r="Y70" i="33"/>
  <c r="Z70" i="33" s="1"/>
  <c r="U70" i="33"/>
  <c r="V70" i="33" s="1"/>
  <c r="Y68" i="33"/>
  <c r="Z68" i="33" s="1"/>
  <c r="U68" i="33"/>
  <c r="V68" i="33" s="1"/>
  <c r="I65" i="36" l="1"/>
  <c r="H65" i="36"/>
  <c r="E65" i="36"/>
  <c r="D65" i="36"/>
  <c r="C65" i="36"/>
  <c r="I63" i="36"/>
  <c r="H63" i="36"/>
  <c r="E63" i="36"/>
  <c r="D63" i="36"/>
  <c r="C63" i="36"/>
  <c r="I61" i="36"/>
  <c r="H61" i="36"/>
  <c r="E61" i="36"/>
  <c r="D61" i="36"/>
  <c r="C61" i="36"/>
  <c r="I59" i="36"/>
  <c r="H59" i="36"/>
  <c r="E59" i="36"/>
  <c r="D59" i="36"/>
  <c r="C59" i="36"/>
  <c r="I57" i="36"/>
  <c r="H57" i="36"/>
  <c r="E57" i="36"/>
  <c r="D57" i="36"/>
  <c r="C57" i="36"/>
  <c r="I55" i="36"/>
  <c r="H55" i="36"/>
  <c r="E55" i="36"/>
  <c r="D55" i="36"/>
  <c r="C55" i="36"/>
  <c r="D45" i="36"/>
  <c r="E45" i="36"/>
  <c r="H45" i="36"/>
  <c r="I45" i="36"/>
  <c r="C45" i="36"/>
  <c r="J21" i="36"/>
  <c r="K21" i="36" s="1"/>
  <c r="J23" i="36"/>
  <c r="K23" i="36" s="1"/>
  <c r="J25" i="36"/>
  <c r="K25" i="36" s="1"/>
  <c r="J27" i="36"/>
  <c r="K27" i="36" s="1"/>
  <c r="J29" i="36"/>
  <c r="K29" i="36" s="1"/>
  <c r="J31" i="36"/>
  <c r="K31" i="36" s="1"/>
  <c r="F21" i="36"/>
  <c r="G21" i="36" s="1"/>
  <c r="F23" i="36"/>
  <c r="G23" i="36" s="1"/>
  <c r="F25" i="36"/>
  <c r="G25" i="36" s="1"/>
  <c r="F27" i="36"/>
  <c r="G27" i="36" s="1"/>
  <c r="F29" i="36"/>
  <c r="G29" i="36" s="1"/>
  <c r="F31" i="36"/>
  <c r="G31" i="36" s="1"/>
  <c r="J11" i="36"/>
  <c r="K11" i="36" s="1"/>
  <c r="F11" i="36"/>
  <c r="G11" i="36" s="1"/>
  <c r="D40" i="29" l="1"/>
  <c r="J58" i="35"/>
  <c r="I58" i="35"/>
  <c r="H58" i="35"/>
  <c r="G58" i="35"/>
  <c r="F58" i="35"/>
  <c r="E58" i="35"/>
  <c r="D58" i="35"/>
  <c r="J57" i="35"/>
  <c r="I57" i="35"/>
  <c r="H57" i="35"/>
  <c r="G57" i="35"/>
  <c r="F57" i="35"/>
  <c r="E57" i="35"/>
  <c r="D57" i="35"/>
  <c r="J56" i="35"/>
  <c r="I56" i="35"/>
  <c r="H56" i="35"/>
  <c r="G56" i="35"/>
  <c r="F56" i="35"/>
  <c r="E56" i="35"/>
  <c r="D56" i="35"/>
  <c r="J55" i="35"/>
  <c r="I55" i="35"/>
  <c r="H55" i="35"/>
  <c r="G55" i="35"/>
  <c r="F55" i="35"/>
  <c r="E55" i="35"/>
  <c r="D55" i="35"/>
  <c r="J54" i="35"/>
  <c r="I54" i="35"/>
  <c r="H54" i="35"/>
  <c r="G54" i="35"/>
  <c r="F54" i="35"/>
  <c r="E54" i="35"/>
  <c r="D54" i="35"/>
  <c r="J53" i="35"/>
  <c r="I53" i="35"/>
  <c r="H53" i="35"/>
  <c r="G53" i="35"/>
  <c r="F53" i="35"/>
  <c r="E53" i="35"/>
  <c r="D53" i="35"/>
  <c r="J52" i="35"/>
  <c r="I52" i="35"/>
  <c r="H52" i="35"/>
  <c r="G52" i="35"/>
  <c r="F52" i="35"/>
  <c r="E52" i="35"/>
  <c r="D52" i="35"/>
  <c r="J51" i="35"/>
  <c r="I51" i="35"/>
  <c r="H51" i="35"/>
  <c r="G51" i="35"/>
  <c r="F51" i="35"/>
  <c r="E51" i="35"/>
  <c r="D51" i="35"/>
  <c r="J50" i="35"/>
  <c r="I50" i="35"/>
  <c r="H50" i="35"/>
  <c r="G50" i="35"/>
  <c r="F50" i="35"/>
  <c r="E50" i="35"/>
  <c r="D50" i="35"/>
  <c r="J49" i="35"/>
  <c r="I49" i="35"/>
  <c r="H49" i="35"/>
  <c r="G49" i="35"/>
  <c r="F49" i="35"/>
  <c r="E49" i="35"/>
  <c r="D49" i="35"/>
  <c r="D47" i="35"/>
  <c r="J48" i="35"/>
  <c r="I48" i="35"/>
  <c r="H48" i="35"/>
  <c r="G48" i="35"/>
  <c r="F48" i="35"/>
  <c r="E48" i="35"/>
  <c r="D48" i="35"/>
  <c r="J47" i="35"/>
  <c r="I47" i="35"/>
  <c r="H47" i="35"/>
  <c r="G47" i="35"/>
  <c r="F47" i="35"/>
  <c r="E47" i="35"/>
  <c r="E46" i="35"/>
  <c r="F46" i="35"/>
  <c r="G46" i="35"/>
  <c r="H46" i="35"/>
  <c r="I46" i="35"/>
  <c r="J46" i="35"/>
  <c r="D46" i="35"/>
  <c r="E45" i="35"/>
  <c r="F45" i="35"/>
  <c r="G45" i="35"/>
  <c r="H45" i="35"/>
  <c r="I45" i="35"/>
  <c r="J45" i="35"/>
  <c r="D45" i="35"/>
  <c r="D33" i="35" l="1"/>
  <c r="J41" i="35"/>
  <c r="I41" i="35"/>
  <c r="H41" i="35"/>
  <c r="G41" i="35"/>
  <c r="F41" i="35"/>
  <c r="E41" i="35"/>
  <c r="D41" i="35"/>
  <c r="J39" i="35"/>
  <c r="I39" i="35"/>
  <c r="H39" i="35"/>
  <c r="G39" i="35"/>
  <c r="F39" i="35"/>
  <c r="E39" i="35"/>
  <c r="D39" i="35"/>
  <c r="J37" i="35"/>
  <c r="I37" i="35"/>
  <c r="H37" i="35"/>
  <c r="G37" i="35"/>
  <c r="F37" i="35"/>
  <c r="E37" i="35"/>
  <c r="D37" i="35"/>
  <c r="J35" i="35"/>
  <c r="I35" i="35"/>
  <c r="H35" i="35"/>
  <c r="G35" i="35"/>
  <c r="F35" i="35"/>
  <c r="E35" i="35"/>
  <c r="D35" i="35"/>
  <c r="J33" i="35"/>
  <c r="I33" i="35"/>
  <c r="H33" i="35"/>
  <c r="G33" i="35"/>
  <c r="F33" i="35"/>
  <c r="E33" i="35"/>
  <c r="J31" i="35"/>
  <c r="I31" i="35"/>
  <c r="H31" i="35"/>
  <c r="G31" i="35"/>
  <c r="F31" i="35"/>
  <c r="E31" i="35"/>
  <c r="D31" i="35"/>
  <c r="E29" i="35"/>
  <c r="F29" i="35"/>
  <c r="G29" i="35"/>
  <c r="H29" i="35"/>
  <c r="I29" i="35"/>
  <c r="J29" i="35"/>
  <c r="D29" i="35"/>
  <c r="Q64" i="33"/>
  <c r="W63" i="33"/>
  <c r="R63" i="33"/>
  <c r="S63" i="33"/>
  <c r="T63" i="33"/>
  <c r="U63" i="33"/>
  <c r="V63" i="33"/>
  <c r="X63" i="33"/>
  <c r="Q63" i="33"/>
  <c r="R60" i="33"/>
  <c r="S60" i="33"/>
  <c r="T60" i="33"/>
  <c r="U60" i="33"/>
  <c r="V60" i="33"/>
  <c r="R61" i="33"/>
  <c r="S61" i="33"/>
  <c r="T61" i="33"/>
  <c r="U61" i="33"/>
  <c r="V61" i="33"/>
  <c r="Q61" i="33"/>
  <c r="Q60" i="33"/>
  <c r="E58" i="18"/>
  <c r="F58" i="18"/>
  <c r="G58" i="18"/>
  <c r="H58" i="18"/>
  <c r="I58" i="18"/>
  <c r="J58" i="18"/>
  <c r="K58" i="18"/>
  <c r="L58" i="18"/>
  <c r="E59" i="18"/>
  <c r="F59" i="18"/>
  <c r="G59" i="18"/>
  <c r="H59" i="18"/>
  <c r="I59" i="18"/>
  <c r="J59" i="18"/>
  <c r="K59" i="18"/>
  <c r="L59" i="18"/>
  <c r="D58" i="18"/>
  <c r="D59" i="18"/>
  <c r="H56" i="18"/>
  <c r="E57" i="18"/>
  <c r="F57" i="18"/>
  <c r="G57" i="18"/>
  <c r="H57" i="18"/>
  <c r="I57" i="18"/>
  <c r="J57" i="18"/>
  <c r="K57" i="18"/>
  <c r="L57" i="18"/>
  <c r="M57" i="18"/>
  <c r="D57" i="18"/>
  <c r="D56" i="18"/>
  <c r="E56" i="18"/>
  <c r="F56" i="18"/>
  <c r="G56" i="18"/>
  <c r="I56" i="18"/>
  <c r="J56" i="18"/>
  <c r="K56" i="18"/>
  <c r="L56" i="18"/>
  <c r="M56" i="18"/>
  <c r="X58" i="33" l="1"/>
  <c r="W58" i="33"/>
  <c r="V58" i="33"/>
  <c r="S58" i="33"/>
  <c r="R58" i="33"/>
  <c r="T58" i="33"/>
  <c r="U58" i="33"/>
  <c r="Q56" i="33"/>
  <c r="Q58" i="33"/>
  <c r="X50" i="33"/>
  <c r="X48" i="33"/>
  <c r="D124" i="18" l="1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174" i="18"/>
  <c r="M173" i="18"/>
  <c r="M151" i="18"/>
  <c r="M150" i="18"/>
  <c r="M122" i="18"/>
  <c r="M121" i="18"/>
  <c r="M93" i="18"/>
  <c r="M92" i="18"/>
  <c r="M61" i="18"/>
  <c r="M60" i="18"/>
  <c r="M31" i="18"/>
  <c r="M30" i="18"/>
  <c r="M2" i="18"/>
  <c r="M1" i="18"/>
  <c r="X43" i="33" l="1"/>
  <c r="Q51" i="33" s="1"/>
  <c r="R51" i="33" s="1"/>
  <c r="S51" i="33" s="1"/>
  <c r="T51" i="33" s="1"/>
  <c r="U51" i="33" s="1"/>
  <c r="V51" i="33" s="1"/>
  <c r="W51" i="33" s="1"/>
  <c r="X51" i="33" s="1"/>
  <c r="X44" i="33"/>
  <c r="Q52" i="33" s="1"/>
  <c r="R52" i="33" s="1"/>
  <c r="S52" i="33" s="1"/>
  <c r="T52" i="33" s="1"/>
  <c r="U52" i="33" s="1"/>
  <c r="V52" i="33" s="1"/>
  <c r="W52" i="33" s="1"/>
  <c r="X52" i="33" s="1"/>
  <c r="K62" i="33"/>
  <c r="J62" i="33"/>
  <c r="I62" i="33"/>
  <c r="H62" i="33"/>
  <c r="G62" i="33"/>
  <c r="F62" i="33"/>
  <c r="E62" i="33"/>
  <c r="K61" i="33"/>
  <c r="J61" i="33"/>
  <c r="I61" i="33"/>
  <c r="H61" i="33"/>
  <c r="G61" i="33"/>
  <c r="F61" i="33"/>
  <c r="E61" i="33"/>
  <c r="B61" i="33"/>
  <c r="K60" i="33"/>
  <c r="J60" i="33"/>
  <c r="I60" i="33"/>
  <c r="H60" i="33"/>
  <c r="G60" i="33"/>
  <c r="F60" i="33"/>
  <c r="E60" i="33"/>
  <c r="K59" i="33"/>
  <c r="J59" i="33"/>
  <c r="I59" i="33"/>
  <c r="H59" i="33"/>
  <c r="G59" i="33"/>
  <c r="F59" i="33"/>
  <c r="E59" i="33"/>
  <c r="B59" i="33"/>
  <c r="K58" i="33"/>
  <c r="J58" i="33"/>
  <c r="I58" i="33"/>
  <c r="H58" i="33"/>
  <c r="G58" i="33"/>
  <c r="F58" i="33"/>
  <c r="E58" i="33"/>
  <c r="K57" i="33"/>
  <c r="J57" i="33"/>
  <c r="I57" i="33"/>
  <c r="H57" i="33"/>
  <c r="G57" i="33"/>
  <c r="F57" i="33"/>
  <c r="E57" i="33"/>
  <c r="B57" i="33"/>
  <c r="K56" i="33"/>
  <c r="J56" i="33"/>
  <c r="I56" i="33"/>
  <c r="H56" i="33"/>
  <c r="G56" i="33"/>
  <c r="F56" i="33"/>
  <c r="E56" i="33"/>
  <c r="K55" i="33"/>
  <c r="J55" i="33"/>
  <c r="I55" i="33"/>
  <c r="H55" i="33"/>
  <c r="G55" i="33"/>
  <c r="F55" i="33"/>
  <c r="E55" i="33"/>
  <c r="B55" i="33"/>
  <c r="K54" i="33"/>
  <c r="J54" i="33"/>
  <c r="I54" i="33"/>
  <c r="H54" i="33"/>
  <c r="G54" i="33"/>
  <c r="F54" i="33"/>
  <c r="E54" i="33"/>
  <c r="K53" i="33"/>
  <c r="J53" i="33"/>
  <c r="I53" i="33"/>
  <c r="H53" i="33"/>
  <c r="G53" i="33"/>
  <c r="F53" i="33"/>
  <c r="E53" i="33"/>
  <c r="B53" i="33"/>
  <c r="K52" i="33"/>
  <c r="J52" i="33"/>
  <c r="I52" i="33"/>
  <c r="H52" i="33"/>
  <c r="G52" i="33"/>
  <c r="F52" i="33"/>
  <c r="E52" i="33"/>
  <c r="K51" i="33"/>
  <c r="J51" i="33"/>
  <c r="I51" i="33"/>
  <c r="H51" i="33"/>
  <c r="G51" i="33"/>
  <c r="F51" i="33"/>
  <c r="E51" i="33"/>
  <c r="B51" i="33"/>
  <c r="K50" i="33"/>
  <c r="J50" i="33"/>
  <c r="I50" i="33"/>
  <c r="H50" i="33"/>
  <c r="G50" i="33"/>
  <c r="F50" i="33"/>
  <c r="E50" i="33"/>
  <c r="B49" i="33"/>
  <c r="K48" i="33"/>
  <c r="J48" i="33"/>
  <c r="I48" i="33"/>
  <c r="H48" i="33"/>
  <c r="G48" i="33"/>
  <c r="F48" i="33"/>
  <c r="E48" i="33"/>
  <c r="K47" i="33"/>
  <c r="J47" i="33"/>
  <c r="I47" i="33"/>
  <c r="H47" i="33"/>
  <c r="G47" i="33"/>
  <c r="F47" i="33"/>
  <c r="E47" i="33"/>
  <c r="B47" i="33"/>
  <c r="K46" i="33"/>
  <c r="J46" i="33"/>
  <c r="I46" i="33"/>
  <c r="H46" i="33"/>
  <c r="G46" i="33"/>
  <c r="F46" i="33"/>
  <c r="E46" i="33"/>
  <c r="K45" i="33"/>
  <c r="J45" i="33"/>
  <c r="I45" i="33"/>
  <c r="H45" i="33"/>
  <c r="G45" i="33"/>
  <c r="F45" i="33"/>
  <c r="E45" i="33"/>
  <c r="B45" i="33"/>
  <c r="K20" i="33" l="1"/>
  <c r="J20" i="33"/>
  <c r="I20" i="33"/>
  <c r="H20" i="33"/>
  <c r="G20" i="33"/>
  <c r="F20" i="33"/>
  <c r="E20" i="33"/>
  <c r="K18" i="33"/>
  <c r="J18" i="33"/>
  <c r="I18" i="33"/>
  <c r="H18" i="33"/>
  <c r="G18" i="33"/>
  <c r="F18" i="33"/>
  <c r="E18" i="33"/>
  <c r="K16" i="33"/>
  <c r="J16" i="33"/>
  <c r="I16" i="33"/>
  <c r="H16" i="33"/>
  <c r="G16" i="33"/>
  <c r="F16" i="33"/>
  <c r="E16" i="33"/>
  <c r="K14" i="33"/>
  <c r="J14" i="33"/>
  <c r="I14" i="33"/>
  <c r="H14" i="33"/>
  <c r="G14" i="33"/>
  <c r="F14" i="33"/>
  <c r="E14" i="33"/>
  <c r="K12" i="33"/>
  <c r="J12" i="33"/>
  <c r="I12" i="33"/>
  <c r="H12" i="33"/>
  <c r="G12" i="33"/>
  <c r="F12" i="33"/>
  <c r="E12" i="33"/>
  <c r="K10" i="33"/>
  <c r="J10" i="33"/>
  <c r="I10" i="33"/>
  <c r="H10" i="33"/>
  <c r="G10" i="33"/>
  <c r="F10" i="33"/>
  <c r="E10" i="33"/>
  <c r="K8" i="33"/>
  <c r="J8" i="33"/>
  <c r="I8" i="33"/>
  <c r="H8" i="33"/>
  <c r="G8" i="33"/>
  <c r="F8" i="33"/>
  <c r="E8" i="33"/>
  <c r="K6" i="33"/>
  <c r="J6" i="33"/>
  <c r="I6" i="33"/>
  <c r="H6" i="33"/>
  <c r="G6" i="33"/>
  <c r="F6" i="33"/>
  <c r="E6" i="33"/>
  <c r="F4" i="33"/>
  <c r="G4" i="33"/>
  <c r="H4" i="33"/>
  <c r="I4" i="33"/>
  <c r="J4" i="33"/>
  <c r="K4" i="33"/>
  <c r="D33" i="18"/>
  <c r="K41" i="33"/>
  <c r="J41" i="33"/>
  <c r="I41" i="33"/>
  <c r="H41" i="33"/>
  <c r="G41" i="33"/>
  <c r="F41" i="33"/>
  <c r="E41" i="33"/>
  <c r="K40" i="33"/>
  <c r="J40" i="33"/>
  <c r="I40" i="33"/>
  <c r="H40" i="33"/>
  <c r="G40" i="33"/>
  <c r="F40" i="33"/>
  <c r="E40" i="33"/>
  <c r="K39" i="33"/>
  <c r="J39" i="33"/>
  <c r="I39" i="33"/>
  <c r="H39" i="33"/>
  <c r="G39" i="33"/>
  <c r="F39" i="33"/>
  <c r="E39" i="33"/>
  <c r="K38" i="33"/>
  <c r="J38" i="33"/>
  <c r="I38" i="33"/>
  <c r="H38" i="33"/>
  <c r="G38" i="33"/>
  <c r="F38" i="33"/>
  <c r="E38" i="33"/>
  <c r="K37" i="33"/>
  <c r="J37" i="33"/>
  <c r="I37" i="33"/>
  <c r="H37" i="33"/>
  <c r="G37" i="33"/>
  <c r="F37" i="33"/>
  <c r="E37" i="33"/>
  <c r="K36" i="33"/>
  <c r="J36" i="33"/>
  <c r="I36" i="33"/>
  <c r="H36" i="33"/>
  <c r="G36" i="33"/>
  <c r="F36" i="33"/>
  <c r="E36" i="33"/>
  <c r="K35" i="33"/>
  <c r="J35" i="33"/>
  <c r="I35" i="33"/>
  <c r="H35" i="33"/>
  <c r="G35" i="33"/>
  <c r="F35" i="33"/>
  <c r="E35" i="33"/>
  <c r="K34" i="33"/>
  <c r="J34" i="33"/>
  <c r="I34" i="33"/>
  <c r="H34" i="33"/>
  <c r="G34" i="33"/>
  <c r="F34" i="33"/>
  <c r="E34" i="33"/>
  <c r="K33" i="33"/>
  <c r="J33" i="33"/>
  <c r="I33" i="33"/>
  <c r="H33" i="33"/>
  <c r="G33" i="33"/>
  <c r="F33" i="33"/>
  <c r="E33" i="33"/>
  <c r="K32" i="33"/>
  <c r="J32" i="33"/>
  <c r="I32" i="33"/>
  <c r="H32" i="33"/>
  <c r="G32" i="33"/>
  <c r="F32" i="33"/>
  <c r="E32" i="33"/>
  <c r="K31" i="33"/>
  <c r="J31" i="33"/>
  <c r="I31" i="33"/>
  <c r="H31" i="33"/>
  <c r="G31" i="33"/>
  <c r="F31" i="33"/>
  <c r="E31" i="33"/>
  <c r="K30" i="33"/>
  <c r="J30" i="33"/>
  <c r="I30" i="33"/>
  <c r="H30" i="33"/>
  <c r="G30" i="33"/>
  <c r="F30" i="33"/>
  <c r="E30" i="33"/>
  <c r="K29" i="33"/>
  <c r="J29" i="33"/>
  <c r="I29" i="33"/>
  <c r="H29" i="33"/>
  <c r="G29" i="33"/>
  <c r="F29" i="33"/>
  <c r="E29" i="33"/>
  <c r="K28" i="33"/>
  <c r="J28" i="33"/>
  <c r="I28" i="33"/>
  <c r="H28" i="33"/>
  <c r="G28" i="33"/>
  <c r="F28" i="33"/>
  <c r="E28" i="33"/>
  <c r="K27" i="33"/>
  <c r="J27" i="33"/>
  <c r="I27" i="33"/>
  <c r="H27" i="33"/>
  <c r="G27" i="33"/>
  <c r="F27" i="33"/>
  <c r="E27" i="33"/>
  <c r="K26" i="33"/>
  <c r="J26" i="33"/>
  <c r="I26" i="33"/>
  <c r="H26" i="33"/>
  <c r="G26" i="33"/>
  <c r="F26" i="33"/>
  <c r="E26" i="33"/>
  <c r="F25" i="33"/>
  <c r="G25" i="33"/>
  <c r="H25" i="33"/>
  <c r="I25" i="33"/>
  <c r="J25" i="33"/>
  <c r="K25" i="33"/>
  <c r="E25" i="33"/>
  <c r="K24" i="33"/>
  <c r="J24" i="33"/>
  <c r="I24" i="33"/>
  <c r="H24" i="33"/>
  <c r="G24" i="33"/>
  <c r="F24" i="33"/>
  <c r="E24" i="33"/>
  <c r="K19" i="33"/>
  <c r="J19" i="33"/>
  <c r="I19" i="33"/>
  <c r="H19" i="33"/>
  <c r="G19" i="33"/>
  <c r="F19" i="33"/>
  <c r="E19" i="33"/>
  <c r="K17" i="33"/>
  <c r="J17" i="33"/>
  <c r="I17" i="33"/>
  <c r="H17" i="33"/>
  <c r="G17" i="33"/>
  <c r="F17" i="33"/>
  <c r="E17" i="33"/>
  <c r="K15" i="33"/>
  <c r="J15" i="33"/>
  <c r="I15" i="33"/>
  <c r="H15" i="33"/>
  <c r="G15" i="33"/>
  <c r="F15" i="33"/>
  <c r="E15" i="33"/>
  <c r="K13" i="33"/>
  <c r="J13" i="33"/>
  <c r="I13" i="33"/>
  <c r="H13" i="33"/>
  <c r="G13" i="33"/>
  <c r="F13" i="33"/>
  <c r="E13" i="33"/>
  <c r="K11" i="33"/>
  <c r="J11" i="33"/>
  <c r="I11" i="33"/>
  <c r="H11" i="33"/>
  <c r="G11" i="33"/>
  <c r="F11" i="33"/>
  <c r="E11" i="33"/>
  <c r="K9" i="33"/>
  <c r="J9" i="33"/>
  <c r="I9" i="33"/>
  <c r="H9" i="33"/>
  <c r="G9" i="33"/>
  <c r="F9" i="33"/>
  <c r="E9" i="33"/>
  <c r="K7" i="33"/>
  <c r="J7" i="33"/>
  <c r="I7" i="33"/>
  <c r="H7" i="33"/>
  <c r="G7" i="33"/>
  <c r="F7" i="33"/>
  <c r="E7" i="33"/>
  <c r="K5" i="33"/>
  <c r="J5" i="33"/>
  <c r="I5" i="33"/>
  <c r="H5" i="33"/>
  <c r="G5" i="33"/>
  <c r="F5" i="33"/>
  <c r="E5" i="33"/>
  <c r="F3" i="33"/>
  <c r="G3" i="33"/>
  <c r="H3" i="33"/>
  <c r="I3" i="33"/>
  <c r="J3" i="33"/>
  <c r="K3" i="33"/>
  <c r="E3" i="33"/>
  <c r="B19" i="33"/>
  <c r="B17" i="33"/>
  <c r="B15" i="33"/>
  <c r="B13" i="33"/>
  <c r="B11" i="33"/>
  <c r="B9" i="33"/>
  <c r="B7" i="33"/>
  <c r="B5" i="33"/>
  <c r="B3" i="33"/>
  <c r="B40" i="33"/>
  <c r="B38" i="33"/>
  <c r="B36" i="33"/>
  <c r="B34" i="33"/>
  <c r="B32" i="33"/>
  <c r="B30" i="33"/>
  <c r="B28" i="33"/>
  <c r="B26" i="33"/>
  <c r="B24" i="33"/>
  <c r="K41" i="32"/>
  <c r="J41" i="32"/>
  <c r="I41" i="32"/>
  <c r="H41" i="32"/>
  <c r="G41" i="32"/>
  <c r="F41" i="32"/>
  <c r="E41" i="32"/>
  <c r="K39" i="32"/>
  <c r="J39" i="32"/>
  <c r="I39" i="32"/>
  <c r="H39" i="32"/>
  <c r="G39" i="32"/>
  <c r="F39" i="32"/>
  <c r="E39" i="32"/>
  <c r="K37" i="32"/>
  <c r="J37" i="32"/>
  <c r="I37" i="32"/>
  <c r="H37" i="32"/>
  <c r="G37" i="32"/>
  <c r="F37" i="32"/>
  <c r="E37" i="32"/>
  <c r="K35" i="32"/>
  <c r="J35" i="32"/>
  <c r="I35" i="32"/>
  <c r="H35" i="32"/>
  <c r="G35" i="32"/>
  <c r="F35" i="32"/>
  <c r="E35" i="32"/>
  <c r="K33" i="32"/>
  <c r="J33" i="32"/>
  <c r="I33" i="32"/>
  <c r="H33" i="32"/>
  <c r="G33" i="32"/>
  <c r="F33" i="32"/>
  <c r="E33" i="32"/>
  <c r="K31" i="32"/>
  <c r="J31" i="32"/>
  <c r="I31" i="32"/>
  <c r="H31" i="32"/>
  <c r="G31" i="32"/>
  <c r="F31" i="32"/>
  <c r="E31" i="32"/>
  <c r="K29" i="32"/>
  <c r="J29" i="32"/>
  <c r="I29" i="32"/>
  <c r="H29" i="32"/>
  <c r="G29" i="32"/>
  <c r="F29" i="32"/>
  <c r="E29" i="32"/>
  <c r="K27" i="32"/>
  <c r="J27" i="32"/>
  <c r="I27" i="32"/>
  <c r="H27" i="32"/>
  <c r="G27" i="32"/>
  <c r="F27" i="32"/>
  <c r="E27" i="32"/>
  <c r="G25" i="32"/>
  <c r="H25" i="32"/>
  <c r="I25" i="32"/>
  <c r="J25" i="32"/>
  <c r="K25" i="32"/>
  <c r="K40" i="32"/>
  <c r="J40" i="32"/>
  <c r="I40" i="32"/>
  <c r="H40" i="32"/>
  <c r="G40" i="32"/>
  <c r="F40" i="32"/>
  <c r="E40" i="32"/>
  <c r="B40" i="32"/>
  <c r="K38" i="32"/>
  <c r="J38" i="32"/>
  <c r="I38" i="32"/>
  <c r="H38" i="32"/>
  <c r="G38" i="32"/>
  <c r="F38" i="32"/>
  <c r="E38" i="32"/>
  <c r="B38" i="32"/>
  <c r="K36" i="32"/>
  <c r="J36" i="32"/>
  <c r="I36" i="32"/>
  <c r="H36" i="32"/>
  <c r="G36" i="32"/>
  <c r="F36" i="32"/>
  <c r="E36" i="32"/>
  <c r="B36" i="32"/>
  <c r="K34" i="32"/>
  <c r="J34" i="32"/>
  <c r="I34" i="32"/>
  <c r="H34" i="32"/>
  <c r="G34" i="32"/>
  <c r="F34" i="32"/>
  <c r="E34" i="32"/>
  <c r="B34" i="32"/>
  <c r="K32" i="32"/>
  <c r="J32" i="32"/>
  <c r="I32" i="32"/>
  <c r="H32" i="32"/>
  <c r="G32" i="32"/>
  <c r="F32" i="32"/>
  <c r="E32" i="32"/>
  <c r="B32" i="32"/>
  <c r="K30" i="32"/>
  <c r="J30" i="32"/>
  <c r="I30" i="32"/>
  <c r="H30" i="32"/>
  <c r="G30" i="32"/>
  <c r="F30" i="32"/>
  <c r="E30" i="32"/>
  <c r="B30" i="32"/>
  <c r="K28" i="32"/>
  <c r="J28" i="32"/>
  <c r="I28" i="32"/>
  <c r="H28" i="32"/>
  <c r="G28" i="32"/>
  <c r="F28" i="32"/>
  <c r="E28" i="32"/>
  <c r="B28" i="32"/>
  <c r="K26" i="32"/>
  <c r="J26" i="32"/>
  <c r="I26" i="32"/>
  <c r="H26" i="32"/>
  <c r="G26" i="32"/>
  <c r="F26" i="32"/>
  <c r="E26" i="32"/>
  <c r="B26" i="32"/>
  <c r="F25" i="32"/>
  <c r="E25" i="32"/>
  <c r="K24" i="32"/>
  <c r="J24" i="32"/>
  <c r="I24" i="32"/>
  <c r="H24" i="32"/>
  <c r="G24" i="32"/>
  <c r="F24" i="32"/>
  <c r="E24" i="32"/>
  <c r="B24" i="32"/>
  <c r="H4" i="32"/>
  <c r="F4" i="32"/>
  <c r="E4" i="32"/>
  <c r="K20" i="32"/>
  <c r="J20" i="32"/>
  <c r="I20" i="32"/>
  <c r="H20" i="32"/>
  <c r="G20" i="32"/>
  <c r="F20" i="32"/>
  <c r="E20" i="32"/>
  <c r="K18" i="32"/>
  <c r="J18" i="32"/>
  <c r="I18" i="32"/>
  <c r="H18" i="32"/>
  <c r="G18" i="32"/>
  <c r="F18" i="32"/>
  <c r="E18" i="32"/>
  <c r="K16" i="32"/>
  <c r="J16" i="32"/>
  <c r="I16" i="32"/>
  <c r="H16" i="32"/>
  <c r="G16" i="32"/>
  <c r="F16" i="32"/>
  <c r="E16" i="32"/>
  <c r="K14" i="32"/>
  <c r="J14" i="32"/>
  <c r="I14" i="32"/>
  <c r="H14" i="32"/>
  <c r="G14" i="32"/>
  <c r="F14" i="32"/>
  <c r="E14" i="32"/>
  <c r="K12" i="32"/>
  <c r="J12" i="32"/>
  <c r="I12" i="32"/>
  <c r="H12" i="32"/>
  <c r="G12" i="32"/>
  <c r="F12" i="32"/>
  <c r="E12" i="32"/>
  <c r="K10" i="32"/>
  <c r="J10" i="32"/>
  <c r="I10" i="32"/>
  <c r="H10" i="32"/>
  <c r="G10" i="32"/>
  <c r="F10" i="32"/>
  <c r="E10" i="32"/>
  <c r="K8" i="32"/>
  <c r="J8" i="32"/>
  <c r="I8" i="32"/>
  <c r="H8" i="32"/>
  <c r="G8" i="32"/>
  <c r="F8" i="32"/>
  <c r="E8" i="32"/>
  <c r="K6" i="32"/>
  <c r="J6" i="32"/>
  <c r="I6" i="32"/>
  <c r="H6" i="32"/>
  <c r="G6" i="32"/>
  <c r="F6" i="32"/>
  <c r="E6" i="32"/>
  <c r="G4" i="32"/>
  <c r="I4" i="32"/>
  <c r="J4" i="32"/>
  <c r="K4" i="32"/>
  <c r="D63" i="1"/>
  <c r="K19" i="32"/>
  <c r="J19" i="32"/>
  <c r="I19" i="32"/>
  <c r="H19" i="32"/>
  <c r="G19" i="32"/>
  <c r="F19" i="32"/>
  <c r="E19" i="32"/>
  <c r="K17" i="32"/>
  <c r="J17" i="32"/>
  <c r="I17" i="32"/>
  <c r="H17" i="32"/>
  <c r="G17" i="32"/>
  <c r="F17" i="32"/>
  <c r="E17" i="32"/>
  <c r="K15" i="32"/>
  <c r="J15" i="32"/>
  <c r="I15" i="32"/>
  <c r="H15" i="32"/>
  <c r="G15" i="32"/>
  <c r="F15" i="32"/>
  <c r="E15" i="32"/>
  <c r="K13" i="32"/>
  <c r="J13" i="32"/>
  <c r="I13" i="32"/>
  <c r="H13" i="32"/>
  <c r="G13" i="32"/>
  <c r="F13" i="32"/>
  <c r="E13" i="32"/>
  <c r="K11" i="32"/>
  <c r="J11" i="32"/>
  <c r="I11" i="32"/>
  <c r="H11" i="32"/>
  <c r="G11" i="32"/>
  <c r="F11" i="32"/>
  <c r="E11" i="32"/>
  <c r="K9" i="32"/>
  <c r="J9" i="32"/>
  <c r="I9" i="32"/>
  <c r="H9" i="32"/>
  <c r="G9" i="32"/>
  <c r="F9" i="32"/>
  <c r="E9" i="32"/>
  <c r="K7" i="32"/>
  <c r="J7" i="32"/>
  <c r="I7" i="32"/>
  <c r="H7" i="32"/>
  <c r="G7" i="32"/>
  <c r="F7" i="32"/>
  <c r="E7" i="32"/>
  <c r="K5" i="32"/>
  <c r="J5" i="32"/>
  <c r="I5" i="32"/>
  <c r="H5" i="32"/>
  <c r="G5" i="32"/>
  <c r="F5" i="32"/>
  <c r="E5" i="32"/>
  <c r="F3" i="32"/>
  <c r="G3" i="32"/>
  <c r="H3" i="32"/>
  <c r="I3" i="32"/>
  <c r="J3" i="32"/>
  <c r="K3" i="32"/>
  <c r="E3" i="32"/>
  <c r="B19" i="32"/>
  <c r="B17" i="32"/>
  <c r="B15" i="32"/>
  <c r="B13" i="32"/>
  <c r="B11" i="32"/>
  <c r="B9" i="32"/>
  <c r="B7" i="32"/>
  <c r="B5" i="32"/>
  <c r="B3" i="32"/>
  <c r="L147" i="18" l="1"/>
  <c r="K147" i="18"/>
  <c r="J147" i="18"/>
  <c r="I147" i="18"/>
  <c r="H147" i="18"/>
  <c r="G147" i="18"/>
  <c r="F147" i="18"/>
  <c r="E147" i="18"/>
  <c r="D147" i="18"/>
  <c r="L146" i="18"/>
  <c r="K146" i="18"/>
  <c r="J146" i="18"/>
  <c r="I146" i="18"/>
  <c r="H146" i="18"/>
  <c r="G146" i="18"/>
  <c r="F146" i="18"/>
  <c r="E146" i="18"/>
  <c r="D146" i="18"/>
  <c r="L145" i="18"/>
  <c r="K145" i="18"/>
  <c r="J145" i="18"/>
  <c r="I145" i="18"/>
  <c r="H145" i="18"/>
  <c r="G145" i="18"/>
  <c r="F145" i="18"/>
  <c r="E145" i="18"/>
  <c r="D145" i="18"/>
  <c r="L144" i="18"/>
  <c r="K144" i="18"/>
  <c r="J144" i="18"/>
  <c r="I144" i="18"/>
  <c r="H144" i="18"/>
  <c r="G144" i="18"/>
  <c r="F144" i="18"/>
  <c r="E144" i="18"/>
  <c r="D144" i="18"/>
  <c r="L143" i="18"/>
  <c r="K143" i="18"/>
  <c r="J143" i="18"/>
  <c r="I143" i="18"/>
  <c r="H143" i="18"/>
  <c r="G143" i="18"/>
  <c r="F143" i="18"/>
  <c r="E143" i="18"/>
  <c r="D143" i="18"/>
  <c r="L142" i="18"/>
  <c r="K142" i="18"/>
  <c r="J142" i="18"/>
  <c r="I142" i="18"/>
  <c r="H142" i="18"/>
  <c r="G142" i="18"/>
  <c r="F142" i="18"/>
  <c r="E142" i="18"/>
  <c r="D142" i="18"/>
  <c r="L141" i="18"/>
  <c r="K141" i="18"/>
  <c r="J141" i="18"/>
  <c r="I141" i="18"/>
  <c r="H141" i="18"/>
  <c r="G141" i="18"/>
  <c r="F141" i="18"/>
  <c r="E141" i="18"/>
  <c r="D141" i="18"/>
  <c r="L140" i="18"/>
  <c r="K140" i="18"/>
  <c r="J140" i="18"/>
  <c r="I140" i="18"/>
  <c r="H140" i="18"/>
  <c r="G140" i="18"/>
  <c r="F140" i="18"/>
  <c r="E140" i="18"/>
  <c r="D140" i="18"/>
  <c r="L139" i="18"/>
  <c r="K139" i="18"/>
  <c r="J139" i="18"/>
  <c r="I139" i="18"/>
  <c r="H139" i="18"/>
  <c r="G139" i="18"/>
  <c r="F139" i="18"/>
  <c r="E139" i="18"/>
  <c r="D139" i="18"/>
  <c r="L138" i="18"/>
  <c r="K138" i="18"/>
  <c r="J138" i="18"/>
  <c r="I138" i="18"/>
  <c r="H138" i="18"/>
  <c r="G138" i="18"/>
  <c r="F138" i="18"/>
  <c r="E138" i="18"/>
  <c r="D138" i="18"/>
  <c r="L137" i="18"/>
  <c r="K137" i="18"/>
  <c r="J137" i="18"/>
  <c r="I137" i="18"/>
  <c r="H137" i="18"/>
  <c r="G137" i="18"/>
  <c r="F137" i="18"/>
  <c r="E137" i="18"/>
  <c r="D137" i="18"/>
  <c r="L136" i="18"/>
  <c r="K136" i="18"/>
  <c r="J136" i="18"/>
  <c r="I136" i="18"/>
  <c r="H136" i="18"/>
  <c r="G136" i="18"/>
  <c r="F136" i="18"/>
  <c r="E136" i="18"/>
  <c r="D136" i="18"/>
  <c r="L135" i="18"/>
  <c r="K135" i="18"/>
  <c r="J135" i="18"/>
  <c r="I135" i="18"/>
  <c r="H135" i="18"/>
  <c r="G135" i="18"/>
  <c r="F135" i="18"/>
  <c r="E135" i="18"/>
  <c r="D135" i="18"/>
  <c r="L134" i="18"/>
  <c r="K134" i="18"/>
  <c r="J134" i="18"/>
  <c r="I134" i="18"/>
  <c r="H134" i="18"/>
  <c r="G134" i="18"/>
  <c r="F134" i="18"/>
  <c r="E134" i="18"/>
  <c r="D134" i="18"/>
  <c r="L133" i="18"/>
  <c r="K133" i="18"/>
  <c r="J133" i="18"/>
  <c r="I133" i="18"/>
  <c r="H133" i="18"/>
  <c r="G133" i="18"/>
  <c r="F133" i="18"/>
  <c r="E133" i="18"/>
  <c r="D133" i="18"/>
  <c r="L132" i="18"/>
  <c r="K132" i="18"/>
  <c r="J132" i="18"/>
  <c r="I132" i="18"/>
  <c r="H132" i="18"/>
  <c r="G132" i="18"/>
  <c r="F132" i="18"/>
  <c r="E132" i="18"/>
  <c r="D132" i="18"/>
  <c r="L131" i="18"/>
  <c r="K131" i="18"/>
  <c r="J131" i="18"/>
  <c r="I131" i="18"/>
  <c r="H131" i="18"/>
  <c r="G131" i="18"/>
  <c r="F131" i="18"/>
  <c r="E131" i="18"/>
  <c r="D131" i="18"/>
  <c r="L130" i="18"/>
  <c r="K130" i="18"/>
  <c r="J130" i="18"/>
  <c r="I130" i="18"/>
  <c r="H130" i="18"/>
  <c r="G130" i="18"/>
  <c r="F130" i="18"/>
  <c r="E130" i="18"/>
  <c r="D130" i="18"/>
  <c r="L129" i="18"/>
  <c r="K129" i="18"/>
  <c r="J129" i="18"/>
  <c r="I129" i="18"/>
  <c r="H129" i="18"/>
  <c r="G129" i="18"/>
  <c r="F129" i="18"/>
  <c r="E129" i="18"/>
  <c r="D129" i="18"/>
  <c r="L128" i="18"/>
  <c r="K128" i="18"/>
  <c r="J128" i="18"/>
  <c r="I128" i="18"/>
  <c r="H128" i="18"/>
  <c r="G128" i="18"/>
  <c r="F128" i="18"/>
  <c r="E128" i="18"/>
  <c r="D128" i="18"/>
  <c r="L127" i="18"/>
  <c r="K127" i="18"/>
  <c r="J127" i="18"/>
  <c r="I127" i="18"/>
  <c r="H127" i="18"/>
  <c r="G127" i="18"/>
  <c r="F127" i="18"/>
  <c r="E127" i="18"/>
  <c r="D127" i="18"/>
  <c r="L126" i="18"/>
  <c r="K126" i="18"/>
  <c r="J126" i="18"/>
  <c r="I126" i="18"/>
  <c r="H126" i="18"/>
  <c r="G126" i="18"/>
  <c r="F126" i="18"/>
  <c r="E126" i="18"/>
  <c r="D126" i="18"/>
  <c r="L125" i="18"/>
  <c r="K125" i="18"/>
  <c r="J125" i="18"/>
  <c r="I125" i="18"/>
  <c r="H125" i="18"/>
  <c r="G125" i="18"/>
  <c r="F125" i="18"/>
  <c r="E125" i="18"/>
  <c r="D125" i="18"/>
  <c r="L124" i="18"/>
  <c r="K124" i="18"/>
  <c r="J124" i="18"/>
  <c r="I124" i="18"/>
  <c r="H124" i="18"/>
  <c r="G124" i="18"/>
  <c r="F124" i="18"/>
  <c r="E124" i="18"/>
  <c r="L123" i="18"/>
  <c r="K123" i="18"/>
  <c r="J123" i="18"/>
  <c r="I123" i="18"/>
  <c r="H123" i="18"/>
  <c r="G123" i="18"/>
  <c r="F123" i="18"/>
  <c r="E123" i="18"/>
  <c r="D123" i="18"/>
  <c r="E5" i="11"/>
  <c r="E4" i="11"/>
  <c r="L147" i="17" l="1"/>
  <c r="K147" i="17"/>
  <c r="J147" i="17"/>
  <c r="I147" i="17"/>
  <c r="H147" i="17"/>
  <c r="G147" i="17"/>
  <c r="F147" i="17"/>
  <c r="E147" i="17"/>
  <c r="D147" i="17"/>
  <c r="L146" i="17"/>
  <c r="K146" i="17"/>
  <c r="J146" i="17"/>
  <c r="I146" i="17"/>
  <c r="H146" i="17"/>
  <c r="G146" i="17"/>
  <c r="F146" i="17"/>
  <c r="E146" i="17"/>
  <c r="D146" i="17"/>
  <c r="L145" i="17"/>
  <c r="K145" i="17"/>
  <c r="J145" i="17"/>
  <c r="I145" i="17"/>
  <c r="H145" i="17"/>
  <c r="G145" i="17"/>
  <c r="F145" i="17"/>
  <c r="E145" i="17"/>
  <c r="D145" i="17"/>
  <c r="L144" i="17"/>
  <c r="K144" i="17"/>
  <c r="J144" i="17"/>
  <c r="I144" i="17"/>
  <c r="H144" i="17"/>
  <c r="G144" i="17"/>
  <c r="F144" i="17"/>
  <c r="E144" i="17"/>
  <c r="D144" i="17"/>
  <c r="L143" i="17"/>
  <c r="K143" i="17"/>
  <c r="J143" i="17"/>
  <c r="I143" i="17"/>
  <c r="H143" i="17"/>
  <c r="G143" i="17"/>
  <c r="F143" i="17"/>
  <c r="E143" i="17"/>
  <c r="D143" i="17"/>
  <c r="L142" i="17"/>
  <c r="K142" i="17"/>
  <c r="J142" i="17"/>
  <c r="I142" i="17"/>
  <c r="H142" i="17"/>
  <c r="G142" i="17"/>
  <c r="F142" i="17"/>
  <c r="E142" i="17"/>
  <c r="D142" i="17"/>
  <c r="L141" i="17"/>
  <c r="K141" i="17"/>
  <c r="J141" i="17"/>
  <c r="I141" i="17"/>
  <c r="H141" i="17"/>
  <c r="G141" i="17"/>
  <c r="F141" i="17"/>
  <c r="E141" i="17"/>
  <c r="D141" i="17"/>
  <c r="L140" i="17"/>
  <c r="K140" i="17"/>
  <c r="J140" i="17"/>
  <c r="I140" i="17"/>
  <c r="H140" i="17"/>
  <c r="G140" i="17"/>
  <c r="F140" i="17"/>
  <c r="E140" i="17"/>
  <c r="D140" i="17"/>
  <c r="L139" i="17"/>
  <c r="K139" i="17"/>
  <c r="J139" i="17"/>
  <c r="I139" i="17"/>
  <c r="H139" i="17"/>
  <c r="G139" i="17"/>
  <c r="F139" i="17"/>
  <c r="E139" i="17"/>
  <c r="D139" i="17"/>
  <c r="L138" i="17"/>
  <c r="K138" i="17"/>
  <c r="J138" i="17"/>
  <c r="I138" i="17"/>
  <c r="H138" i="17"/>
  <c r="G138" i="17"/>
  <c r="F138" i="17"/>
  <c r="E138" i="17"/>
  <c r="D138" i="17"/>
  <c r="L137" i="17"/>
  <c r="K137" i="17"/>
  <c r="J137" i="17"/>
  <c r="I137" i="17"/>
  <c r="H137" i="17"/>
  <c r="G137" i="17"/>
  <c r="F137" i="17"/>
  <c r="E137" i="17"/>
  <c r="D137" i="17"/>
  <c r="L136" i="17"/>
  <c r="K136" i="17"/>
  <c r="J136" i="17"/>
  <c r="I136" i="17"/>
  <c r="H136" i="17"/>
  <c r="G136" i="17"/>
  <c r="F136" i="17"/>
  <c r="E136" i="17"/>
  <c r="D136" i="17"/>
  <c r="L135" i="17"/>
  <c r="K135" i="17"/>
  <c r="J135" i="17"/>
  <c r="I135" i="17"/>
  <c r="H135" i="17"/>
  <c r="G135" i="17"/>
  <c r="F135" i="17"/>
  <c r="E135" i="17"/>
  <c r="D135" i="17"/>
  <c r="L134" i="17"/>
  <c r="K134" i="17"/>
  <c r="J134" i="17"/>
  <c r="I134" i="17"/>
  <c r="H134" i="17"/>
  <c r="G134" i="17"/>
  <c r="F134" i="17"/>
  <c r="E134" i="17"/>
  <c r="D134" i="17"/>
  <c r="L133" i="17"/>
  <c r="K133" i="17"/>
  <c r="J133" i="17"/>
  <c r="I133" i="17"/>
  <c r="H133" i="17"/>
  <c r="G133" i="17"/>
  <c r="F133" i="17"/>
  <c r="E133" i="17"/>
  <c r="D133" i="17"/>
  <c r="L132" i="17"/>
  <c r="K132" i="17"/>
  <c r="J132" i="17"/>
  <c r="I132" i="17"/>
  <c r="H132" i="17"/>
  <c r="G132" i="17"/>
  <c r="F132" i="17"/>
  <c r="E132" i="17"/>
  <c r="D132" i="17"/>
  <c r="L131" i="17"/>
  <c r="K131" i="17"/>
  <c r="J131" i="17"/>
  <c r="I131" i="17"/>
  <c r="H131" i="17"/>
  <c r="G131" i="17"/>
  <c r="F131" i="17"/>
  <c r="E131" i="17"/>
  <c r="D131" i="17"/>
  <c r="L130" i="17"/>
  <c r="K130" i="17"/>
  <c r="J130" i="17"/>
  <c r="I130" i="17"/>
  <c r="H130" i="17"/>
  <c r="G130" i="17"/>
  <c r="F130" i="17"/>
  <c r="E130" i="17"/>
  <c r="D130" i="17"/>
  <c r="L129" i="17"/>
  <c r="K129" i="17"/>
  <c r="J129" i="17"/>
  <c r="I129" i="17"/>
  <c r="H129" i="17"/>
  <c r="G129" i="17"/>
  <c r="F129" i="17"/>
  <c r="E129" i="17"/>
  <c r="D129" i="17"/>
  <c r="L128" i="17"/>
  <c r="K128" i="17"/>
  <c r="J128" i="17"/>
  <c r="I128" i="17"/>
  <c r="H128" i="17"/>
  <c r="G128" i="17"/>
  <c r="F128" i="17"/>
  <c r="E128" i="17"/>
  <c r="D128" i="17"/>
  <c r="L127" i="17"/>
  <c r="K127" i="17"/>
  <c r="J127" i="17"/>
  <c r="I127" i="17"/>
  <c r="H127" i="17"/>
  <c r="G127" i="17"/>
  <c r="F127" i="17"/>
  <c r="E127" i="17"/>
  <c r="D127" i="17"/>
  <c r="L126" i="17"/>
  <c r="K126" i="17"/>
  <c r="J126" i="17"/>
  <c r="I126" i="17"/>
  <c r="H126" i="17"/>
  <c r="G126" i="17"/>
  <c r="F126" i="17"/>
  <c r="E126" i="17"/>
  <c r="D126" i="17"/>
  <c r="L125" i="17"/>
  <c r="K125" i="17"/>
  <c r="J125" i="17"/>
  <c r="I125" i="17"/>
  <c r="H125" i="17"/>
  <c r="G125" i="17"/>
  <c r="F125" i="17"/>
  <c r="E125" i="17"/>
  <c r="D125" i="17"/>
  <c r="L124" i="17"/>
  <c r="K124" i="17"/>
  <c r="J124" i="17"/>
  <c r="I124" i="17"/>
  <c r="H124" i="17"/>
  <c r="G124" i="17"/>
  <c r="F124" i="17"/>
  <c r="E124" i="17"/>
  <c r="D124" i="17"/>
  <c r="L123" i="17"/>
  <c r="K123" i="17"/>
  <c r="J123" i="17"/>
  <c r="I123" i="17"/>
  <c r="H123" i="17"/>
  <c r="G123" i="17"/>
  <c r="F123" i="17"/>
  <c r="E123" i="17"/>
  <c r="D123" i="17"/>
  <c r="L147" i="10" l="1"/>
  <c r="K147" i="10"/>
  <c r="J147" i="10"/>
  <c r="I147" i="10"/>
  <c r="H147" i="10"/>
  <c r="G147" i="10"/>
  <c r="F147" i="10"/>
  <c r="E147" i="10"/>
  <c r="D147" i="10"/>
  <c r="L146" i="10"/>
  <c r="K146" i="10"/>
  <c r="J146" i="10"/>
  <c r="I146" i="10"/>
  <c r="H146" i="10"/>
  <c r="G146" i="10"/>
  <c r="F146" i="10"/>
  <c r="E146" i="10"/>
  <c r="D146" i="10"/>
  <c r="L145" i="10"/>
  <c r="K145" i="10"/>
  <c r="J145" i="10"/>
  <c r="I145" i="10"/>
  <c r="H145" i="10"/>
  <c r="G145" i="10"/>
  <c r="F145" i="10"/>
  <c r="E145" i="10"/>
  <c r="D145" i="10"/>
  <c r="L144" i="10"/>
  <c r="K144" i="10"/>
  <c r="J144" i="10"/>
  <c r="I144" i="10"/>
  <c r="H144" i="10"/>
  <c r="G144" i="10"/>
  <c r="F144" i="10"/>
  <c r="E144" i="10"/>
  <c r="D144" i="10"/>
  <c r="L143" i="10"/>
  <c r="K143" i="10"/>
  <c r="J143" i="10"/>
  <c r="I143" i="10"/>
  <c r="H143" i="10"/>
  <c r="G143" i="10"/>
  <c r="F143" i="10"/>
  <c r="E143" i="10"/>
  <c r="D143" i="10"/>
  <c r="L142" i="10"/>
  <c r="K142" i="10"/>
  <c r="J142" i="10"/>
  <c r="I142" i="10"/>
  <c r="H142" i="10"/>
  <c r="G142" i="10"/>
  <c r="F142" i="10"/>
  <c r="E142" i="10"/>
  <c r="D142" i="10"/>
  <c r="L141" i="10"/>
  <c r="K141" i="10"/>
  <c r="J141" i="10"/>
  <c r="I141" i="10"/>
  <c r="H141" i="10"/>
  <c r="G141" i="10"/>
  <c r="F141" i="10"/>
  <c r="E141" i="10"/>
  <c r="D141" i="10"/>
  <c r="L140" i="10"/>
  <c r="K140" i="10"/>
  <c r="J140" i="10"/>
  <c r="I140" i="10"/>
  <c r="H140" i="10"/>
  <c r="G140" i="10"/>
  <c r="F140" i="10"/>
  <c r="E140" i="10"/>
  <c r="D140" i="10"/>
  <c r="L139" i="10"/>
  <c r="K139" i="10"/>
  <c r="J139" i="10"/>
  <c r="I139" i="10"/>
  <c r="H139" i="10"/>
  <c r="G139" i="10"/>
  <c r="F139" i="10"/>
  <c r="E139" i="10"/>
  <c r="D139" i="10"/>
  <c r="L138" i="10"/>
  <c r="K138" i="10"/>
  <c r="J138" i="10"/>
  <c r="I138" i="10"/>
  <c r="H138" i="10"/>
  <c r="G138" i="10"/>
  <c r="F138" i="10"/>
  <c r="E138" i="10"/>
  <c r="D138" i="10"/>
  <c r="L137" i="10"/>
  <c r="K137" i="10"/>
  <c r="J137" i="10"/>
  <c r="I137" i="10"/>
  <c r="H137" i="10"/>
  <c r="G137" i="10"/>
  <c r="F137" i="10"/>
  <c r="E137" i="10"/>
  <c r="D137" i="10"/>
  <c r="L136" i="10"/>
  <c r="K136" i="10"/>
  <c r="J136" i="10"/>
  <c r="I136" i="10"/>
  <c r="H136" i="10"/>
  <c r="G136" i="10"/>
  <c r="F136" i="10"/>
  <c r="E136" i="10"/>
  <c r="D136" i="10"/>
  <c r="L135" i="10"/>
  <c r="K135" i="10"/>
  <c r="J135" i="10"/>
  <c r="I135" i="10"/>
  <c r="H135" i="10"/>
  <c r="G135" i="10"/>
  <c r="F135" i="10"/>
  <c r="E135" i="10"/>
  <c r="D135" i="10"/>
  <c r="L134" i="10"/>
  <c r="K134" i="10"/>
  <c r="J134" i="10"/>
  <c r="I134" i="10"/>
  <c r="H134" i="10"/>
  <c r="G134" i="10"/>
  <c r="F134" i="10"/>
  <c r="E134" i="10"/>
  <c r="D134" i="10"/>
  <c r="L133" i="10"/>
  <c r="K133" i="10"/>
  <c r="J133" i="10"/>
  <c r="I133" i="10"/>
  <c r="H133" i="10"/>
  <c r="G133" i="10"/>
  <c r="F133" i="10"/>
  <c r="E133" i="10"/>
  <c r="D133" i="10"/>
  <c r="L132" i="10"/>
  <c r="K132" i="10"/>
  <c r="J132" i="10"/>
  <c r="I132" i="10"/>
  <c r="H132" i="10"/>
  <c r="G132" i="10"/>
  <c r="F132" i="10"/>
  <c r="E132" i="10"/>
  <c r="D132" i="10"/>
  <c r="L131" i="10"/>
  <c r="K131" i="10"/>
  <c r="J131" i="10"/>
  <c r="I131" i="10"/>
  <c r="H131" i="10"/>
  <c r="G131" i="10"/>
  <c r="F131" i="10"/>
  <c r="E131" i="10"/>
  <c r="D131" i="10"/>
  <c r="L130" i="10"/>
  <c r="K130" i="10"/>
  <c r="J130" i="10"/>
  <c r="I130" i="10"/>
  <c r="H130" i="10"/>
  <c r="G130" i="10"/>
  <c r="F130" i="10"/>
  <c r="E130" i="10"/>
  <c r="D130" i="10"/>
  <c r="L129" i="10"/>
  <c r="K129" i="10"/>
  <c r="J129" i="10"/>
  <c r="I129" i="10"/>
  <c r="H129" i="10"/>
  <c r="G129" i="10"/>
  <c r="F129" i="10"/>
  <c r="E129" i="10"/>
  <c r="D129" i="10"/>
  <c r="L128" i="10"/>
  <c r="K128" i="10"/>
  <c r="J128" i="10"/>
  <c r="I128" i="10"/>
  <c r="H128" i="10"/>
  <c r="G128" i="10"/>
  <c r="F128" i="10"/>
  <c r="E128" i="10"/>
  <c r="D128" i="10"/>
  <c r="L127" i="10"/>
  <c r="K127" i="10"/>
  <c r="J127" i="10"/>
  <c r="I127" i="10"/>
  <c r="H127" i="10"/>
  <c r="G127" i="10"/>
  <c r="F127" i="10"/>
  <c r="E127" i="10"/>
  <c r="D127" i="10"/>
  <c r="L126" i="10"/>
  <c r="K126" i="10"/>
  <c r="J126" i="10"/>
  <c r="I126" i="10"/>
  <c r="H126" i="10"/>
  <c r="G126" i="10"/>
  <c r="F126" i="10"/>
  <c r="E126" i="10"/>
  <c r="D126" i="10"/>
  <c r="L125" i="10"/>
  <c r="K125" i="10"/>
  <c r="J125" i="10"/>
  <c r="I125" i="10"/>
  <c r="H125" i="10"/>
  <c r="G125" i="10"/>
  <c r="F125" i="10"/>
  <c r="E125" i="10"/>
  <c r="D125" i="10"/>
  <c r="L124" i="10"/>
  <c r="K124" i="10"/>
  <c r="J124" i="10"/>
  <c r="I124" i="10"/>
  <c r="H124" i="10"/>
  <c r="G124" i="10"/>
  <c r="F124" i="10"/>
  <c r="E124" i="10"/>
  <c r="D124" i="10"/>
  <c r="L123" i="10"/>
  <c r="K123" i="10"/>
  <c r="J123" i="10"/>
  <c r="I123" i="10"/>
  <c r="H123" i="10"/>
  <c r="G123" i="10"/>
  <c r="F123" i="10"/>
  <c r="E123" i="10"/>
  <c r="D123" i="10"/>
  <c r="L147" i="1" l="1"/>
  <c r="K147" i="1"/>
  <c r="J147" i="1"/>
  <c r="I147" i="1"/>
  <c r="H147" i="1"/>
  <c r="G147" i="1"/>
  <c r="F147" i="1"/>
  <c r="E147" i="1"/>
  <c r="D147" i="1"/>
  <c r="L146" i="1"/>
  <c r="K146" i="1"/>
  <c r="J146" i="1"/>
  <c r="I146" i="1"/>
  <c r="H146" i="1"/>
  <c r="G146" i="1"/>
  <c r="F146" i="1"/>
  <c r="E146" i="1"/>
  <c r="D146" i="1"/>
  <c r="L145" i="1"/>
  <c r="K145" i="1"/>
  <c r="J145" i="1"/>
  <c r="I145" i="1"/>
  <c r="H145" i="1"/>
  <c r="G145" i="1"/>
  <c r="F145" i="1"/>
  <c r="E145" i="1"/>
  <c r="D145" i="1"/>
  <c r="L144" i="1"/>
  <c r="K144" i="1"/>
  <c r="J144" i="1"/>
  <c r="I144" i="1"/>
  <c r="H144" i="1"/>
  <c r="G144" i="1"/>
  <c r="F144" i="1"/>
  <c r="E144" i="1"/>
  <c r="D144" i="1"/>
  <c r="L143" i="1"/>
  <c r="K143" i="1"/>
  <c r="J143" i="1"/>
  <c r="I143" i="1"/>
  <c r="H143" i="1"/>
  <c r="G143" i="1"/>
  <c r="F143" i="1"/>
  <c r="E143" i="1"/>
  <c r="D143" i="1"/>
  <c r="L142" i="1"/>
  <c r="K142" i="1"/>
  <c r="J142" i="1"/>
  <c r="I142" i="1"/>
  <c r="H142" i="1"/>
  <c r="G142" i="1"/>
  <c r="F142" i="1"/>
  <c r="E142" i="1"/>
  <c r="D142" i="1"/>
  <c r="L141" i="1"/>
  <c r="K141" i="1"/>
  <c r="J141" i="1"/>
  <c r="I141" i="1"/>
  <c r="H141" i="1"/>
  <c r="G141" i="1"/>
  <c r="F141" i="1"/>
  <c r="E141" i="1"/>
  <c r="D141" i="1"/>
  <c r="L140" i="1"/>
  <c r="K140" i="1"/>
  <c r="J140" i="1"/>
  <c r="I140" i="1"/>
  <c r="H140" i="1"/>
  <c r="G140" i="1"/>
  <c r="F140" i="1"/>
  <c r="E140" i="1"/>
  <c r="D140" i="1"/>
  <c r="L139" i="1"/>
  <c r="K139" i="1"/>
  <c r="J139" i="1"/>
  <c r="I139" i="1"/>
  <c r="H139" i="1"/>
  <c r="G139" i="1"/>
  <c r="F139" i="1"/>
  <c r="E139" i="1"/>
  <c r="D139" i="1"/>
  <c r="L138" i="1"/>
  <c r="K138" i="1"/>
  <c r="J138" i="1"/>
  <c r="I138" i="1"/>
  <c r="H138" i="1"/>
  <c r="G138" i="1"/>
  <c r="F138" i="1"/>
  <c r="E138" i="1"/>
  <c r="D138" i="1"/>
  <c r="L137" i="1"/>
  <c r="K137" i="1"/>
  <c r="J137" i="1"/>
  <c r="I137" i="1"/>
  <c r="H137" i="1"/>
  <c r="G137" i="1"/>
  <c r="F137" i="1"/>
  <c r="E137" i="1"/>
  <c r="D137" i="1"/>
  <c r="L136" i="1"/>
  <c r="K136" i="1"/>
  <c r="J136" i="1"/>
  <c r="I136" i="1"/>
  <c r="H136" i="1"/>
  <c r="G136" i="1"/>
  <c r="F136" i="1"/>
  <c r="E136" i="1"/>
  <c r="D136" i="1"/>
  <c r="L135" i="1"/>
  <c r="K135" i="1"/>
  <c r="J135" i="1"/>
  <c r="I135" i="1"/>
  <c r="H135" i="1"/>
  <c r="G135" i="1"/>
  <c r="F135" i="1"/>
  <c r="E135" i="1"/>
  <c r="D135" i="1"/>
  <c r="L134" i="1"/>
  <c r="K134" i="1"/>
  <c r="J134" i="1"/>
  <c r="I134" i="1"/>
  <c r="H134" i="1"/>
  <c r="G134" i="1"/>
  <c r="F134" i="1"/>
  <c r="E134" i="1"/>
  <c r="D134" i="1"/>
  <c r="L133" i="1"/>
  <c r="K133" i="1"/>
  <c r="J133" i="1"/>
  <c r="I133" i="1"/>
  <c r="H133" i="1"/>
  <c r="G133" i="1"/>
  <c r="F133" i="1"/>
  <c r="E133" i="1"/>
  <c r="D133" i="1"/>
  <c r="L132" i="1"/>
  <c r="K132" i="1"/>
  <c r="J132" i="1"/>
  <c r="I132" i="1"/>
  <c r="H132" i="1"/>
  <c r="G132" i="1"/>
  <c r="F132" i="1"/>
  <c r="E132" i="1"/>
  <c r="D132" i="1"/>
  <c r="L131" i="1"/>
  <c r="K131" i="1"/>
  <c r="J131" i="1"/>
  <c r="I131" i="1"/>
  <c r="H131" i="1"/>
  <c r="G131" i="1"/>
  <c r="F131" i="1"/>
  <c r="E131" i="1"/>
  <c r="D131" i="1"/>
  <c r="L130" i="1"/>
  <c r="K130" i="1"/>
  <c r="J130" i="1"/>
  <c r="I130" i="1"/>
  <c r="H130" i="1"/>
  <c r="G130" i="1"/>
  <c r="F130" i="1"/>
  <c r="E130" i="1"/>
  <c r="D130" i="1"/>
  <c r="L129" i="1"/>
  <c r="K129" i="1"/>
  <c r="J129" i="1"/>
  <c r="I129" i="1"/>
  <c r="H129" i="1"/>
  <c r="G129" i="1"/>
  <c r="F129" i="1"/>
  <c r="E129" i="1"/>
  <c r="D129" i="1"/>
  <c r="L128" i="1"/>
  <c r="K128" i="1"/>
  <c r="J128" i="1"/>
  <c r="I128" i="1"/>
  <c r="H128" i="1"/>
  <c r="G128" i="1"/>
  <c r="F128" i="1"/>
  <c r="E128" i="1"/>
  <c r="D128" i="1"/>
  <c r="L127" i="1"/>
  <c r="K127" i="1"/>
  <c r="J127" i="1"/>
  <c r="I127" i="1"/>
  <c r="H127" i="1"/>
  <c r="G127" i="1"/>
  <c r="F127" i="1"/>
  <c r="E127" i="1"/>
  <c r="D127" i="1"/>
  <c r="L126" i="1"/>
  <c r="K126" i="1"/>
  <c r="J126" i="1"/>
  <c r="I126" i="1"/>
  <c r="H126" i="1"/>
  <c r="G126" i="1"/>
  <c r="F126" i="1"/>
  <c r="E126" i="1"/>
  <c r="D126" i="1"/>
  <c r="L125" i="1"/>
  <c r="K125" i="1"/>
  <c r="J125" i="1"/>
  <c r="I125" i="1"/>
  <c r="H125" i="1"/>
  <c r="G125" i="1"/>
  <c r="F125" i="1"/>
  <c r="E125" i="1"/>
  <c r="D125" i="1"/>
  <c r="L124" i="1"/>
  <c r="K124" i="1"/>
  <c r="J124" i="1"/>
  <c r="I124" i="1"/>
  <c r="H124" i="1"/>
  <c r="G124" i="1"/>
  <c r="F124" i="1"/>
  <c r="E124" i="1"/>
  <c r="D124" i="1"/>
  <c r="L123" i="1"/>
  <c r="K123" i="1"/>
  <c r="J123" i="1"/>
  <c r="I123" i="1"/>
  <c r="H123" i="1"/>
  <c r="G123" i="1"/>
  <c r="F123" i="1"/>
  <c r="E123" i="1"/>
  <c r="D123" i="1"/>
  <c r="L147" i="7" l="1"/>
  <c r="K147" i="7"/>
  <c r="J147" i="7"/>
  <c r="I147" i="7"/>
  <c r="H147" i="7"/>
  <c r="G147" i="7"/>
  <c r="F147" i="7"/>
  <c r="E147" i="7"/>
  <c r="D147" i="7"/>
  <c r="L146" i="7"/>
  <c r="K146" i="7"/>
  <c r="J146" i="7"/>
  <c r="I146" i="7"/>
  <c r="H146" i="7"/>
  <c r="G146" i="7"/>
  <c r="F146" i="7"/>
  <c r="E146" i="7"/>
  <c r="D146" i="7"/>
  <c r="L145" i="7"/>
  <c r="K145" i="7"/>
  <c r="J145" i="7"/>
  <c r="I145" i="7"/>
  <c r="H145" i="7"/>
  <c r="G145" i="7"/>
  <c r="F145" i="7"/>
  <c r="E145" i="7"/>
  <c r="D145" i="7"/>
  <c r="L144" i="7"/>
  <c r="K144" i="7"/>
  <c r="J144" i="7"/>
  <c r="I144" i="7"/>
  <c r="H144" i="7"/>
  <c r="G144" i="7"/>
  <c r="F144" i="7"/>
  <c r="E144" i="7"/>
  <c r="D144" i="7"/>
  <c r="L143" i="7"/>
  <c r="K143" i="7"/>
  <c r="J143" i="7"/>
  <c r="I143" i="7"/>
  <c r="H143" i="7"/>
  <c r="G143" i="7"/>
  <c r="F143" i="7"/>
  <c r="E143" i="7"/>
  <c r="D143" i="7"/>
  <c r="L142" i="7"/>
  <c r="K142" i="7"/>
  <c r="J142" i="7"/>
  <c r="I142" i="7"/>
  <c r="H142" i="7"/>
  <c r="G142" i="7"/>
  <c r="F142" i="7"/>
  <c r="E142" i="7"/>
  <c r="D142" i="7"/>
  <c r="L141" i="7"/>
  <c r="K141" i="7"/>
  <c r="J141" i="7"/>
  <c r="I141" i="7"/>
  <c r="H141" i="7"/>
  <c r="G141" i="7"/>
  <c r="F141" i="7"/>
  <c r="E141" i="7"/>
  <c r="D141" i="7"/>
  <c r="L140" i="7"/>
  <c r="K140" i="7"/>
  <c r="J140" i="7"/>
  <c r="I140" i="7"/>
  <c r="H140" i="7"/>
  <c r="G140" i="7"/>
  <c r="F140" i="7"/>
  <c r="E140" i="7"/>
  <c r="D140" i="7"/>
  <c r="L139" i="7"/>
  <c r="K139" i="7"/>
  <c r="J139" i="7"/>
  <c r="I139" i="7"/>
  <c r="H139" i="7"/>
  <c r="G139" i="7"/>
  <c r="F139" i="7"/>
  <c r="E139" i="7"/>
  <c r="D139" i="7"/>
  <c r="L138" i="7"/>
  <c r="K138" i="7"/>
  <c r="J138" i="7"/>
  <c r="I138" i="7"/>
  <c r="H138" i="7"/>
  <c r="G138" i="7"/>
  <c r="F138" i="7"/>
  <c r="E138" i="7"/>
  <c r="D138" i="7"/>
  <c r="L137" i="7"/>
  <c r="K137" i="7"/>
  <c r="J137" i="7"/>
  <c r="I137" i="7"/>
  <c r="H137" i="7"/>
  <c r="G137" i="7"/>
  <c r="F137" i="7"/>
  <c r="E137" i="7"/>
  <c r="D137" i="7"/>
  <c r="L136" i="7"/>
  <c r="K136" i="7"/>
  <c r="J136" i="7"/>
  <c r="I136" i="7"/>
  <c r="H136" i="7"/>
  <c r="G136" i="7"/>
  <c r="F136" i="7"/>
  <c r="E136" i="7"/>
  <c r="D136" i="7"/>
  <c r="L135" i="7"/>
  <c r="K135" i="7"/>
  <c r="J135" i="7"/>
  <c r="I135" i="7"/>
  <c r="H135" i="7"/>
  <c r="G135" i="7"/>
  <c r="F135" i="7"/>
  <c r="E135" i="7"/>
  <c r="D135" i="7"/>
  <c r="L134" i="7"/>
  <c r="K134" i="7"/>
  <c r="J134" i="7"/>
  <c r="I134" i="7"/>
  <c r="H134" i="7"/>
  <c r="G134" i="7"/>
  <c r="F134" i="7"/>
  <c r="E134" i="7"/>
  <c r="D134" i="7"/>
  <c r="L133" i="7"/>
  <c r="K133" i="7"/>
  <c r="J133" i="7"/>
  <c r="I133" i="7"/>
  <c r="H133" i="7"/>
  <c r="G133" i="7"/>
  <c r="F133" i="7"/>
  <c r="E133" i="7"/>
  <c r="D133" i="7"/>
  <c r="L132" i="7"/>
  <c r="K132" i="7"/>
  <c r="J132" i="7"/>
  <c r="I132" i="7"/>
  <c r="H132" i="7"/>
  <c r="G132" i="7"/>
  <c r="F132" i="7"/>
  <c r="E132" i="7"/>
  <c r="D132" i="7"/>
  <c r="L131" i="7"/>
  <c r="K131" i="7"/>
  <c r="J131" i="7"/>
  <c r="I131" i="7"/>
  <c r="H131" i="7"/>
  <c r="G131" i="7"/>
  <c r="F131" i="7"/>
  <c r="E131" i="7"/>
  <c r="D131" i="7"/>
  <c r="L130" i="7"/>
  <c r="K130" i="7"/>
  <c r="J130" i="7"/>
  <c r="I130" i="7"/>
  <c r="H130" i="7"/>
  <c r="G130" i="7"/>
  <c r="F130" i="7"/>
  <c r="E130" i="7"/>
  <c r="D130" i="7"/>
  <c r="L129" i="7"/>
  <c r="K129" i="7"/>
  <c r="J129" i="7"/>
  <c r="I129" i="7"/>
  <c r="H129" i="7"/>
  <c r="G129" i="7"/>
  <c r="F129" i="7"/>
  <c r="E129" i="7"/>
  <c r="D129" i="7"/>
  <c r="L128" i="7"/>
  <c r="K128" i="7"/>
  <c r="J128" i="7"/>
  <c r="I128" i="7"/>
  <c r="H128" i="7"/>
  <c r="G128" i="7"/>
  <c r="F128" i="7"/>
  <c r="E128" i="7"/>
  <c r="D128" i="7"/>
  <c r="L127" i="7"/>
  <c r="K127" i="7"/>
  <c r="J127" i="7"/>
  <c r="I127" i="7"/>
  <c r="H127" i="7"/>
  <c r="G127" i="7"/>
  <c r="F127" i="7"/>
  <c r="E127" i="7"/>
  <c r="D127" i="7"/>
  <c r="L126" i="7"/>
  <c r="K126" i="7"/>
  <c r="J126" i="7"/>
  <c r="I126" i="7"/>
  <c r="H126" i="7"/>
  <c r="G126" i="7"/>
  <c r="F126" i="7"/>
  <c r="E126" i="7"/>
  <c r="D126" i="7"/>
  <c r="L125" i="7"/>
  <c r="K125" i="7"/>
  <c r="J125" i="7"/>
  <c r="I125" i="7"/>
  <c r="H125" i="7"/>
  <c r="G125" i="7"/>
  <c r="F125" i="7"/>
  <c r="E125" i="7"/>
  <c r="D125" i="7"/>
  <c r="L124" i="7"/>
  <c r="K124" i="7"/>
  <c r="J124" i="7"/>
  <c r="I124" i="7"/>
  <c r="H124" i="7"/>
  <c r="G124" i="7"/>
  <c r="F124" i="7"/>
  <c r="E124" i="7"/>
  <c r="D124" i="7"/>
  <c r="L123" i="7"/>
  <c r="K123" i="7"/>
  <c r="J123" i="7"/>
  <c r="I123" i="7"/>
  <c r="H123" i="7"/>
  <c r="G123" i="7"/>
  <c r="F123" i="7"/>
  <c r="E123" i="7"/>
  <c r="D123" i="7"/>
  <c r="L147" i="8" l="1"/>
  <c r="K147" i="8"/>
  <c r="J147" i="8"/>
  <c r="I147" i="8"/>
  <c r="H147" i="8"/>
  <c r="G147" i="8"/>
  <c r="F147" i="8"/>
  <c r="E147" i="8"/>
  <c r="D147" i="8"/>
  <c r="L146" i="8"/>
  <c r="K146" i="8"/>
  <c r="J146" i="8"/>
  <c r="I146" i="8"/>
  <c r="H146" i="8"/>
  <c r="G146" i="8"/>
  <c r="F146" i="8"/>
  <c r="E146" i="8"/>
  <c r="D146" i="8"/>
  <c r="L145" i="8"/>
  <c r="K145" i="8"/>
  <c r="J145" i="8"/>
  <c r="I145" i="8"/>
  <c r="H145" i="8"/>
  <c r="G145" i="8"/>
  <c r="F145" i="8"/>
  <c r="E145" i="8"/>
  <c r="D145" i="8"/>
  <c r="L144" i="8"/>
  <c r="K144" i="8"/>
  <c r="J144" i="8"/>
  <c r="I144" i="8"/>
  <c r="H144" i="8"/>
  <c r="G144" i="8"/>
  <c r="F144" i="8"/>
  <c r="E144" i="8"/>
  <c r="D144" i="8"/>
  <c r="L143" i="8"/>
  <c r="K143" i="8"/>
  <c r="J143" i="8"/>
  <c r="I143" i="8"/>
  <c r="H143" i="8"/>
  <c r="G143" i="8"/>
  <c r="F143" i="8"/>
  <c r="E143" i="8"/>
  <c r="D143" i="8"/>
  <c r="L142" i="8"/>
  <c r="K142" i="8"/>
  <c r="J142" i="8"/>
  <c r="I142" i="8"/>
  <c r="H142" i="8"/>
  <c r="G142" i="8"/>
  <c r="F142" i="8"/>
  <c r="E142" i="8"/>
  <c r="D142" i="8"/>
  <c r="L141" i="8"/>
  <c r="K141" i="8"/>
  <c r="J141" i="8"/>
  <c r="I141" i="8"/>
  <c r="H141" i="8"/>
  <c r="G141" i="8"/>
  <c r="F141" i="8"/>
  <c r="E141" i="8"/>
  <c r="D141" i="8"/>
  <c r="L140" i="8"/>
  <c r="K140" i="8"/>
  <c r="J140" i="8"/>
  <c r="I140" i="8"/>
  <c r="H140" i="8"/>
  <c r="G140" i="8"/>
  <c r="F140" i="8"/>
  <c r="E140" i="8"/>
  <c r="D140" i="8"/>
  <c r="L139" i="8"/>
  <c r="K139" i="8"/>
  <c r="J139" i="8"/>
  <c r="I139" i="8"/>
  <c r="H139" i="8"/>
  <c r="G139" i="8"/>
  <c r="F139" i="8"/>
  <c r="E139" i="8"/>
  <c r="D139" i="8"/>
  <c r="L138" i="8"/>
  <c r="K138" i="8"/>
  <c r="J138" i="8"/>
  <c r="I138" i="8"/>
  <c r="H138" i="8"/>
  <c r="G138" i="8"/>
  <c r="F138" i="8"/>
  <c r="E138" i="8"/>
  <c r="D138" i="8"/>
  <c r="L137" i="8"/>
  <c r="K137" i="8"/>
  <c r="J137" i="8"/>
  <c r="I137" i="8"/>
  <c r="H137" i="8"/>
  <c r="G137" i="8"/>
  <c r="F137" i="8"/>
  <c r="E137" i="8"/>
  <c r="D137" i="8"/>
  <c r="L136" i="8"/>
  <c r="K136" i="8"/>
  <c r="J136" i="8"/>
  <c r="I136" i="8"/>
  <c r="H136" i="8"/>
  <c r="G136" i="8"/>
  <c r="F136" i="8"/>
  <c r="E136" i="8"/>
  <c r="D136" i="8"/>
  <c r="L135" i="8"/>
  <c r="K135" i="8"/>
  <c r="J135" i="8"/>
  <c r="I135" i="8"/>
  <c r="H135" i="8"/>
  <c r="G135" i="8"/>
  <c r="F135" i="8"/>
  <c r="E135" i="8"/>
  <c r="D135" i="8"/>
  <c r="L134" i="8"/>
  <c r="K134" i="8"/>
  <c r="J134" i="8"/>
  <c r="I134" i="8"/>
  <c r="H134" i="8"/>
  <c r="G134" i="8"/>
  <c r="F134" i="8"/>
  <c r="E134" i="8"/>
  <c r="D134" i="8"/>
  <c r="L133" i="8"/>
  <c r="K133" i="8"/>
  <c r="J133" i="8"/>
  <c r="I133" i="8"/>
  <c r="H133" i="8"/>
  <c r="G133" i="8"/>
  <c r="F133" i="8"/>
  <c r="E133" i="8"/>
  <c r="D133" i="8"/>
  <c r="L132" i="8"/>
  <c r="K132" i="8"/>
  <c r="J132" i="8"/>
  <c r="I132" i="8"/>
  <c r="H132" i="8"/>
  <c r="G132" i="8"/>
  <c r="F132" i="8"/>
  <c r="E132" i="8"/>
  <c r="D132" i="8"/>
  <c r="L131" i="8"/>
  <c r="K131" i="8"/>
  <c r="J131" i="8"/>
  <c r="I131" i="8"/>
  <c r="H131" i="8"/>
  <c r="G131" i="8"/>
  <c r="F131" i="8"/>
  <c r="E131" i="8"/>
  <c r="D131" i="8"/>
  <c r="L130" i="8"/>
  <c r="K130" i="8"/>
  <c r="J130" i="8"/>
  <c r="I130" i="8"/>
  <c r="H130" i="8"/>
  <c r="G130" i="8"/>
  <c r="F130" i="8"/>
  <c r="E130" i="8"/>
  <c r="D130" i="8"/>
  <c r="L129" i="8"/>
  <c r="K129" i="8"/>
  <c r="J129" i="8"/>
  <c r="I129" i="8"/>
  <c r="H129" i="8"/>
  <c r="G129" i="8"/>
  <c r="F129" i="8"/>
  <c r="E129" i="8"/>
  <c r="D129" i="8"/>
  <c r="L128" i="8"/>
  <c r="K128" i="8"/>
  <c r="J128" i="8"/>
  <c r="I128" i="8"/>
  <c r="H128" i="8"/>
  <c r="G128" i="8"/>
  <c r="F128" i="8"/>
  <c r="E128" i="8"/>
  <c r="D128" i="8"/>
  <c r="L127" i="8"/>
  <c r="K127" i="8"/>
  <c r="J127" i="8"/>
  <c r="I127" i="8"/>
  <c r="H127" i="8"/>
  <c r="G127" i="8"/>
  <c r="F127" i="8"/>
  <c r="E127" i="8"/>
  <c r="D127" i="8"/>
  <c r="L126" i="8"/>
  <c r="K126" i="8"/>
  <c r="J126" i="8"/>
  <c r="I126" i="8"/>
  <c r="H126" i="8"/>
  <c r="G126" i="8"/>
  <c r="F126" i="8"/>
  <c r="E126" i="8"/>
  <c r="D126" i="8"/>
  <c r="L125" i="8"/>
  <c r="K125" i="8"/>
  <c r="J125" i="8"/>
  <c r="I125" i="8"/>
  <c r="H125" i="8"/>
  <c r="G125" i="8"/>
  <c r="F125" i="8"/>
  <c r="E125" i="8"/>
  <c r="D125" i="8"/>
  <c r="L124" i="8"/>
  <c r="K124" i="8"/>
  <c r="J124" i="8"/>
  <c r="I124" i="8"/>
  <c r="H124" i="8"/>
  <c r="G124" i="8"/>
  <c r="F124" i="8"/>
  <c r="E124" i="8"/>
  <c r="D124" i="8"/>
  <c r="L123" i="8"/>
  <c r="K123" i="8"/>
  <c r="J123" i="8"/>
  <c r="I123" i="8"/>
  <c r="H123" i="8"/>
  <c r="G123" i="8"/>
  <c r="F123" i="8"/>
  <c r="E123" i="8"/>
  <c r="D123" i="8"/>
  <c r="D124" i="9"/>
  <c r="E124" i="9"/>
  <c r="F124" i="9"/>
  <c r="G124" i="9"/>
  <c r="H124" i="9"/>
  <c r="I124" i="9"/>
  <c r="J124" i="9"/>
  <c r="K124" i="9"/>
  <c r="L124" i="9"/>
  <c r="D125" i="9"/>
  <c r="E125" i="9"/>
  <c r="F125" i="9"/>
  <c r="G125" i="9"/>
  <c r="H125" i="9"/>
  <c r="I125" i="9"/>
  <c r="J125" i="9"/>
  <c r="K125" i="9"/>
  <c r="L125" i="9"/>
  <c r="D126" i="9"/>
  <c r="E126" i="9"/>
  <c r="F126" i="9"/>
  <c r="G126" i="9"/>
  <c r="H126" i="9"/>
  <c r="I126" i="9"/>
  <c r="J126" i="9"/>
  <c r="K126" i="9"/>
  <c r="L126" i="9"/>
  <c r="D127" i="9"/>
  <c r="E127" i="9"/>
  <c r="F127" i="9"/>
  <c r="G127" i="9"/>
  <c r="H127" i="9"/>
  <c r="I127" i="9"/>
  <c r="J127" i="9"/>
  <c r="K127" i="9"/>
  <c r="L127" i="9"/>
  <c r="D128" i="9"/>
  <c r="E128" i="9"/>
  <c r="F128" i="9"/>
  <c r="G128" i="9"/>
  <c r="H128" i="9"/>
  <c r="I128" i="9"/>
  <c r="J128" i="9"/>
  <c r="K128" i="9"/>
  <c r="L128" i="9"/>
  <c r="D129" i="9"/>
  <c r="E129" i="9"/>
  <c r="F129" i="9"/>
  <c r="G129" i="9"/>
  <c r="H129" i="9"/>
  <c r="I129" i="9"/>
  <c r="J129" i="9"/>
  <c r="K129" i="9"/>
  <c r="L129" i="9"/>
  <c r="D130" i="9"/>
  <c r="E130" i="9"/>
  <c r="F130" i="9"/>
  <c r="G130" i="9"/>
  <c r="H130" i="9"/>
  <c r="I130" i="9"/>
  <c r="J130" i="9"/>
  <c r="K130" i="9"/>
  <c r="L130" i="9"/>
  <c r="D131" i="9"/>
  <c r="E131" i="9"/>
  <c r="F131" i="9"/>
  <c r="G131" i="9"/>
  <c r="H131" i="9"/>
  <c r="I131" i="9"/>
  <c r="J131" i="9"/>
  <c r="K131" i="9"/>
  <c r="L131" i="9"/>
  <c r="D132" i="9"/>
  <c r="E132" i="9"/>
  <c r="F132" i="9"/>
  <c r="G132" i="9"/>
  <c r="H132" i="9"/>
  <c r="I132" i="9"/>
  <c r="J132" i="9"/>
  <c r="K132" i="9"/>
  <c r="L132" i="9"/>
  <c r="D133" i="9"/>
  <c r="E133" i="9"/>
  <c r="F133" i="9"/>
  <c r="G133" i="9"/>
  <c r="H133" i="9"/>
  <c r="I133" i="9"/>
  <c r="J133" i="9"/>
  <c r="K133" i="9"/>
  <c r="L133" i="9"/>
  <c r="D134" i="9"/>
  <c r="E134" i="9"/>
  <c r="F134" i="9"/>
  <c r="G134" i="9"/>
  <c r="H134" i="9"/>
  <c r="I134" i="9"/>
  <c r="J134" i="9"/>
  <c r="K134" i="9"/>
  <c r="L134" i="9"/>
  <c r="D135" i="9"/>
  <c r="E135" i="9"/>
  <c r="F135" i="9"/>
  <c r="G135" i="9"/>
  <c r="H135" i="9"/>
  <c r="I135" i="9"/>
  <c r="J135" i="9"/>
  <c r="K135" i="9"/>
  <c r="L135" i="9"/>
  <c r="D136" i="9"/>
  <c r="E136" i="9"/>
  <c r="F136" i="9"/>
  <c r="G136" i="9"/>
  <c r="H136" i="9"/>
  <c r="I136" i="9"/>
  <c r="J136" i="9"/>
  <c r="K136" i="9"/>
  <c r="L136" i="9"/>
  <c r="D137" i="9"/>
  <c r="E137" i="9"/>
  <c r="F137" i="9"/>
  <c r="G137" i="9"/>
  <c r="H137" i="9"/>
  <c r="I137" i="9"/>
  <c r="J137" i="9"/>
  <c r="K137" i="9"/>
  <c r="L137" i="9"/>
  <c r="D138" i="9"/>
  <c r="E138" i="9"/>
  <c r="F138" i="9"/>
  <c r="G138" i="9"/>
  <c r="H138" i="9"/>
  <c r="I138" i="9"/>
  <c r="J138" i="9"/>
  <c r="K138" i="9"/>
  <c r="L138" i="9"/>
  <c r="D139" i="9"/>
  <c r="E139" i="9"/>
  <c r="F139" i="9"/>
  <c r="G139" i="9"/>
  <c r="H139" i="9"/>
  <c r="I139" i="9"/>
  <c r="J139" i="9"/>
  <c r="K139" i="9"/>
  <c r="L139" i="9"/>
  <c r="D140" i="9"/>
  <c r="E140" i="9"/>
  <c r="F140" i="9"/>
  <c r="G140" i="9"/>
  <c r="H140" i="9"/>
  <c r="I140" i="9"/>
  <c r="J140" i="9"/>
  <c r="K140" i="9"/>
  <c r="L140" i="9"/>
  <c r="D141" i="9"/>
  <c r="E141" i="9"/>
  <c r="F141" i="9"/>
  <c r="G141" i="9"/>
  <c r="H141" i="9"/>
  <c r="I141" i="9"/>
  <c r="J141" i="9"/>
  <c r="K141" i="9"/>
  <c r="L141" i="9"/>
  <c r="D142" i="9"/>
  <c r="E142" i="9"/>
  <c r="F142" i="9"/>
  <c r="G142" i="9"/>
  <c r="H142" i="9"/>
  <c r="I142" i="9"/>
  <c r="J142" i="9"/>
  <c r="K142" i="9"/>
  <c r="L142" i="9"/>
  <c r="D143" i="9"/>
  <c r="E143" i="9"/>
  <c r="F143" i="9"/>
  <c r="G143" i="9"/>
  <c r="H143" i="9"/>
  <c r="I143" i="9"/>
  <c r="J143" i="9"/>
  <c r="K143" i="9"/>
  <c r="L143" i="9"/>
  <c r="D144" i="9"/>
  <c r="E144" i="9"/>
  <c r="F144" i="9"/>
  <c r="G144" i="9"/>
  <c r="H144" i="9"/>
  <c r="I144" i="9"/>
  <c r="J144" i="9"/>
  <c r="K144" i="9"/>
  <c r="L144" i="9"/>
  <c r="D145" i="9"/>
  <c r="E145" i="9"/>
  <c r="F145" i="9"/>
  <c r="G145" i="9"/>
  <c r="H145" i="9"/>
  <c r="I145" i="9"/>
  <c r="J145" i="9"/>
  <c r="K145" i="9"/>
  <c r="L145" i="9"/>
  <c r="D146" i="9"/>
  <c r="E146" i="9"/>
  <c r="F146" i="9"/>
  <c r="G146" i="9"/>
  <c r="H146" i="9"/>
  <c r="I146" i="9"/>
  <c r="J146" i="9"/>
  <c r="K146" i="9"/>
  <c r="L146" i="9"/>
  <c r="D147" i="9"/>
  <c r="E147" i="9"/>
  <c r="F147" i="9"/>
  <c r="G147" i="9"/>
  <c r="H147" i="9"/>
  <c r="I147" i="9"/>
  <c r="J147" i="9"/>
  <c r="K147" i="9"/>
  <c r="L147" i="9"/>
  <c r="E123" i="9"/>
  <c r="F123" i="9"/>
  <c r="G123" i="9"/>
  <c r="H123" i="9"/>
  <c r="I123" i="9"/>
  <c r="J123" i="9"/>
  <c r="K123" i="9"/>
  <c r="L123" i="9"/>
  <c r="D123" i="9"/>
  <c r="AA41" i="30" l="1"/>
  <c r="AB40" i="30"/>
  <c r="AA40" i="30"/>
  <c r="W40" i="30"/>
  <c r="Y40" i="30"/>
  <c r="H49" i="30" l="1"/>
  <c r="G49" i="30"/>
  <c r="F49" i="30"/>
  <c r="B49" i="30"/>
  <c r="B50" i="30" s="1"/>
  <c r="T48" i="30"/>
  <c r="S48" i="30"/>
  <c r="R48" i="30"/>
  <c r="Q48" i="30"/>
  <c r="P48" i="30"/>
  <c r="N48" i="30"/>
  <c r="M48" i="30"/>
  <c r="L48" i="30"/>
  <c r="K48" i="30"/>
  <c r="J48" i="30"/>
  <c r="H48" i="30"/>
  <c r="G48" i="30"/>
  <c r="F48" i="30"/>
  <c r="E48" i="30"/>
  <c r="D48" i="30"/>
  <c r="A48" i="30"/>
  <c r="AB46" i="30"/>
  <c r="AA46" i="30"/>
  <c r="W46" i="30"/>
  <c r="Y46" i="30" s="1"/>
  <c r="V46" i="30"/>
  <c r="X46" i="30" s="1"/>
  <c r="AB45" i="30"/>
  <c r="AA45" i="30"/>
  <c r="W45" i="30"/>
  <c r="Y45" i="30" s="1"/>
  <c r="V45" i="30"/>
  <c r="X45" i="30" s="1"/>
  <c r="AB44" i="30"/>
  <c r="AA44" i="30"/>
  <c r="W44" i="30"/>
  <c r="Y44" i="30" s="1"/>
  <c r="V44" i="30"/>
  <c r="X44" i="30" s="1"/>
  <c r="AB43" i="30"/>
  <c r="AA43" i="30"/>
  <c r="W43" i="30"/>
  <c r="Y43" i="30" s="1"/>
  <c r="V43" i="30"/>
  <c r="X43" i="30" s="1"/>
  <c r="AB42" i="30"/>
  <c r="AA42" i="30"/>
  <c r="W42" i="30"/>
  <c r="Y42" i="30" s="1"/>
  <c r="V42" i="30"/>
  <c r="X42" i="30" s="1"/>
  <c r="AB41" i="30"/>
  <c r="W41" i="30"/>
  <c r="Y41" i="30" s="1"/>
  <c r="V41" i="30"/>
  <c r="X41" i="30" s="1"/>
  <c r="B41" i="30"/>
  <c r="S49" i="30" s="1"/>
  <c r="V40" i="30"/>
  <c r="X40" i="30" s="1"/>
  <c r="A40" i="30"/>
  <c r="Y14" i="30"/>
  <c r="Y3" i="30"/>
  <c r="W15" i="30"/>
  <c r="Y15" i="30" s="1"/>
  <c r="AB15" i="30"/>
  <c r="AB3" i="30"/>
  <c r="AA16" i="30"/>
  <c r="AA15" i="30"/>
  <c r="AA14" i="30"/>
  <c r="AA13" i="30"/>
  <c r="AA4" i="30"/>
  <c r="AA3" i="30"/>
  <c r="V3" i="30"/>
  <c r="X3" i="30" s="1"/>
  <c r="W3" i="30"/>
  <c r="X4" i="30"/>
  <c r="X11" i="30"/>
  <c r="X12" i="30"/>
  <c r="V18" i="30"/>
  <c r="X18" i="30" s="1"/>
  <c r="V17" i="30"/>
  <c r="X17" i="30" s="1"/>
  <c r="V16" i="30"/>
  <c r="X16" i="30" s="1"/>
  <c r="V15" i="30"/>
  <c r="X15" i="30" s="1"/>
  <c r="V14" i="30"/>
  <c r="X14" i="30" s="1"/>
  <c r="V13" i="30"/>
  <c r="X13" i="30" s="1"/>
  <c r="V12" i="30"/>
  <c r="V11" i="30"/>
  <c r="V4" i="30"/>
  <c r="W4" i="30"/>
  <c r="Y4" i="30" s="1"/>
  <c r="AB4" i="30"/>
  <c r="V5" i="30"/>
  <c r="X5" i="30" s="1"/>
  <c r="W5" i="30"/>
  <c r="Y5" i="30" s="1"/>
  <c r="AA5" i="30"/>
  <c r="AB5" i="30"/>
  <c r="V6" i="30"/>
  <c r="X6" i="30" s="1"/>
  <c r="W6" i="30"/>
  <c r="Y6" i="30" s="1"/>
  <c r="AA6" i="30"/>
  <c r="AB6" i="30"/>
  <c r="V7" i="30"/>
  <c r="X7" i="30" s="1"/>
  <c r="W7" i="30"/>
  <c r="Y7" i="30" s="1"/>
  <c r="AA7" i="30"/>
  <c r="AB7" i="30"/>
  <c r="V8" i="30"/>
  <c r="X8" i="30" s="1"/>
  <c r="W8" i="30"/>
  <c r="Y8" i="30" s="1"/>
  <c r="AA8" i="30"/>
  <c r="AB8" i="30"/>
  <c r="V9" i="30"/>
  <c r="X9" i="30" s="1"/>
  <c r="W9" i="30"/>
  <c r="Y9" i="30" s="1"/>
  <c r="AA9" i="30"/>
  <c r="AB9" i="30"/>
  <c r="V10" i="30"/>
  <c r="X10" i="30" s="1"/>
  <c r="W10" i="30"/>
  <c r="Y10" i="30" s="1"/>
  <c r="AA10" i="30"/>
  <c r="AB10" i="30"/>
  <c r="W11" i="30"/>
  <c r="Y11" i="30" s="1"/>
  <c r="AA11" i="30"/>
  <c r="AB11" i="30"/>
  <c r="W12" i="30"/>
  <c r="Y12" i="30" s="1"/>
  <c r="AA12" i="30"/>
  <c r="AB12" i="30"/>
  <c r="W13" i="30"/>
  <c r="Y13" i="30" s="1"/>
  <c r="AB13" i="30"/>
  <c r="W14" i="30"/>
  <c r="AB14" i="30"/>
  <c r="AB16" i="30"/>
  <c r="AA17" i="30"/>
  <c r="AB17" i="30"/>
  <c r="AA18" i="30"/>
  <c r="AB18" i="30"/>
  <c r="G21" i="30"/>
  <c r="B21" i="30"/>
  <c r="B22" i="30" s="1"/>
  <c r="A21" i="30"/>
  <c r="A20" i="30"/>
  <c r="E20" i="30"/>
  <c r="F20" i="30"/>
  <c r="G20" i="30"/>
  <c r="H20" i="30"/>
  <c r="J20" i="30"/>
  <c r="K20" i="30"/>
  <c r="L20" i="30"/>
  <c r="M20" i="30"/>
  <c r="N20" i="30"/>
  <c r="P20" i="30"/>
  <c r="Q20" i="30"/>
  <c r="R20" i="30"/>
  <c r="S20" i="30"/>
  <c r="T20" i="30"/>
  <c r="D20" i="30"/>
  <c r="A3" i="30"/>
  <c r="B4" i="30"/>
  <c r="H21" i="30" s="1"/>
  <c r="K49" i="30" l="1"/>
  <c r="L49" i="30"/>
  <c r="M49" i="30"/>
  <c r="P49" i="30"/>
  <c r="J49" i="30"/>
  <c r="N49" i="30"/>
  <c r="B42" i="30"/>
  <c r="B51" i="30"/>
  <c r="A50" i="30"/>
  <c r="T21" i="30"/>
  <c r="F21" i="30"/>
  <c r="B5" i="30"/>
  <c r="A5" i="30" s="1"/>
  <c r="S21" i="30"/>
  <c r="E21" i="30"/>
  <c r="R21" i="30"/>
  <c r="D21" i="30"/>
  <c r="A4" i="30"/>
  <c r="Q21" i="30"/>
  <c r="N50" i="30"/>
  <c r="P21" i="30"/>
  <c r="P50" i="30"/>
  <c r="N21" i="30"/>
  <c r="Q50" i="30"/>
  <c r="M21" i="30"/>
  <c r="L21" i="30"/>
  <c r="K21" i="30"/>
  <c r="T49" i="30"/>
  <c r="J21" i="30"/>
  <c r="B43" i="30"/>
  <c r="N51" i="30" s="1"/>
  <c r="A49" i="30"/>
  <c r="G51" i="30"/>
  <c r="B44" i="30"/>
  <c r="H50" i="30"/>
  <c r="J50" i="30"/>
  <c r="Q49" i="30"/>
  <c r="K50" i="30"/>
  <c r="A41" i="30"/>
  <c r="D49" i="30"/>
  <c r="R49" i="30"/>
  <c r="E49" i="30"/>
  <c r="G22" i="30"/>
  <c r="B23" i="30"/>
  <c r="A22" i="30"/>
  <c r="Q11" i="24"/>
  <c r="R11" i="24"/>
  <c r="S11" i="24"/>
  <c r="T11" i="24"/>
  <c r="U11" i="24"/>
  <c r="V11" i="24"/>
  <c r="Q5" i="24"/>
  <c r="R5" i="24"/>
  <c r="S5" i="24"/>
  <c r="T5" i="24"/>
  <c r="U5" i="24"/>
  <c r="Q6" i="24"/>
  <c r="R6" i="24"/>
  <c r="S6" i="24"/>
  <c r="T6" i="24"/>
  <c r="U6" i="24"/>
  <c r="V6" i="24"/>
  <c r="Q7" i="24"/>
  <c r="R7" i="24"/>
  <c r="S7" i="24"/>
  <c r="T7" i="24"/>
  <c r="U7" i="24"/>
  <c r="V7" i="24"/>
  <c r="Q8" i="24"/>
  <c r="R8" i="24"/>
  <c r="S8" i="24"/>
  <c r="T8" i="24"/>
  <c r="U8" i="24"/>
  <c r="Q9" i="24"/>
  <c r="R9" i="24"/>
  <c r="S9" i="24"/>
  <c r="T9" i="24"/>
  <c r="U9" i="24"/>
  <c r="V9" i="24"/>
  <c r="Q10" i="24"/>
  <c r="R10" i="24"/>
  <c r="S10" i="24"/>
  <c r="T10" i="24"/>
  <c r="U10" i="24"/>
  <c r="V10" i="24"/>
  <c r="Q12" i="24"/>
  <c r="R12" i="24"/>
  <c r="S12" i="24"/>
  <c r="T12" i="24"/>
  <c r="U12" i="24"/>
  <c r="V12" i="24"/>
  <c r="Q13" i="24"/>
  <c r="R13" i="24"/>
  <c r="S13" i="24"/>
  <c r="T13" i="24"/>
  <c r="U13" i="24"/>
  <c r="V13" i="24"/>
  <c r="Q14" i="24"/>
  <c r="R14" i="24"/>
  <c r="S14" i="24"/>
  <c r="T14" i="24"/>
  <c r="U14" i="24"/>
  <c r="V14" i="24"/>
  <c r="Q15" i="24"/>
  <c r="R15" i="24"/>
  <c r="S15" i="24"/>
  <c r="T15" i="24"/>
  <c r="U15" i="24"/>
  <c r="V15" i="24"/>
  <c r="Q16" i="24"/>
  <c r="R16" i="24"/>
  <c r="S16" i="24"/>
  <c r="T16" i="24"/>
  <c r="U16" i="24"/>
  <c r="V16" i="24"/>
  <c r="Q17" i="24"/>
  <c r="R17" i="24"/>
  <c r="S17" i="24"/>
  <c r="T17" i="24"/>
  <c r="U17" i="24"/>
  <c r="V17" i="24"/>
  <c r="Q18" i="24"/>
  <c r="R18" i="24"/>
  <c r="S18" i="24"/>
  <c r="T18" i="24"/>
  <c r="U18" i="24"/>
  <c r="V18" i="24"/>
  <c r="P17" i="24"/>
  <c r="P15" i="24"/>
  <c r="P13" i="24"/>
  <c r="P12" i="24"/>
  <c r="P10" i="24"/>
  <c r="P9" i="24"/>
  <c r="P8" i="24"/>
  <c r="P7" i="24"/>
  <c r="P14" i="24"/>
  <c r="P16" i="24"/>
  <c r="P18" i="24"/>
  <c r="P6" i="24"/>
  <c r="P5" i="24"/>
  <c r="T22" i="30" l="1"/>
  <c r="F22" i="30"/>
  <c r="E22" i="30"/>
  <c r="M50" i="30"/>
  <c r="F50" i="30"/>
  <c r="D50" i="30"/>
  <c r="E50" i="30"/>
  <c r="A42" i="30"/>
  <c r="D51" i="30"/>
  <c r="R51" i="30"/>
  <c r="G50" i="30"/>
  <c r="F51" i="30"/>
  <c r="B6" i="30"/>
  <c r="R23" i="30" s="1"/>
  <c r="S22" i="30"/>
  <c r="M51" i="30"/>
  <c r="T50" i="30"/>
  <c r="L22" i="30"/>
  <c r="E51" i="30"/>
  <c r="S50" i="30"/>
  <c r="L50" i="30"/>
  <c r="S51" i="30"/>
  <c r="R50" i="30"/>
  <c r="T51" i="30"/>
  <c r="D22" i="30"/>
  <c r="R22" i="30"/>
  <c r="P22" i="30"/>
  <c r="Q22" i="30"/>
  <c r="M22" i="30"/>
  <c r="P51" i="30"/>
  <c r="H51" i="30"/>
  <c r="K22" i="30"/>
  <c r="N22" i="30"/>
  <c r="J22" i="30"/>
  <c r="J51" i="30"/>
  <c r="L51" i="30"/>
  <c r="K51" i="30"/>
  <c r="A43" i="30"/>
  <c r="H22" i="30"/>
  <c r="Q51" i="30"/>
  <c r="A51" i="30"/>
  <c r="B52" i="30"/>
  <c r="P52" i="30"/>
  <c r="K52" i="30"/>
  <c r="B45" i="30"/>
  <c r="J52" i="30"/>
  <c r="N52" i="30"/>
  <c r="A44" i="30"/>
  <c r="M52" i="30"/>
  <c r="L52" i="30"/>
  <c r="T52" i="30"/>
  <c r="S52" i="30"/>
  <c r="R52" i="30"/>
  <c r="E52" i="30"/>
  <c r="Q52" i="30"/>
  <c r="H52" i="30"/>
  <c r="G52" i="30"/>
  <c r="F52" i="30"/>
  <c r="D52" i="30"/>
  <c r="P23" i="30"/>
  <c r="Q23" i="30"/>
  <c r="D23" i="30"/>
  <c r="B7" i="30"/>
  <c r="E23" i="30"/>
  <c r="S23" i="30"/>
  <c r="F23" i="30"/>
  <c r="T23" i="30"/>
  <c r="G23" i="30"/>
  <c r="H23" i="30"/>
  <c r="A6" i="30"/>
  <c r="J23" i="30"/>
  <c r="K23" i="30"/>
  <c r="L23" i="30"/>
  <c r="N23" i="30"/>
  <c r="A23" i="30"/>
  <c r="B24" i="30"/>
  <c r="L106" i="29"/>
  <c r="K106" i="29"/>
  <c r="J106" i="29"/>
  <c r="I106" i="29"/>
  <c r="H106" i="29"/>
  <c r="G106" i="29"/>
  <c r="F106" i="29"/>
  <c r="E106" i="29"/>
  <c r="D106" i="29"/>
  <c r="L105" i="29"/>
  <c r="K105" i="29"/>
  <c r="J105" i="29"/>
  <c r="I105" i="29"/>
  <c r="H105" i="29"/>
  <c r="G105" i="29"/>
  <c r="F105" i="29"/>
  <c r="E105" i="29"/>
  <c r="D105" i="29"/>
  <c r="L104" i="29"/>
  <c r="K104" i="29"/>
  <c r="J104" i="29"/>
  <c r="I104" i="29"/>
  <c r="H104" i="29"/>
  <c r="G104" i="29"/>
  <c r="F104" i="29"/>
  <c r="E104" i="29"/>
  <c r="D104" i="29"/>
  <c r="L103" i="29"/>
  <c r="K103" i="29"/>
  <c r="J103" i="29"/>
  <c r="I103" i="29"/>
  <c r="H103" i="29"/>
  <c r="G103" i="29"/>
  <c r="F103" i="29"/>
  <c r="E103" i="29"/>
  <c r="D103" i="29"/>
  <c r="L102" i="29"/>
  <c r="K102" i="29"/>
  <c r="J102" i="29"/>
  <c r="I102" i="29"/>
  <c r="H102" i="29"/>
  <c r="G102" i="29"/>
  <c r="F102" i="29"/>
  <c r="E102" i="29"/>
  <c r="D102" i="29"/>
  <c r="L101" i="29"/>
  <c r="K101" i="29"/>
  <c r="J101" i="29"/>
  <c r="I101" i="29"/>
  <c r="H101" i="29"/>
  <c r="G101" i="29"/>
  <c r="F101" i="29"/>
  <c r="E101" i="29"/>
  <c r="D101" i="29"/>
  <c r="L100" i="29"/>
  <c r="K100" i="29"/>
  <c r="J100" i="29"/>
  <c r="I100" i="29"/>
  <c r="H100" i="29"/>
  <c r="G100" i="29"/>
  <c r="F100" i="29"/>
  <c r="E100" i="29"/>
  <c r="D100" i="29"/>
  <c r="L99" i="29"/>
  <c r="K99" i="29"/>
  <c r="J99" i="29"/>
  <c r="I99" i="29"/>
  <c r="H99" i="29"/>
  <c r="G99" i="29"/>
  <c r="F99" i="29"/>
  <c r="E99" i="29"/>
  <c r="D99" i="29"/>
  <c r="L98" i="29"/>
  <c r="K98" i="29"/>
  <c r="J98" i="29"/>
  <c r="I98" i="29"/>
  <c r="H98" i="29"/>
  <c r="G98" i="29"/>
  <c r="F98" i="29"/>
  <c r="E98" i="29"/>
  <c r="D98" i="29"/>
  <c r="L97" i="29"/>
  <c r="K97" i="29"/>
  <c r="J97" i="29"/>
  <c r="I97" i="29"/>
  <c r="H97" i="29"/>
  <c r="G97" i="29"/>
  <c r="F97" i="29"/>
  <c r="E97" i="29"/>
  <c r="D97" i="29"/>
  <c r="L96" i="29"/>
  <c r="K96" i="29"/>
  <c r="J96" i="29"/>
  <c r="I96" i="29"/>
  <c r="H96" i="29"/>
  <c r="G96" i="29"/>
  <c r="F96" i="29"/>
  <c r="E96" i="29"/>
  <c r="D96" i="29"/>
  <c r="L95" i="29"/>
  <c r="K95" i="29"/>
  <c r="J95" i="29"/>
  <c r="I95" i="29"/>
  <c r="H95" i="29"/>
  <c r="G95" i="29"/>
  <c r="F95" i="29"/>
  <c r="E95" i="29"/>
  <c r="D95" i="29"/>
  <c r="L94" i="29"/>
  <c r="K94" i="29"/>
  <c r="J94" i="29"/>
  <c r="I94" i="29"/>
  <c r="H94" i="29"/>
  <c r="G94" i="29"/>
  <c r="F94" i="29"/>
  <c r="E94" i="29"/>
  <c r="D94" i="29"/>
  <c r="L93" i="29"/>
  <c r="K93" i="29"/>
  <c r="J93" i="29"/>
  <c r="I93" i="29"/>
  <c r="H93" i="29"/>
  <c r="G93" i="29"/>
  <c r="F93" i="29"/>
  <c r="E93" i="29"/>
  <c r="D93" i="29"/>
  <c r="L92" i="29"/>
  <c r="K92" i="29"/>
  <c r="J92" i="29"/>
  <c r="I92" i="29"/>
  <c r="H92" i="29"/>
  <c r="G92" i="29"/>
  <c r="F92" i="29"/>
  <c r="E92" i="29"/>
  <c r="D92" i="29"/>
  <c r="L91" i="29"/>
  <c r="K91" i="29"/>
  <c r="J91" i="29"/>
  <c r="I91" i="29"/>
  <c r="H91" i="29"/>
  <c r="G91" i="29"/>
  <c r="F91" i="29"/>
  <c r="E91" i="29"/>
  <c r="D91" i="29"/>
  <c r="L90" i="29"/>
  <c r="K90" i="29"/>
  <c r="J90" i="29"/>
  <c r="I90" i="29"/>
  <c r="H90" i="29"/>
  <c r="G90" i="29"/>
  <c r="F90" i="29"/>
  <c r="E90" i="29"/>
  <c r="D90" i="29"/>
  <c r="L89" i="29"/>
  <c r="K89" i="29"/>
  <c r="J89" i="29"/>
  <c r="I89" i="29"/>
  <c r="H89" i="29"/>
  <c r="G89" i="29"/>
  <c r="F89" i="29"/>
  <c r="E89" i="29"/>
  <c r="D89" i="29"/>
  <c r="L88" i="29"/>
  <c r="K88" i="29"/>
  <c r="J88" i="29"/>
  <c r="I88" i="29"/>
  <c r="H88" i="29"/>
  <c r="G88" i="29"/>
  <c r="F88" i="29"/>
  <c r="E88" i="29"/>
  <c r="D88" i="29"/>
  <c r="L87" i="29"/>
  <c r="K87" i="29"/>
  <c r="J87" i="29"/>
  <c r="I87" i="29"/>
  <c r="H87" i="29"/>
  <c r="G87" i="29"/>
  <c r="F87" i="29"/>
  <c r="E87" i="29"/>
  <c r="D87" i="29"/>
  <c r="L86" i="29"/>
  <c r="K86" i="29"/>
  <c r="J86" i="29"/>
  <c r="I86" i="29"/>
  <c r="H86" i="29"/>
  <c r="G86" i="29"/>
  <c r="F86" i="29"/>
  <c r="E86" i="29"/>
  <c r="D86" i="29"/>
  <c r="L85" i="29"/>
  <c r="K85" i="29"/>
  <c r="J85" i="29"/>
  <c r="I85" i="29"/>
  <c r="H85" i="29"/>
  <c r="G85" i="29"/>
  <c r="F85" i="29"/>
  <c r="E85" i="29"/>
  <c r="D85" i="29"/>
  <c r="L84" i="29"/>
  <c r="K84" i="29"/>
  <c r="J84" i="29"/>
  <c r="I84" i="29"/>
  <c r="H84" i="29"/>
  <c r="G84" i="29"/>
  <c r="F84" i="29"/>
  <c r="E84" i="29"/>
  <c r="D84" i="29"/>
  <c r="L83" i="29"/>
  <c r="K83" i="29"/>
  <c r="J83" i="29"/>
  <c r="I83" i="29"/>
  <c r="H83" i="29"/>
  <c r="G83" i="29"/>
  <c r="F83" i="29"/>
  <c r="E83" i="29"/>
  <c r="D83" i="29"/>
  <c r="L82" i="29"/>
  <c r="K82" i="29"/>
  <c r="J82" i="29"/>
  <c r="I82" i="29"/>
  <c r="H82" i="29"/>
  <c r="G82" i="29"/>
  <c r="F82" i="29"/>
  <c r="E82" i="29"/>
  <c r="D82" i="29"/>
  <c r="L81" i="29"/>
  <c r="K81" i="29"/>
  <c r="J81" i="29"/>
  <c r="I81" i="29"/>
  <c r="H81" i="29"/>
  <c r="G81" i="29"/>
  <c r="F81" i="29"/>
  <c r="E81" i="29"/>
  <c r="D81" i="29"/>
  <c r="L80" i="29"/>
  <c r="K80" i="29"/>
  <c r="J80" i="29"/>
  <c r="I80" i="29"/>
  <c r="H80" i="29"/>
  <c r="G80" i="29"/>
  <c r="F80" i="29"/>
  <c r="E80" i="29"/>
  <c r="D80" i="29"/>
  <c r="L79" i="29"/>
  <c r="K79" i="29"/>
  <c r="J79" i="29"/>
  <c r="I79" i="29"/>
  <c r="H79" i="29"/>
  <c r="G79" i="29"/>
  <c r="F79" i="29"/>
  <c r="E79" i="29"/>
  <c r="D79" i="29"/>
  <c r="L78" i="29"/>
  <c r="K78" i="29"/>
  <c r="J78" i="29"/>
  <c r="I78" i="29"/>
  <c r="H78" i="29"/>
  <c r="G78" i="29"/>
  <c r="F78" i="29"/>
  <c r="E78" i="29"/>
  <c r="D78" i="29"/>
  <c r="L77" i="29"/>
  <c r="K77" i="29"/>
  <c r="J77" i="29"/>
  <c r="I77" i="29"/>
  <c r="H77" i="29"/>
  <c r="G77" i="29"/>
  <c r="F77" i="29"/>
  <c r="E77" i="29"/>
  <c r="D77" i="29"/>
  <c r="L76" i="29"/>
  <c r="K76" i="29"/>
  <c r="J76" i="29"/>
  <c r="I76" i="29"/>
  <c r="H76" i="29"/>
  <c r="G76" i="29"/>
  <c r="F76" i="29"/>
  <c r="E76" i="29"/>
  <c r="D76" i="29"/>
  <c r="L75" i="29"/>
  <c r="K75" i="29"/>
  <c r="J75" i="29"/>
  <c r="I75" i="29"/>
  <c r="H75" i="29"/>
  <c r="G75" i="29"/>
  <c r="F75" i="29"/>
  <c r="E75" i="29"/>
  <c r="D75" i="29"/>
  <c r="L70" i="29"/>
  <c r="K70" i="29"/>
  <c r="J70" i="29"/>
  <c r="I70" i="29"/>
  <c r="H70" i="29"/>
  <c r="G70" i="29"/>
  <c r="F70" i="29"/>
  <c r="E70" i="29"/>
  <c r="D70" i="29"/>
  <c r="L69" i="29"/>
  <c r="K69" i="29"/>
  <c r="J69" i="29"/>
  <c r="I69" i="29"/>
  <c r="H69" i="29"/>
  <c r="G69" i="29"/>
  <c r="F69" i="29"/>
  <c r="E69" i="29"/>
  <c r="D69" i="29"/>
  <c r="L68" i="29"/>
  <c r="K68" i="29"/>
  <c r="J68" i="29"/>
  <c r="I68" i="29"/>
  <c r="H68" i="29"/>
  <c r="G68" i="29"/>
  <c r="F68" i="29"/>
  <c r="E68" i="29"/>
  <c r="D68" i="29"/>
  <c r="L67" i="29"/>
  <c r="K67" i="29"/>
  <c r="J67" i="29"/>
  <c r="I67" i="29"/>
  <c r="H67" i="29"/>
  <c r="G67" i="29"/>
  <c r="F67" i="29"/>
  <c r="E67" i="29"/>
  <c r="D67" i="29"/>
  <c r="L66" i="29"/>
  <c r="K66" i="29"/>
  <c r="J66" i="29"/>
  <c r="I66" i="29"/>
  <c r="H66" i="29"/>
  <c r="G66" i="29"/>
  <c r="F66" i="29"/>
  <c r="E66" i="29"/>
  <c r="D66" i="29"/>
  <c r="L65" i="29"/>
  <c r="K65" i="29"/>
  <c r="J65" i="29"/>
  <c r="I65" i="29"/>
  <c r="H65" i="29"/>
  <c r="G65" i="29"/>
  <c r="F65" i="29"/>
  <c r="E65" i="29"/>
  <c r="D65" i="29"/>
  <c r="L64" i="29"/>
  <c r="K64" i="29"/>
  <c r="J64" i="29"/>
  <c r="I64" i="29"/>
  <c r="H64" i="29"/>
  <c r="G64" i="29"/>
  <c r="F64" i="29"/>
  <c r="E64" i="29"/>
  <c r="D64" i="29"/>
  <c r="L63" i="29"/>
  <c r="K63" i="29"/>
  <c r="J63" i="29"/>
  <c r="I63" i="29"/>
  <c r="H63" i="29"/>
  <c r="G63" i="29"/>
  <c r="F63" i="29"/>
  <c r="E63" i="29"/>
  <c r="D63" i="29"/>
  <c r="L62" i="29"/>
  <c r="K62" i="29"/>
  <c r="J62" i="29"/>
  <c r="I62" i="29"/>
  <c r="H62" i="29"/>
  <c r="G62" i="29"/>
  <c r="F62" i="29"/>
  <c r="E62" i="29"/>
  <c r="D62" i="29"/>
  <c r="L61" i="29"/>
  <c r="K61" i="29"/>
  <c r="J61" i="29"/>
  <c r="I61" i="29"/>
  <c r="H61" i="29"/>
  <c r="G61" i="29"/>
  <c r="F61" i="29"/>
  <c r="E61" i="29"/>
  <c r="D61" i="29"/>
  <c r="L60" i="29"/>
  <c r="K60" i="29"/>
  <c r="J60" i="29"/>
  <c r="I60" i="29"/>
  <c r="H60" i="29"/>
  <c r="G60" i="29"/>
  <c r="F60" i="29"/>
  <c r="E60" i="29"/>
  <c r="D60" i="29"/>
  <c r="L59" i="29"/>
  <c r="K59" i="29"/>
  <c r="J59" i="29"/>
  <c r="I59" i="29"/>
  <c r="H59" i="29"/>
  <c r="G59" i="29"/>
  <c r="F59" i="29"/>
  <c r="E59" i="29"/>
  <c r="D59" i="29"/>
  <c r="L58" i="29"/>
  <c r="K58" i="29"/>
  <c r="J58" i="29"/>
  <c r="I58" i="29"/>
  <c r="H58" i="29"/>
  <c r="G58" i="29"/>
  <c r="F58" i="29"/>
  <c r="E58" i="29"/>
  <c r="D58" i="29"/>
  <c r="L57" i="29"/>
  <c r="K57" i="29"/>
  <c r="J57" i="29"/>
  <c r="I57" i="29"/>
  <c r="H57" i="29"/>
  <c r="G57" i="29"/>
  <c r="F57" i="29"/>
  <c r="E57" i="29"/>
  <c r="D57" i="29"/>
  <c r="L56" i="29"/>
  <c r="K56" i="29"/>
  <c r="J56" i="29"/>
  <c r="I56" i="29"/>
  <c r="H56" i="29"/>
  <c r="G56" i="29"/>
  <c r="F56" i="29"/>
  <c r="E56" i="29"/>
  <c r="D56" i="29"/>
  <c r="L55" i="29"/>
  <c r="K55" i="29"/>
  <c r="J55" i="29"/>
  <c r="I55" i="29"/>
  <c r="H55" i="29"/>
  <c r="G55" i="29"/>
  <c r="F55" i="29"/>
  <c r="E55" i="29"/>
  <c r="D55" i="29"/>
  <c r="L54" i="29"/>
  <c r="K54" i="29"/>
  <c r="J54" i="29"/>
  <c r="I54" i="29"/>
  <c r="H54" i="29"/>
  <c r="G54" i="29"/>
  <c r="F54" i="29"/>
  <c r="E54" i="29"/>
  <c r="D54" i="29"/>
  <c r="L53" i="29"/>
  <c r="K53" i="29"/>
  <c r="J53" i="29"/>
  <c r="I53" i="29"/>
  <c r="H53" i="29"/>
  <c r="G53" i="29"/>
  <c r="F53" i="29"/>
  <c r="E53" i="29"/>
  <c r="D53" i="29"/>
  <c r="L52" i="29"/>
  <c r="K52" i="29"/>
  <c r="J52" i="29"/>
  <c r="I52" i="29"/>
  <c r="H52" i="29"/>
  <c r="G52" i="29"/>
  <c r="F52" i="29"/>
  <c r="E52" i="29"/>
  <c r="D52" i="29"/>
  <c r="L51" i="29"/>
  <c r="K51" i="29"/>
  <c r="J51" i="29"/>
  <c r="I51" i="29"/>
  <c r="H51" i="29"/>
  <c r="G51" i="29"/>
  <c r="F51" i="29"/>
  <c r="E51" i="29"/>
  <c r="D51" i="29"/>
  <c r="L50" i="29"/>
  <c r="K50" i="29"/>
  <c r="J50" i="29"/>
  <c r="I50" i="29"/>
  <c r="H50" i="29"/>
  <c r="G50" i="29"/>
  <c r="F50" i="29"/>
  <c r="E50" i="29"/>
  <c r="D50" i="29"/>
  <c r="L49" i="29"/>
  <c r="K49" i="29"/>
  <c r="J49" i="29"/>
  <c r="I49" i="29"/>
  <c r="H49" i="29"/>
  <c r="G49" i="29"/>
  <c r="F49" i="29"/>
  <c r="E49" i="29"/>
  <c r="D49" i="29"/>
  <c r="L48" i="29"/>
  <c r="K48" i="29"/>
  <c r="J48" i="29"/>
  <c r="I48" i="29"/>
  <c r="H48" i="29"/>
  <c r="G48" i="29"/>
  <c r="F48" i="29"/>
  <c r="E48" i="29"/>
  <c r="D48" i="29"/>
  <c r="L47" i="29"/>
  <c r="K47" i="29"/>
  <c r="J47" i="29"/>
  <c r="I47" i="29"/>
  <c r="H47" i="29"/>
  <c r="G47" i="29"/>
  <c r="F47" i="29"/>
  <c r="E47" i="29"/>
  <c r="D47" i="29"/>
  <c r="L46" i="29"/>
  <c r="K46" i="29"/>
  <c r="J46" i="29"/>
  <c r="I46" i="29"/>
  <c r="H46" i="29"/>
  <c r="G46" i="29"/>
  <c r="F46" i="29"/>
  <c r="E46" i="29"/>
  <c r="D46" i="29"/>
  <c r="L45" i="29"/>
  <c r="K45" i="29"/>
  <c r="J45" i="29"/>
  <c r="I45" i="29"/>
  <c r="H45" i="29"/>
  <c r="G45" i="29"/>
  <c r="F45" i="29"/>
  <c r="E45" i="29"/>
  <c r="D45" i="29"/>
  <c r="L44" i="29"/>
  <c r="K44" i="29"/>
  <c r="J44" i="29"/>
  <c r="I44" i="29"/>
  <c r="H44" i="29"/>
  <c r="G44" i="29"/>
  <c r="F44" i="29"/>
  <c r="E44" i="29"/>
  <c r="D44" i="29"/>
  <c r="L43" i="29"/>
  <c r="K43" i="29"/>
  <c r="J43" i="29"/>
  <c r="I43" i="29"/>
  <c r="H43" i="29"/>
  <c r="G43" i="29"/>
  <c r="F43" i="29"/>
  <c r="E43" i="29"/>
  <c r="D43" i="29"/>
  <c r="L42" i="29"/>
  <c r="K42" i="29"/>
  <c r="J42" i="29"/>
  <c r="I42" i="29"/>
  <c r="H42" i="29"/>
  <c r="G42" i="29"/>
  <c r="F42" i="29"/>
  <c r="E42" i="29"/>
  <c r="D42" i="29"/>
  <c r="L41" i="29"/>
  <c r="K41" i="29"/>
  <c r="J41" i="29"/>
  <c r="I41" i="29"/>
  <c r="H41" i="29"/>
  <c r="G41" i="29"/>
  <c r="F41" i="29"/>
  <c r="E41" i="29"/>
  <c r="D41" i="29"/>
  <c r="L40" i="29"/>
  <c r="K40" i="29"/>
  <c r="J40" i="29"/>
  <c r="I40" i="29"/>
  <c r="H40" i="29"/>
  <c r="G40" i="29"/>
  <c r="F40" i="29"/>
  <c r="E40" i="29"/>
  <c r="L39" i="29"/>
  <c r="K39" i="29"/>
  <c r="J39" i="29"/>
  <c r="I39" i="29"/>
  <c r="H39" i="29"/>
  <c r="G39" i="29"/>
  <c r="F39" i="29"/>
  <c r="E39" i="29"/>
  <c r="D39" i="29"/>
  <c r="M23" i="30" l="1"/>
  <c r="A52" i="30"/>
  <c r="B53" i="30"/>
  <c r="J53" i="30"/>
  <c r="E53" i="30"/>
  <c r="R53" i="30"/>
  <c r="H53" i="30"/>
  <c r="G53" i="30"/>
  <c r="T53" i="30"/>
  <c r="F53" i="30"/>
  <c r="S53" i="30"/>
  <c r="D53" i="30"/>
  <c r="A45" i="30"/>
  <c r="L53" i="30"/>
  <c r="Q53" i="30"/>
  <c r="P53" i="30"/>
  <c r="B46" i="30"/>
  <c r="N53" i="30"/>
  <c r="M53" i="30"/>
  <c r="K53" i="30"/>
  <c r="M24" i="30"/>
  <c r="N24" i="30"/>
  <c r="P24" i="30"/>
  <c r="B8" i="30"/>
  <c r="Q24" i="30"/>
  <c r="D24" i="30"/>
  <c r="R24" i="30"/>
  <c r="J24" i="30"/>
  <c r="K24" i="30"/>
  <c r="L24" i="30"/>
  <c r="S24" i="30"/>
  <c r="A7" i="30"/>
  <c r="T24" i="30"/>
  <c r="E24" i="30"/>
  <c r="F24" i="30"/>
  <c r="G24" i="30"/>
  <c r="H24" i="30"/>
  <c r="B25" i="30"/>
  <c r="A24" i="30"/>
  <c r="D100" i="27"/>
  <c r="E100" i="27"/>
  <c r="F100" i="27"/>
  <c r="G100" i="27"/>
  <c r="H100" i="27"/>
  <c r="I100" i="27"/>
  <c r="J100" i="27"/>
  <c r="K100" i="27"/>
  <c r="L100" i="27"/>
  <c r="D101" i="27"/>
  <c r="E101" i="27"/>
  <c r="F101" i="27"/>
  <c r="G101" i="27"/>
  <c r="H101" i="27"/>
  <c r="I101" i="27"/>
  <c r="J101" i="27"/>
  <c r="K101" i="27"/>
  <c r="L101" i="27"/>
  <c r="D102" i="27"/>
  <c r="E102" i="27"/>
  <c r="F102" i="27"/>
  <c r="G102" i="27"/>
  <c r="H102" i="27"/>
  <c r="I102" i="27"/>
  <c r="J102" i="27"/>
  <c r="K102" i="27"/>
  <c r="L102" i="27"/>
  <c r="D103" i="27"/>
  <c r="E103" i="27"/>
  <c r="F103" i="27"/>
  <c r="G103" i="27"/>
  <c r="H103" i="27"/>
  <c r="I103" i="27"/>
  <c r="J103" i="27"/>
  <c r="K103" i="27"/>
  <c r="L103" i="27"/>
  <c r="D104" i="27"/>
  <c r="E104" i="27"/>
  <c r="F104" i="27"/>
  <c r="G104" i="27"/>
  <c r="H104" i="27"/>
  <c r="I104" i="27"/>
  <c r="J104" i="27"/>
  <c r="K104" i="27"/>
  <c r="L104" i="27"/>
  <c r="D105" i="27"/>
  <c r="E105" i="27"/>
  <c r="F105" i="27"/>
  <c r="G105" i="27"/>
  <c r="H105" i="27"/>
  <c r="I105" i="27"/>
  <c r="J105" i="27"/>
  <c r="K105" i="27"/>
  <c r="L105" i="27"/>
  <c r="D106" i="27"/>
  <c r="E106" i="27"/>
  <c r="F106" i="27"/>
  <c r="G106" i="27"/>
  <c r="H106" i="27"/>
  <c r="I106" i="27"/>
  <c r="J106" i="27"/>
  <c r="K106" i="27"/>
  <c r="L106" i="27"/>
  <c r="D64" i="27"/>
  <c r="E64" i="27"/>
  <c r="F64" i="27"/>
  <c r="G64" i="27"/>
  <c r="H64" i="27"/>
  <c r="I64" i="27"/>
  <c r="J64" i="27"/>
  <c r="K64" i="27"/>
  <c r="L64" i="27"/>
  <c r="D65" i="27"/>
  <c r="E65" i="27"/>
  <c r="F65" i="27"/>
  <c r="G65" i="27"/>
  <c r="H65" i="27"/>
  <c r="I65" i="27"/>
  <c r="J65" i="27"/>
  <c r="K65" i="27"/>
  <c r="L65" i="27"/>
  <c r="D66" i="27"/>
  <c r="E66" i="27"/>
  <c r="F66" i="27"/>
  <c r="G66" i="27"/>
  <c r="H66" i="27"/>
  <c r="I66" i="27"/>
  <c r="J66" i="27"/>
  <c r="K66" i="27"/>
  <c r="L66" i="27"/>
  <c r="D67" i="27"/>
  <c r="E67" i="27"/>
  <c r="F67" i="27"/>
  <c r="G67" i="27"/>
  <c r="H67" i="27"/>
  <c r="I67" i="27"/>
  <c r="J67" i="27"/>
  <c r="K67" i="27"/>
  <c r="L67" i="27"/>
  <c r="D68" i="27"/>
  <c r="E68" i="27"/>
  <c r="F68" i="27"/>
  <c r="G68" i="27"/>
  <c r="H68" i="27"/>
  <c r="I68" i="27"/>
  <c r="J68" i="27"/>
  <c r="K68" i="27"/>
  <c r="L68" i="27"/>
  <c r="D69" i="27"/>
  <c r="E69" i="27"/>
  <c r="F69" i="27"/>
  <c r="G69" i="27"/>
  <c r="H69" i="27"/>
  <c r="I69" i="27"/>
  <c r="J69" i="27"/>
  <c r="K69" i="27"/>
  <c r="L69" i="27"/>
  <c r="D70" i="27"/>
  <c r="E70" i="27"/>
  <c r="F70" i="27"/>
  <c r="G70" i="27"/>
  <c r="H70" i="27"/>
  <c r="I70" i="27"/>
  <c r="J70" i="27"/>
  <c r="K70" i="27"/>
  <c r="L70" i="27"/>
  <c r="L99" i="27"/>
  <c r="K99" i="27"/>
  <c r="J99" i="27"/>
  <c r="I99" i="27"/>
  <c r="H99" i="27"/>
  <c r="G99" i="27"/>
  <c r="F99" i="27"/>
  <c r="E99" i="27"/>
  <c r="D99" i="27"/>
  <c r="L98" i="27"/>
  <c r="K98" i="27"/>
  <c r="J98" i="27"/>
  <c r="I98" i="27"/>
  <c r="H98" i="27"/>
  <c r="G98" i="27"/>
  <c r="F98" i="27"/>
  <c r="E98" i="27"/>
  <c r="D98" i="27"/>
  <c r="L97" i="27"/>
  <c r="K97" i="27"/>
  <c r="J97" i="27"/>
  <c r="I97" i="27"/>
  <c r="H97" i="27"/>
  <c r="G97" i="27"/>
  <c r="F97" i="27"/>
  <c r="E97" i="27"/>
  <c r="D97" i="27"/>
  <c r="L96" i="27"/>
  <c r="K96" i="27"/>
  <c r="J96" i="27"/>
  <c r="I96" i="27"/>
  <c r="H96" i="27"/>
  <c r="G96" i="27"/>
  <c r="F96" i="27"/>
  <c r="E96" i="27"/>
  <c r="D96" i="27"/>
  <c r="L95" i="27"/>
  <c r="K95" i="27"/>
  <c r="J95" i="27"/>
  <c r="I95" i="27"/>
  <c r="H95" i="27"/>
  <c r="G95" i="27"/>
  <c r="F95" i="27"/>
  <c r="E95" i="27"/>
  <c r="D95" i="27"/>
  <c r="L94" i="27"/>
  <c r="K94" i="27"/>
  <c r="J94" i="27"/>
  <c r="I94" i="27"/>
  <c r="H94" i="27"/>
  <c r="G94" i="27"/>
  <c r="F94" i="27"/>
  <c r="E94" i="27"/>
  <c r="D94" i="27"/>
  <c r="L93" i="27"/>
  <c r="K93" i="27"/>
  <c r="J93" i="27"/>
  <c r="I93" i="27"/>
  <c r="H93" i="27"/>
  <c r="G93" i="27"/>
  <c r="F93" i="27"/>
  <c r="E93" i="27"/>
  <c r="D93" i="27"/>
  <c r="L92" i="27"/>
  <c r="K92" i="27"/>
  <c r="J92" i="27"/>
  <c r="I92" i="27"/>
  <c r="H92" i="27"/>
  <c r="G92" i="27"/>
  <c r="F92" i="27"/>
  <c r="E92" i="27"/>
  <c r="D92" i="27"/>
  <c r="L91" i="27"/>
  <c r="K91" i="27"/>
  <c r="J91" i="27"/>
  <c r="I91" i="27"/>
  <c r="H91" i="27"/>
  <c r="G91" i="27"/>
  <c r="F91" i="27"/>
  <c r="E91" i="27"/>
  <c r="D91" i="27"/>
  <c r="L90" i="27"/>
  <c r="K90" i="27"/>
  <c r="J90" i="27"/>
  <c r="I90" i="27"/>
  <c r="H90" i="27"/>
  <c r="G90" i="27"/>
  <c r="F90" i="27"/>
  <c r="E90" i="27"/>
  <c r="D90" i="27"/>
  <c r="L89" i="27"/>
  <c r="K89" i="27"/>
  <c r="J89" i="27"/>
  <c r="I89" i="27"/>
  <c r="H89" i="27"/>
  <c r="G89" i="27"/>
  <c r="F89" i="27"/>
  <c r="E89" i="27"/>
  <c r="D89" i="27"/>
  <c r="L88" i="27"/>
  <c r="K88" i="27"/>
  <c r="J88" i="27"/>
  <c r="I88" i="27"/>
  <c r="H88" i="27"/>
  <c r="G88" i="27"/>
  <c r="F88" i="27"/>
  <c r="E88" i="27"/>
  <c r="D88" i="27"/>
  <c r="L87" i="27"/>
  <c r="K87" i="27"/>
  <c r="J87" i="27"/>
  <c r="I87" i="27"/>
  <c r="H87" i="27"/>
  <c r="G87" i="27"/>
  <c r="F87" i="27"/>
  <c r="E87" i="27"/>
  <c r="D87" i="27"/>
  <c r="L86" i="27"/>
  <c r="K86" i="27"/>
  <c r="J86" i="27"/>
  <c r="I86" i="27"/>
  <c r="H86" i="27"/>
  <c r="G86" i="27"/>
  <c r="F86" i="27"/>
  <c r="E86" i="27"/>
  <c r="D86" i="27"/>
  <c r="L85" i="27"/>
  <c r="K85" i="27"/>
  <c r="J85" i="27"/>
  <c r="I85" i="27"/>
  <c r="H85" i="27"/>
  <c r="G85" i="27"/>
  <c r="F85" i="27"/>
  <c r="E85" i="27"/>
  <c r="D85" i="27"/>
  <c r="L84" i="27"/>
  <c r="K84" i="27"/>
  <c r="J84" i="27"/>
  <c r="I84" i="27"/>
  <c r="H84" i="27"/>
  <c r="G84" i="27"/>
  <c r="F84" i="27"/>
  <c r="E84" i="27"/>
  <c r="D84" i="27"/>
  <c r="L83" i="27"/>
  <c r="K83" i="27"/>
  <c r="J83" i="27"/>
  <c r="I83" i="27"/>
  <c r="H83" i="27"/>
  <c r="G83" i="27"/>
  <c r="F83" i="27"/>
  <c r="E83" i="27"/>
  <c r="D83" i="27"/>
  <c r="L82" i="27"/>
  <c r="K82" i="27"/>
  <c r="J82" i="27"/>
  <c r="I82" i="27"/>
  <c r="H82" i="27"/>
  <c r="G82" i="27"/>
  <c r="F82" i="27"/>
  <c r="E82" i="27"/>
  <c r="D82" i="27"/>
  <c r="L81" i="27"/>
  <c r="K81" i="27"/>
  <c r="J81" i="27"/>
  <c r="I81" i="27"/>
  <c r="H81" i="27"/>
  <c r="G81" i="27"/>
  <c r="F81" i="27"/>
  <c r="E81" i="27"/>
  <c r="D81" i="27"/>
  <c r="L80" i="27"/>
  <c r="K80" i="27"/>
  <c r="J80" i="27"/>
  <c r="I80" i="27"/>
  <c r="H80" i="27"/>
  <c r="G80" i="27"/>
  <c r="F80" i="27"/>
  <c r="E80" i="27"/>
  <c r="D80" i="27"/>
  <c r="L79" i="27"/>
  <c r="K79" i="27"/>
  <c r="J79" i="27"/>
  <c r="I79" i="27"/>
  <c r="H79" i="27"/>
  <c r="G79" i="27"/>
  <c r="F79" i="27"/>
  <c r="E79" i="27"/>
  <c r="D79" i="27"/>
  <c r="L78" i="27"/>
  <c r="K78" i="27"/>
  <c r="J78" i="27"/>
  <c r="I78" i="27"/>
  <c r="H78" i="27"/>
  <c r="G78" i="27"/>
  <c r="F78" i="27"/>
  <c r="E78" i="27"/>
  <c r="D78" i="27"/>
  <c r="L77" i="27"/>
  <c r="K77" i="27"/>
  <c r="J77" i="27"/>
  <c r="I77" i="27"/>
  <c r="H77" i="27"/>
  <c r="G77" i="27"/>
  <c r="F77" i="27"/>
  <c r="E77" i="27"/>
  <c r="D77" i="27"/>
  <c r="L76" i="27"/>
  <c r="K76" i="27"/>
  <c r="J76" i="27"/>
  <c r="I76" i="27"/>
  <c r="H76" i="27"/>
  <c r="G76" i="27"/>
  <c r="F76" i="27"/>
  <c r="E76" i="27"/>
  <c r="D76" i="27"/>
  <c r="L75" i="27"/>
  <c r="K75" i="27"/>
  <c r="J75" i="27"/>
  <c r="I75" i="27"/>
  <c r="H75" i="27"/>
  <c r="G75" i="27"/>
  <c r="F75" i="27"/>
  <c r="E75" i="27"/>
  <c r="D75" i="27"/>
  <c r="L63" i="27"/>
  <c r="K63" i="27"/>
  <c r="J63" i="27"/>
  <c r="I63" i="27"/>
  <c r="H63" i="27"/>
  <c r="G63" i="27"/>
  <c r="F63" i="27"/>
  <c r="E63" i="27"/>
  <c r="D63" i="27"/>
  <c r="L62" i="27"/>
  <c r="K62" i="27"/>
  <c r="J62" i="27"/>
  <c r="I62" i="27"/>
  <c r="H62" i="27"/>
  <c r="G62" i="27"/>
  <c r="F62" i="27"/>
  <c r="E62" i="27"/>
  <c r="D62" i="27"/>
  <c r="L61" i="27"/>
  <c r="K61" i="27"/>
  <c r="J61" i="27"/>
  <c r="I61" i="27"/>
  <c r="H61" i="27"/>
  <c r="G61" i="27"/>
  <c r="F61" i="27"/>
  <c r="E61" i="27"/>
  <c r="D61" i="27"/>
  <c r="L60" i="27"/>
  <c r="K60" i="27"/>
  <c r="J60" i="27"/>
  <c r="I60" i="27"/>
  <c r="H60" i="27"/>
  <c r="G60" i="27"/>
  <c r="F60" i="27"/>
  <c r="E60" i="27"/>
  <c r="D60" i="27"/>
  <c r="L59" i="27"/>
  <c r="K59" i="27"/>
  <c r="J59" i="27"/>
  <c r="I59" i="27"/>
  <c r="H59" i="27"/>
  <c r="G59" i="27"/>
  <c r="F59" i="27"/>
  <c r="E59" i="27"/>
  <c r="D59" i="27"/>
  <c r="L58" i="27"/>
  <c r="K58" i="27"/>
  <c r="J58" i="27"/>
  <c r="I58" i="27"/>
  <c r="H58" i="27"/>
  <c r="G58" i="27"/>
  <c r="F58" i="27"/>
  <c r="E58" i="27"/>
  <c r="D58" i="27"/>
  <c r="L57" i="27"/>
  <c r="K57" i="27"/>
  <c r="J57" i="27"/>
  <c r="I57" i="27"/>
  <c r="H57" i="27"/>
  <c r="G57" i="27"/>
  <c r="F57" i="27"/>
  <c r="E57" i="27"/>
  <c r="D57" i="27"/>
  <c r="L56" i="27"/>
  <c r="K56" i="27"/>
  <c r="J56" i="27"/>
  <c r="I56" i="27"/>
  <c r="H56" i="27"/>
  <c r="G56" i="27"/>
  <c r="F56" i="27"/>
  <c r="E56" i="27"/>
  <c r="D56" i="27"/>
  <c r="L55" i="27"/>
  <c r="K55" i="27"/>
  <c r="J55" i="27"/>
  <c r="I55" i="27"/>
  <c r="H55" i="27"/>
  <c r="G55" i="27"/>
  <c r="F55" i="27"/>
  <c r="E55" i="27"/>
  <c r="D55" i="27"/>
  <c r="L54" i="27"/>
  <c r="K54" i="27"/>
  <c r="J54" i="27"/>
  <c r="I54" i="27"/>
  <c r="H54" i="27"/>
  <c r="G54" i="27"/>
  <c r="F54" i="27"/>
  <c r="E54" i="27"/>
  <c r="D54" i="27"/>
  <c r="L53" i="27"/>
  <c r="K53" i="27"/>
  <c r="J53" i="27"/>
  <c r="I53" i="27"/>
  <c r="H53" i="27"/>
  <c r="G53" i="27"/>
  <c r="F53" i="27"/>
  <c r="E53" i="27"/>
  <c r="D53" i="27"/>
  <c r="L52" i="27"/>
  <c r="K52" i="27"/>
  <c r="J52" i="27"/>
  <c r="I52" i="27"/>
  <c r="H52" i="27"/>
  <c r="G52" i="27"/>
  <c r="F52" i="27"/>
  <c r="E52" i="27"/>
  <c r="D52" i="27"/>
  <c r="L51" i="27"/>
  <c r="K51" i="27"/>
  <c r="J51" i="27"/>
  <c r="I51" i="27"/>
  <c r="H51" i="27"/>
  <c r="G51" i="27"/>
  <c r="F51" i="27"/>
  <c r="E51" i="27"/>
  <c r="D51" i="27"/>
  <c r="L50" i="27"/>
  <c r="K50" i="27"/>
  <c r="J50" i="27"/>
  <c r="I50" i="27"/>
  <c r="H50" i="27"/>
  <c r="G50" i="27"/>
  <c r="F50" i="27"/>
  <c r="E50" i="27"/>
  <c r="D50" i="27"/>
  <c r="L49" i="27"/>
  <c r="K49" i="27"/>
  <c r="J49" i="27"/>
  <c r="I49" i="27"/>
  <c r="H49" i="27"/>
  <c r="G49" i="27"/>
  <c r="F49" i="27"/>
  <c r="E49" i="27"/>
  <c r="D49" i="27"/>
  <c r="L48" i="27"/>
  <c r="K48" i="27"/>
  <c r="J48" i="27"/>
  <c r="I48" i="27"/>
  <c r="H48" i="27"/>
  <c r="G48" i="27"/>
  <c r="F48" i="27"/>
  <c r="E48" i="27"/>
  <c r="D48" i="27"/>
  <c r="L47" i="27"/>
  <c r="K47" i="27"/>
  <c r="J47" i="27"/>
  <c r="I47" i="27"/>
  <c r="H47" i="27"/>
  <c r="G47" i="27"/>
  <c r="F47" i="27"/>
  <c r="E47" i="27"/>
  <c r="D47" i="27"/>
  <c r="L46" i="27"/>
  <c r="K46" i="27"/>
  <c r="J46" i="27"/>
  <c r="I46" i="27"/>
  <c r="H46" i="27"/>
  <c r="G46" i="27"/>
  <c r="F46" i="27"/>
  <c r="E46" i="27"/>
  <c r="D46" i="27"/>
  <c r="L45" i="27"/>
  <c r="K45" i="27"/>
  <c r="J45" i="27"/>
  <c r="I45" i="27"/>
  <c r="H45" i="27"/>
  <c r="G45" i="27"/>
  <c r="F45" i="27"/>
  <c r="E45" i="27"/>
  <c r="D45" i="27"/>
  <c r="L44" i="27"/>
  <c r="K44" i="27"/>
  <c r="J44" i="27"/>
  <c r="I44" i="27"/>
  <c r="H44" i="27"/>
  <c r="G44" i="27"/>
  <c r="F44" i="27"/>
  <c r="E44" i="27"/>
  <c r="D44" i="27"/>
  <c r="L43" i="27"/>
  <c r="K43" i="27"/>
  <c r="J43" i="27"/>
  <c r="I43" i="27"/>
  <c r="H43" i="27"/>
  <c r="G43" i="27"/>
  <c r="F43" i="27"/>
  <c r="E43" i="27"/>
  <c r="D43" i="27"/>
  <c r="L42" i="27"/>
  <c r="K42" i="27"/>
  <c r="J42" i="27"/>
  <c r="I42" i="27"/>
  <c r="H42" i="27"/>
  <c r="G42" i="27"/>
  <c r="F42" i="27"/>
  <c r="E42" i="27"/>
  <c r="D42" i="27"/>
  <c r="L41" i="27"/>
  <c r="K41" i="27"/>
  <c r="J41" i="27"/>
  <c r="I41" i="27"/>
  <c r="H41" i="27"/>
  <c r="G41" i="27"/>
  <c r="F41" i="27"/>
  <c r="E41" i="27"/>
  <c r="D41" i="27"/>
  <c r="L40" i="27"/>
  <c r="K40" i="27"/>
  <c r="J40" i="27"/>
  <c r="I40" i="27"/>
  <c r="H40" i="27"/>
  <c r="G40" i="27"/>
  <c r="F40" i="27"/>
  <c r="E40" i="27"/>
  <c r="D40" i="27"/>
  <c r="L39" i="27"/>
  <c r="K39" i="27"/>
  <c r="J39" i="27"/>
  <c r="I39" i="27"/>
  <c r="H39" i="27"/>
  <c r="G39" i="27"/>
  <c r="F39" i="27"/>
  <c r="E39" i="27"/>
  <c r="D39" i="27"/>
  <c r="A53" i="30" l="1"/>
  <c r="B54" i="30"/>
  <c r="R54" i="30"/>
  <c r="D54" i="30"/>
  <c r="M54" i="30"/>
  <c r="Q54" i="30"/>
  <c r="P54" i="30"/>
  <c r="N54" i="30"/>
  <c r="L54" i="30"/>
  <c r="K54" i="30"/>
  <c r="J54" i="30"/>
  <c r="H54" i="30"/>
  <c r="G54" i="30"/>
  <c r="F54" i="30"/>
  <c r="T54" i="30"/>
  <c r="S54" i="30"/>
  <c r="E54" i="30"/>
  <c r="A46" i="30"/>
  <c r="J25" i="30"/>
  <c r="K25" i="30"/>
  <c r="L25" i="30"/>
  <c r="M25" i="30"/>
  <c r="B9" i="30"/>
  <c r="N25" i="30"/>
  <c r="R25" i="30"/>
  <c r="S25" i="30"/>
  <c r="T25" i="30"/>
  <c r="A8" i="30"/>
  <c r="D25" i="30"/>
  <c r="E25" i="30"/>
  <c r="F25" i="30"/>
  <c r="G25" i="30"/>
  <c r="H25" i="30"/>
  <c r="P25" i="30"/>
  <c r="Q25" i="30"/>
  <c r="B26" i="30"/>
  <c r="A25" i="30"/>
  <c r="D20" i="23"/>
  <c r="E20" i="23"/>
  <c r="F20" i="23"/>
  <c r="G20" i="23"/>
  <c r="D21" i="23"/>
  <c r="E21" i="23"/>
  <c r="F21" i="23"/>
  <c r="G21" i="23"/>
  <c r="C21" i="23"/>
  <c r="C20" i="23"/>
  <c r="H20" i="23" s="1"/>
  <c r="A54" i="30" l="1"/>
  <c r="F26" i="30"/>
  <c r="T26" i="30"/>
  <c r="A9" i="30"/>
  <c r="G26" i="30"/>
  <c r="H26" i="30"/>
  <c r="J26" i="30"/>
  <c r="K26" i="30"/>
  <c r="B10" i="30"/>
  <c r="D26" i="30"/>
  <c r="E26" i="30"/>
  <c r="L26" i="30"/>
  <c r="M26" i="30"/>
  <c r="N26" i="30"/>
  <c r="P26" i="30"/>
  <c r="Q26" i="30"/>
  <c r="R26" i="30"/>
  <c r="S26" i="30"/>
  <c r="B27" i="30"/>
  <c r="A26" i="30"/>
  <c r="H21" i="23"/>
  <c r="I21" i="23" s="1"/>
  <c r="I20" i="23"/>
  <c r="D86" i="10"/>
  <c r="D85" i="10"/>
  <c r="E85" i="10"/>
  <c r="F85" i="10"/>
  <c r="G85" i="10"/>
  <c r="H85" i="10"/>
  <c r="I85" i="10"/>
  <c r="J85" i="10"/>
  <c r="K85" i="10"/>
  <c r="L85" i="10"/>
  <c r="E86" i="10"/>
  <c r="F86" i="10"/>
  <c r="G86" i="10"/>
  <c r="H86" i="10"/>
  <c r="I86" i="10"/>
  <c r="J86" i="10"/>
  <c r="K86" i="10"/>
  <c r="L86" i="10"/>
  <c r="D55" i="10"/>
  <c r="E55" i="10"/>
  <c r="F55" i="10"/>
  <c r="G55" i="10"/>
  <c r="H55" i="10"/>
  <c r="I55" i="10"/>
  <c r="J55" i="10"/>
  <c r="K55" i="10"/>
  <c r="L55" i="10"/>
  <c r="D56" i="10"/>
  <c r="E56" i="10"/>
  <c r="F56" i="10"/>
  <c r="G56" i="10"/>
  <c r="H56" i="10"/>
  <c r="I56" i="10"/>
  <c r="J56" i="10"/>
  <c r="K56" i="10"/>
  <c r="L56" i="10"/>
  <c r="D85" i="1"/>
  <c r="E85" i="1"/>
  <c r="F85" i="1"/>
  <c r="G85" i="1"/>
  <c r="H85" i="1"/>
  <c r="I85" i="1"/>
  <c r="J85" i="1"/>
  <c r="K85" i="1"/>
  <c r="L85" i="1"/>
  <c r="D86" i="1"/>
  <c r="E86" i="1"/>
  <c r="F86" i="1"/>
  <c r="G86" i="1"/>
  <c r="H86" i="1"/>
  <c r="I86" i="1"/>
  <c r="J86" i="1"/>
  <c r="K86" i="1"/>
  <c r="L86" i="1"/>
  <c r="D55" i="1"/>
  <c r="E55" i="1"/>
  <c r="F55" i="1"/>
  <c r="G55" i="1"/>
  <c r="H55" i="1"/>
  <c r="I55" i="1"/>
  <c r="J55" i="1"/>
  <c r="K55" i="1"/>
  <c r="L55" i="1"/>
  <c r="D56" i="1"/>
  <c r="E56" i="1"/>
  <c r="F56" i="1"/>
  <c r="G56" i="1"/>
  <c r="H56" i="1"/>
  <c r="I56" i="1"/>
  <c r="J56" i="1"/>
  <c r="K56" i="1"/>
  <c r="L56" i="1"/>
  <c r="D85" i="7"/>
  <c r="E85" i="7"/>
  <c r="F85" i="7"/>
  <c r="G85" i="7"/>
  <c r="H85" i="7"/>
  <c r="I85" i="7"/>
  <c r="J85" i="7"/>
  <c r="K85" i="7"/>
  <c r="L85" i="7"/>
  <c r="D86" i="7"/>
  <c r="E86" i="7"/>
  <c r="F86" i="7"/>
  <c r="G86" i="7"/>
  <c r="H86" i="7"/>
  <c r="I86" i="7"/>
  <c r="J86" i="7"/>
  <c r="K86" i="7"/>
  <c r="L86" i="7"/>
  <c r="D55" i="7"/>
  <c r="E55" i="7"/>
  <c r="F55" i="7"/>
  <c r="G55" i="7"/>
  <c r="H55" i="7"/>
  <c r="I55" i="7"/>
  <c r="J55" i="7"/>
  <c r="K55" i="7"/>
  <c r="L55" i="7"/>
  <c r="D56" i="7"/>
  <c r="E56" i="7"/>
  <c r="F56" i="7"/>
  <c r="G56" i="7"/>
  <c r="H56" i="7"/>
  <c r="I56" i="7"/>
  <c r="J56" i="7"/>
  <c r="K56" i="7"/>
  <c r="L56" i="7"/>
  <c r="D85" i="8"/>
  <c r="E85" i="8"/>
  <c r="F85" i="8"/>
  <c r="G85" i="8"/>
  <c r="H85" i="8"/>
  <c r="I85" i="8"/>
  <c r="J85" i="8"/>
  <c r="K85" i="8"/>
  <c r="L85" i="8"/>
  <c r="D86" i="8"/>
  <c r="E86" i="8"/>
  <c r="F86" i="8"/>
  <c r="G86" i="8"/>
  <c r="H86" i="8"/>
  <c r="I86" i="8"/>
  <c r="J86" i="8"/>
  <c r="K86" i="8"/>
  <c r="L86" i="8"/>
  <c r="D55" i="8"/>
  <c r="E55" i="8"/>
  <c r="F55" i="8"/>
  <c r="G55" i="8"/>
  <c r="H55" i="8"/>
  <c r="I55" i="8"/>
  <c r="J55" i="8"/>
  <c r="K55" i="8"/>
  <c r="L55" i="8"/>
  <c r="D56" i="8"/>
  <c r="E56" i="8"/>
  <c r="F56" i="8"/>
  <c r="G56" i="8"/>
  <c r="H56" i="8"/>
  <c r="I56" i="8"/>
  <c r="J56" i="8"/>
  <c r="K56" i="8"/>
  <c r="L56" i="8"/>
  <c r="D85" i="9"/>
  <c r="E85" i="9"/>
  <c r="F85" i="9"/>
  <c r="G85" i="9"/>
  <c r="H85" i="9"/>
  <c r="I85" i="9"/>
  <c r="J85" i="9"/>
  <c r="K85" i="9"/>
  <c r="L85" i="9"/>
  <c r="D86" i="9"/>
  <c r="E86" i="9"/>
  <c r="F86" i="9"/>
  <c r="G86" i="9"/>
  <c r="H86" i="9"/>
  <c r="I86" i="9"/>
  <c r="J86" i="9"/>
  <c r="K86" i="9"/>
  <c r="L86" i="9"/>
  <c r="D55" i="9"/>
  <c r="E55" i="9"/>
  <c r="F55" i="9"/>
  <c r="G55" i="9"/>
  <c r="H55" i="9"/>
  <c r="I55" i="9"/>
  <c r="J55" i="9"/>
  <c r="K55" i="9"/>
  <c r="L55" i="9"/>
  <c r="D56" i="9"/>
  <c r="E56" i="9"/>
  <c r="F56" i="9"/>
  <c r="G56" i="9"/>
  <c r="H56" i="9"/>
  <c r="I56" i="9"/>
  <c r="J56" i="9"/>
  <c r="K56" i="9"/>
  <c r="L56" i="9"/>
  <c r="Q27" i="30" l="1"/>
  <c r="D27" i="30"/>
  <c r="R27" i="30"/>
  <c r="A10" i="30"/>
  <c r="E27" i="30"/>
  <c r="S27" i="30"/>
  <c r="F27" i="30"/>
  <c r="T27" i="30"/>
  <c r="G27" i="30"/>
  <c r="H27" i="30"/>
  <c r="J27" i="30"/>
  <c r="K27" i="30"/>
  <c r="B11" i="30"/>
  <c r="L27" i="30"/>
  <c r="M27" i="30"/>
  <c r="N27" i="30"/>
  <c r="P27" i="30"/>
  <c r="B28" i="30"/>
  <c r="A27" i="30"/>
  <c r="M8" i="19"/>
  <c r="N8" i="19" s="1"/>
  <c r="O8" i="19" s="1"/>
  <c r="P8" i="19" s="1"/>
  <c r="Q8" i="19" s="1"/>
  <c r="R8" i="19" s="1"/>
  <c r="S8" i="19" s="1"/>
  <c r="M7" i="19"/>
  <c r="N7" i="19" s="1"/>
  <c r="O7" i="19" s="1"/>
  <c r="P7" i="19" s="1"/>
  <c r="Q7" i="19" s="1"/>
  <c r="R7" i="19" s="1"/>
  <c r="S7" i="19" s="1"/>
  <c r="M28" i="30" l="1"/>
  <c r="N28" i="30"/>
  <c r="P28" i="30"/>
  <c r="A11" i="30"/>
  <c r="Q28" i="30"/>
  <c r="D28" i="30"/>
  <c r="K28" i="30"/>
  <c r="L28" i="30"/>
  <c r="R28" i="30"/>
  <c r="S28" i="30"/>
  <c r="B12" i="30"/>
  <c r="T28" i="30"/>
  <c r="E28" i="30"/>
  <c r="F28" i="30"/>
  <c r="G28" i="30"/>
  <c r="H28" i="30"/>
  <c r="J28" i="30"/>
  <c r="B29" i="30"/>
  <c r="A28" i="30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D10" i="19"/>
  <c r="D11" i="19"/>
  <c r="D9" i="19"/>
  <c r="M2" i="19"/>
  <c r="N2" i="19" s="1"/>
  <c r="O2" i="19" s="1"/>
  <c r="P2" i="19" s="1"/>
  <c r="Q2" i="19" s="1"/>
  <c r="R2" i="19" s="1"/>
  <c r="S2" i="19" s="1"/>
  <c r="M1" i="19"/>
  <c r="N1" i="19" s="1"/>
  <c r="O1" i="19" s="1"/>
  <c r="P1" i="19" s="1"/>
  <c r="Q1" i="19" s="1"/>
  <c r="R1" i="19" s="1"/>
  <c r="S1" i="19" s="1"/>
  <c r="Q5" i="11"/>
  <c r="Q16" i="11"/>
  <c r="R15" i="11"/>
  <c r="S15" i="11"/>
  <c r="T15" i="11"/>
  <c r="U15" i="11"/>
  <c r="V15" i="11"/>
  <c r="W15" i="11"/>
  <c r="R16" i="11"/>
  <c r="S16" i="11"/>
  <c r="T16" i="11"/>
  <c r="U16" i="11"/>
  <c r="V16" i="11"/>
  <c r="W16" i="11"/>
  <c r="R17" i="11"/>
  <c r="S17" i="11"/>
  <c r="T17" i="11"/>
  <c r="U17" i="11"/>
  <c r="V17" i="11"/>
  <c r="W17" i="11"/>
  <c r="Q17" i="11"/>
  <c r="Q15" i="11"/>
  <c r="J29" i="30" l="1"/>
  <c r="K29" i="30"/>
  <c r="L29" i="30"/>
  <c r="M29" i="30"/>
  <c r="A12" i="30"/>
  <c r="Q29" i="30"/>
  <c r="R29" i="30"/>
  <c r="S29" i="30"/>
  <c r="T29" i="30"/>
  <c r="B13" i="30"/>
  <c r="D29" i="30"/>
  <c r="E29" i="30"/>
  <c r="F29" i="30"/>
  <c r="G29" i="30"/>
  <c r="H29" i="30"/>
  <c r="N29" i="30"/>
  <c r="P29" i="30"/>
  <c r="A29" i="30"/>
  <c r="B30" i="30"/>
  <c r="L84" i="18"/>
  <c r="K84" i="18"/>
  <c r="J84" i="18"/>
  <c r="I84" i="18"/>
  <c r="H84" i="18"/>
  <c r="G84" i="18"/>
  <c r="F84" i="18"/>
  <c r="E84" i="18"/>
  <c r="D84" i="18"/>
  <c r="L83" i="18"/>
  <c r="K83" i="18"/>
  <c r="J83" i="18"/>
  <c r="I83" i="18"/>
  <c r="H83" i="18"/>
  <c r="G83" i="18"/>
  <c r="F83" i="18"/>
  <c r="E83" i="18"/>
  <c r="D83" i="18"/>
  <c r="L82" i="18"/>
  <c r="K82" i="18"/>
  <c r="J82" i="18"/>
  <c r="I82" i="18"/>
  <c r="H82" i="18"/>
  <c r="G82" i="18"/>
  <c r="F82" i="18"/>
  <c r="E82" i="18"/>
  <c r="D82" i="18"/>
  <c r="L81" i="18"/>
  <c r="K81" i="18"/>
  <c r="J81" i="18"/>
  <c r="I81" i="18"/>
  <c r="H81" i="18"/>
  <c r="G81" i="18"/>
  <c r="F81" i="18"/>
  <c r="E81" i="18"/>
  <c r="D81" i="18"/>
  <c r="L80" i="18"/>
  <c r="K80" i="18"/>
  <c r="J80" i="18"/>
  <c r="I80" i="18"/>
  <c r="H80" i="18"/>
  <c r="G80" i="18"/>
  <c r="F80" i="18"/>
  <c r="E80" i="18"/>
  <c r="D80" i="18"/>
  <c r="L79" i="18"/>
  <c r="K79" i="18"/>
  <c r="J79" i="18"/>
  <c r="I79" i="18"/>
  <c r="H79" i="18"/>
  <c r="G79" i="18"/>
  <c r="F79" i="18"/>
  <c r="E79" i="18"/>
  <c r="D79" i="18"/>
  <c r="L78" i="18"/>
  <c r="K78" i="18"/>
  <c r="J78" i="18"/>
  <c r="I78" i="18"/>
  <c r="H78" i="18"/>
  <c r="G78" i="18"/>
  <c r="F78" i="18"/>
  <c r="E78" i="18"/>
  <c r="D78" i="18"/>
  <c r="L77" i="18"/>
  <c r="K77" i="18"/>
  <c r="J77" i="18"/>
  <c r="I77" i="18"/>
  <c r="H77" i="18"/>
  <c r="G77" i="18"/>
  <c r="F77" i="18"/>
  <c r="E77" i="18"/>
  <c r="D77" i="18"/>
  <c r="L76" i="18"/>
  <c r="K76" i="18"/>
  <c r="J76" i="18"/>
  <c r="I76" i="18"/>
  <c r="H76" i="18"/>
  <c r="G76" i="18"/>
  <c r="F76" i="18"/>
  <c r="E76" i="18"/>
  <c r="D76" i="18"/>
  <c r="L75" i="18"/>
  <c r="K75" i="18"/>
  <c r="J75" i="18"/>
  <c r="I75" i="18"/>
  <c r="H75" i="18"/>
  <c r="G75" i="18"/>
  <c r="F75" i="18"/>
  <c r="E75" i="18"/>
  <c r="D75" i="18"/>
  <c r="L74" i="18"/>
  <c r="K74" i="18"/>
  <c r="J74" i="18"/>
  <c r="I74" i="18"/>
  <c r="H74" i="18"/>
  <c r="G74" i="18"/>
  <c r="F74" i="18"/>
  <c r="E74" i="18"/>
  <c r="D74" i="18"/>
  <c r="L73" i="18"/>
  <c r="K73" i="18"/>
  <c r="J73" i="18"/>
  <c r="I73" i="18"/>
  <c r="H73" i="18"/>
  <c r="G73" i="18"/>
  <c r="F73" i="18"/>
  <c r="E73" i="18"/>
  <c r="D73" i="18"/>
  <c r="L72" i="18"/>
  <c r="K72" i="18"/>
  <c r="J72" i="18"/>
  <c r="I72" i="18"/>
  <c r="H72" i="18"/>
  <c r="G72" i="18"/>
  <c r="F72" i="18"/>
  <c r="E72" i="18"/>
  <c r="D72" i="18"/>
  <c r="L71" i="18"/>
  <c r="K71" i="18"/>
  <c r="J71" i="18"/>
  <c r="I71" i="18"/>
  <c r="H71" i="18"/>
  <c r="G71" i="18"/>
  <c r="F71" i="18"/>
  <c r="E71" i="18"/>
  <c r="D71" i="18"/>
  <c r="L70" i="18"/>
  <c r="K70" i="18"/>
  <c r="J70" i="18"/>
  <c r="I70" i="18"/>
  <c r="H70" i="18"/>
  <c r="G70" i="18"/>
  <c r="F70" i="18"/>
  <c r="E70" i="18"/>
  <c r="D70" i="18"/>
  <c r="L69" i="18"/>
  <c r="K69" i="18"/>
  <c r="J69" i="18"/>
  <c r="I69" i="18"/>
  <c r="H69" i="18"/>
  <c r="G69" i="18"/>
  <c r="F69" i="18"/>
  <c r="E69" i="18"/>
  <c r="D69" i="18"/>
  <c r="L68" i="18"/>
  <c r="K68" i="18"/>
  <c r="J68" i="18"/>
  <c r="I68" i="18"/>
  <c r="H68" i="18"/>
  <c r="G68" i="18"/>
  <c r="F68" i="18"/>
  <c r="E68" i="18"/>
  <c r="D68" i="18"/>
  <c r="L67" i="18"/>
  <c r="K67" i="18"/>
  <c r="J67" i="18"/>
  <c r="I67" i="18"/>
  <c r="H67" i="18"/>
  <c r="G67" i="18"/>
  <c r="F67" i="18"/>
  <c r="E67" i="18"/>
  <c r="D67" i="18"/>
  <c r="L66" i="18"/>
  <c r="K66" i="18"/>
  <c r="J66" i="18"/>
  <c r="I66" i="18"/>
  <c r="H66" i="18"/>
  <c r="G66" i="18"/>
  <c r="F66" i="18"/>
  <c r="E66" i="18"/>
  <c r="D66" i="18"/>
  <c r="L65" i="18"/>
  <c r="K65" i="18"/>
  <c r="J65" i="18"/>
  <c r="I65" i="18"/>
  <c r="H65" i="18"/>
  <c r="G65" i="18"/>
  <c r="F65" i="18"/>
  <c r="E65" i="18"/>
  <c r="D65" i="18"/>
  <c r="L64" i="18"/>
  <c r="K64" i="18"/>
  <c r="J64" i="18"/>
  <c r="I64" i="18"/>
  <c r="H64" i="18"/>
  <c r="G64" i="18"/>
  <c r="F64" i="18"/>
  <c r="E64" i="18"/>
  <c r="D64" i="18"/>
  <c r="L63" i="18"/>
  <c r="K63" i="18"/>
  <c r="J63" i="18"/>
  <c r="I63" i="18"/>
  <c r="H63" i="18"/>
  <c r="G63" i="18"/>
  <c r="F63" i="18"/>
  <c r="E63" i="18"/>
  <c r="D63" i="18"/>
  <c r="L62" i="18"/>
  <c r="K62" i="18"/>
  <c r="J62" i="18"/>
  <c r="I62" i="18"/>
  <c r="H62" i="18"/>
  <c r="G62" i="18"/>
  <c r="F62" i="18"/>
  <c r="E62" i="18"/>
  <c r="D62" i="18"/>
  <c r="L54" i="18"/>
  <c r="K54" i="18"/>
  <c r="J54" i="18"/>
  <c r="I54" i="18"/>
  <c r="H54" i="18"/>
  <c r="G54" i="18"/>
  <c r="F54" i="18"/>
  <c r="E54" i="18"/>
  <c r="D54" i="18"/>
  <c r="L53" i="18"/>
  <c r="K53" i="18"/>
  <c r="J53" i="18"/>
  <c r="I53" i="18"/>
  <c r="H53" i="18"/>
  <c r="G53" i="18"/>
  <c r="F53" i="18"/>
  <c r="E53" i="18"/>
  <c r="D53" i="18"/>
  <c r="L52" i="18"/>
  <c r="K52" i="18"/>
  <c r="J52" i="18"/>
  <c r="I52" i="18"/>
  <c r="H52" i="18"/>
  <c r="G52" i="18"/>
  <c r="F52" i="18"/>
  <c r="E52" i="18"/>
  <c r="D52" i="18"/>
  <c r="L51" i="18"/>
  <c r="K51" i="18"/>
  <c r="J51" i="18"/>
  <c r="I51" i="18"/>
  <c r="H51" i="18"/>
  <c r="G51" i="18"/>
  <c r="F51" i="18"/>
  <c r="E51" i="18"/>
  <c r="D51" i="18"/>
  <c r="L50" i="18"/>
  <c r="K50" i="18"/>
  <c r="J50" i="18"/>
  <c r="I50" i="18"/>
  <c r="H50" i="18"/>
  <c r="G50" i="18"/>
  <c r="F50" i="18"/>
  <c r="E50" i="18"/>
  <c r="D50" i="18"/>
  <c r="L49" i="18"/>
  <c r="K49" i="18"/>
  <c r="J49" i="18"/>
  <c r="K49" i="33" s="1"/>
  <c r="I49" i="18"/>
  <c r="J49" i="33" s="1"/>
  <c r="H49" i="18"/>
  <c r="I49" i="33" s="1"/>
  <c r="G49" i="18"/>
  <c r="H49" i="33" s="1"/>
  <c r="F49" i="18"/>
  <c r="G49" i="33" s="1"/>
  <c r="E49" i="18"/>
  <c r="F49" i="33" s="1"/>
  <c r="D49" i="18"/>
  <c r="E49" i="33" s="1"/>
  <c r="L48" i="18"/>
  <c r="K48" i="18"/>
  <c r="J48" i="18"/>
  <c r="I48" i="18"/>
  <c r="H48" i="18"/>
  <c r="G48" i="18"/>
  <c r="F48" i="18"/>
  <c r="E48" i="18"/>
  <c r="D48" i="18"/>
  <c r="L47" i="18"/>
  <c r="K47" i="18"/>
  <c r="J47" i="18"/>
  <c r="I47" i="18"/>
  <c r="H47" i="18"/>
  <c r="G47" i="18"/>
  <c r="F47" i="18"/>
  <c r="E47" i="18"/>
  <c r="D47" i="18"/>
  <c r="L46" i="18"/>
  <c r="K46" i="18"/>
  <c r="J46" i="18"/>
  <c r="I46" i="18"/>
  <c r="H46" i="18"/>
  <c r="G46" i="18"/>
  <c r="F46" i="18"/>
  <c r="E46" i="18"/>
  <c r="D46" i="18"/>
  <c r="L45" i="18"/>
  <c r="K45" i="18"/>
  <c r="J45" i="18"/>
  <c r="I45" i="18"/>
  <c r="H45" i="18"/>
  <c r="G45" i="18"/>
  <c r="F45" i="18"/>
  <c r="E45" i="18"/>
  <c r="D45" i="18"/>
  <c r="L44" i="18"/>
  <c r="K44" i="18"/>
  <c r="J44" i="18"/>
  <c r="I44" i="18"/>
  <c r="H44" i="18"/>
  <c r="G44" i="18"/>
  <c r="F44" i="18"/>
  <c r="E44" i="18"/>
  <c r="D44" i="18"/>
  <c r="L43" i="18"/>
  <c r="K43" i="18"/>
  <c r="J43" i="18"/>
  <c r="I43" i="18"/>
  <c r="H43" i="18"/>
  <c r="G43" i="18"/>
  <c r="F43" i="18"/>
  <c r="E43" i="18"/>
  <c r="D43" i="18"/>
  <c r="L42" i="18"/>
  <c r="K42" i="18"/>
  <c r="J42" i="18"/>
  <c r="I42" i="18"/>
  <c r="H42" i="18"/>
  <c r="G42" i="18"/>
  <c r="F42" i="18"/>
  <c r="E42" i="18"/>
  <c r="D42" i="18"/>
  <c r="L41" i="18"/>
  <c r="K41" i="18"/>
  <c r="J41" i="18"/>
  <c r="I41" i="18"/>
  <c r="H41" i="18"/>
  <c r="G41" i="18"/>
  <c r="F41" i="18"/>
  <c r="E41" i="18"/>
  <c r="D41" i="18"/>
  <c r="L40" i="18"/>
  <c r="K40" i="18"/>
  <c r="J40" i="18"/>
  <c r="I40" i="18"/>
  <c r="H40" i="18"/>
  <c r="G40" i="18"/>
  <c r="F40" i="18"/>
  <c r="E40" i="18"/>
  <c r="D40" i="18"/>
  <c r="L39" i="18"/>
  <c r="K39" i="18"/>
  <c r="J39" i="18"/>
  <c r="I39" i="18"/>
  <c r="H39" i="18"/>
  <c r="G39" i="18"/>
  <c r="F39" i="18"/>
  <c r="E39" i="18"/>
  <c r="D39" i="18"/>
  <c r="L38" i="18"/>
  <c r="K38" i="18"/>
  <c r="J38" i="18"/>
  <c r="I38" i="18"/>
  <c r="H38" i="18"/>
  <c r="G38" i="18"/>
  <c r="F38" i="18"/>
  <c r="E38" i="18"/>
  <c r="D38" i="18"/>
  <c r="L37" i="18"/>
  <c r="K37" i="18"/>
  <c r="J37" i="18"/>
  <c r="I37" i="18"/>
  <c r="H37" i="18"/>
  <c r="G37" i="18"/>
  <c r="F37" i="18"/>
  <c r="E37" i="18"/>
  <c r="D37" i="18"/>
  <c r="L36" i="18"/>
  <c r="K36" i="18"/>
  <c r="J36" i="18"/>
  <c r="I36" i="18"/>
  <c r="H36" i="18"/>
  <c r="G36" i="18"/>
  <c r="F36" i="18"/>
  <c r="E36" i="18"/>
  <c r="D36" i="18"/>
  <c r="L35" i="18"/>
  <c r="K35" i="18"/>
  <c r="J35" i="18"/>
  <c r="I35" i="18"/>
  <c r="H35" i="18"/>
  <c r="G35" i="18"/>
  <c r="F35" i="18"/>
  <c r="E35" i="18"/>
  <c r="D35" i="18"/>
  <c r="L34" i="18"/>
  <c r="K34" i="18"/>
  <c r="J34" i="18"/>
  <c r="I34" i="18"/>
  <c r="H34" i="18"/>
  <c r="G34" i="18"/>
  <c r="F34" i="18"/>
  <c r="E34" i="18"/>
  <c r="D34" i="18"/>
  <c r="L33" i="18"/>
  <c r="K33" i="18"/>
  <c r="J33" i="18"/>
  <c r="I33" i="18"/>
  <c r="H33" i="18"/>
  <c r="G33" i="18"/>
  <c r="F33" i="18"/>
  <c r="E33" i="18"/>
  <c r="L32" i="18"/>
  <c r="K32" i="18"/>
  <c r="J32" i="18"/>
  <c r="I32" i="18"/>
  <c r="H32" i="18"/>
  <c r="G32" i="18"/>
  <c r="F32" i="18"/>
  <c r="E32" i="18"/>
  <c r="D32" i="18"/>
  <c r="L84" i="17"/>
  <c r="K84" i="17"/>
  <c r="J84" i="17"/>
  <c r="I84" i="17"/>
  <c r="H84" i="17"/>
  <c r="G84" i="17"/>
  <c r="F84" i="17"/>
  <c r="E84" i="17"/>
  <c r="D84" i="17"/>
  <c r="L83" i="17"/>
  <c r="K83" i="17"/>
  <c r="J83" i="17"/>
  <c r="I83" i="17"/>
  <c r="H83" i="17"/>
  <c r="G83" i="17"/>
  <c r="F83" i="17"/>
  <c r="E83" i="17"/>
  <c r="D83" i="17"/>
  <c r="L82" i="17"/>
  <c r="K82" i="17"/>
  <c r="J82" i="17"/>
  <c r="I82" i="17"/>
  <c r="H82" i="17"/>
  <c r="G82" i="17"/>
  <c r="F82" i="17"/>
  <c r="E82" i="17"/>
  <c r="D82" i="17"/>
  <c r="L81" i="17"/>
  <c r="K81" i="17"/>
  <c r="J81" i="17"/>
  <c r="I81" i="17"/>
  <c r="H81" i="17"/>
  <c r="G81" i="17"/>
  <c r="F81" i="17"/>
  <c r="E81" i="17"/>
  <c r="D81" i="17"/>
  <c r="L80" i="17"/>
  <c r="K80" i="17"/>
  <c r="J80" i="17"/>
  <c r="I80" i="17"/>
  <c r="H80" i="17"/>
  <c r="G80" i="17"/>
  <c r="F80" i="17"/>
  <c r="E80" i="17"/>
  <c r="D80" i="17"/>
  <c r="L79" i="17"/>
  <c r="K79" i="17"/>
  <c r="J79" i="17"/>
  <c r="I79" i="17"/>
  <c r="H79" i="17"/>
  <c r="G79" i="17"/>
  <c r="F79" i="17"/>
  <c r="E79" i="17"/>
  <c r="D79" i="17"/>
  <c r="L78" i="17"/>
  <c r="K78" i="17"/>
  <c r="J78" i="17"/>
  <c r="I78" i="17"/>
  <c r="H78" i="17"/>
  <c r="G78" i="17"/>
  <c r="F78" i="17"/>
  <c r="E78" i="17"/>
  <c r="D78" i="17"/>
  <c r="L77" i="17"/>
  <c r="K77" i="17"/>
  <c r="J77" i="17"/>
  <c r="I77" i="17"/>
  <c r="H77" i="17"/>
  <c r="G77" i="17"/>
  <c r="F77" i="17"/>
  <c r="E77" i="17"/>
  <c r="D77" i="17"/>
  <c r="L76" i="17"/>
  <c r="K76" i="17"/>
  <c r="J76" i="17"/>
  <c r="I76" i="17"/>
  <c r="H76" i="17"/>
  <c r="G76" i="17"/>
  <c r="F76" i="17"/>
  <c r="E76" i="17"/>
  <c r="D76" i="17"/>
  <c r="L75" i="17"/>
  <c r="K75" i="17"/>
  <c r="J75" i="17"/>
  <c r="I75" i="17"/>
  <c r="H75" i="17"/>
  <c r="G75" i="17"/>
  <c r="F75" i="17"/>
  <c r="E75" i="17"/>
  <c r="D75" i="17"/>
  <c r="L74" i="17"/>
  <c r="K74" i="17"/>
  <c r="J74" i="17"/>
  <c r="I74" i="17"/>
  <c r="H74" i="17"/>
  <c r="G74" i="17"/>
  <c r="F74" i="17"/>
  <c r="E74" i="17"/>
  <c r="D74" i="17"/>
  <c r="L73" i="17"/>
  <c r="K73" i="17"/>
  <c r="J73" i="17"/>
  <c r="I73" i="17"/>
  <c r="H73" i="17"/>
  <c r="G73" i="17"/>
  <c r="F73" i="17"/>
  <c r="E73" i="17"/>
  <c r="D73" i="17"/>
  <c r="L72" i="17"/>
  <c r="K72" i="17"/>
  <c r="J72" i="17"/>
  <c r="I72" i="17"/>
  <c r="H72" i="17"/>
  <c r="G72" i="17"/>
  <c r="F72" i="17"/>
  <c r="E72" i="17"/>
  <c r="D72" i="17"/>
  <c r="L71" i="17"/>
  <c r="K71" i="17"/>
  <c r="J71" i="17"/>
  <c r="I71" i="17"/>
  <c r="H71" i="17"/>
  <c r="G71" i="17"/>
  <c r="F71" i="17"/>
  <c r="E71" i="17"/>
  <c r="D71" i="17"/>
  <c r="L70" i="17"/>
  <c r="K70" i="17"/>
  <c r="J70" i="17"/>
  <c r="I70" i="17"/>
  <c r="H70" i="17"/>
  <c r="G70" i="17"/>
  <c r="F70" i="17"/>
  <c r="E70" i="17"/>
  <c r="D70" i="17"/>
  <c r="L69" i="17"/>
  <c r="K69" i="17"/>
  <c r="J69" i="17"/>
  <c r="I69" i="17"/>
  <c r="H69" i="17"/>
  <c r="G69" i="17"/>
  <c r="F69" i="17"/>
  <c r="E69" i="17"/>
  <c r="D69" i="17"/>
  <c r="L68" i="17"/>
  <c r="K68" i="17"/>
  <c r="J68" i="17"/>
  <c r="W14" i="11" s="1"/>
  <c r="I68" i="17"/>
  <c r="V14" i="11" s="1"/>
  <c r="H68" i="17"/>
  <c r="U14" i="11" s="1"/>
  <c r="G68" i="17"/>
  <c r="T14" i="11" s="1"/>
  <c r="F68" i="17"/>
  <c r="S14" i="11" s="1"/>
  <c r="E68" i="17"/>
  <c r="R14" i="11" s="1"/>
  <c r="D68" i="17"/>
  <c r="Q14" i="11" s="1"/>
  <c r="L67" i="17"/>
  <c r="K67" i="17"/>
  <c r="J67" i="17"/>
  <c r="I67" i="17"/>
  <c r="H67" i="17"/>
  <c r="G67" i="17"/>
  <c r="F67" i="17"/>
  <c r="E67" i="17"/>
  <c r="D67" i="17"/>
  <c r="L66" i="17"/>
  <c r="K66" i="17"/>
  <c r="J66" i="17"/>
  <c r="I66" i="17"/>
  <c r="H66" i="17"/>
  <c r="G66" i="17"/>
  <c r="F66" i="17"/>
  <c r="E66" i="17"/>
  <c r="D66" i="17"/>
  <c r="L65" i="17"/>
  <c r="K65" i="17"/>
  <c r="J65" i="17"/>
  <c r="I65" i="17"/>
  <c r="H65" i="17"/>
  <c r="G65" i="17"/>
  <c r="F65" i="17"/>
  <c r="E65" i="17"/>
  <c r="D65" i="17"/>
  <c r="L64" i="17"/>
  <c r="K64" i="17"/>
  <c r="J64" i="17"/>
  <c r="I64" i="17"/>
  <c r="H64" i="17"/>
  <c r="G64" i="17"/>
  <c r="F64" i="17"/>
  <c r="E64" i="17"/>
  <c r="D64" i="17"/>
  <c r="L63" i="17"/>
  <c r="K63" i="17"/>
  <c r="J63" i="17"/>
  <c r="I63" i="17"/>
  <c r="H63" i="17"/>
  <c r="G63" i="17"/>
  <c r="F63" i="17"/>
  <c r="E63" i="17"/>
  <c r="D63" i="17"/>
  <c r="L62" i="17"/>
  <c r="K62" i="17"/>
  <c r="J62" i="17"/>
  <c r="I62" i="17"/>
  <c r="H62" i="17"/>
  <c r="G62" i="17"/>
  <c r="F62" i="17"/>
  <c r="E62" i="17"/>
  <c r="D62" i="17"/>
  <c r="L54" i="17"/>
  <c r="K54" i="17"/>
  <c r="J54" i="17"/>
  <c r="I54" i="17"/>
  <c r="H54" i="17"/>
  <c r="G54" i="17"/>
  <c r="F54" i="17"/>
  <c r="E54" i="17"/>
  <c r="D54" i="17"/>
  <c r="L53" i="17"/>
  <c r="K53" i="17"/>
  <c r="J53" i="17"/>
  <c r="I53" i="17"/>
  <c r="H53" i="17"/>
  <c r="G53" i="17"/>
  <c r="F53" i="17"/>
  <c r="E53" i="17"/>
  <c r="D53" i="17"/>
  <c r="L52" i="17"/>
  <c r="K52" i="17"/>
  <c r="J52" i="17"/>
  <c r="I52" i="17"/>
  <c r="H52" i="17"/>
  <c r="G52" i="17"/>
  <c r="F52" i="17"/>
  <c r="E52" i="17"/>
  <c r="D52" i="17"/>
  <c r="L51" i="17"/>
  <c r="K51" i="17"/>
  <c r="J51" i="17"/>
  <c r="I51" i="17"/>
  <c r="H51" i="17"/>
  <c r="G51" i="17"/>
  <c r="F51" i="17"/>
  <c r="E51" i="17"/>
  <c r="D51" i="17"/>
  <c r="L50" i="17"/>
  <c r="K50" i="17"/>
  <c r="J50" i="17"/>
  <c r="I50" i="17"/>
  <c r="H50" i="17"/>
  <c r="G50" i="17"/>
  <c r="F50" i="17"/>
  <c r="E50" i="17"/>
  <c r="D50" i="17"/>
  <c r="L49" i="17"/>
  <c r="K49" i="17"/>
  <c r="J49" i="17"/>
  <c r="I49" i="17"/>
  <c r="H49" i="17"/>
  <c r="G49" i="17"/>
  <c r="F49" i="17"/>
  <c r="E49" i="17"/>
  <c r="D49" i="17"/>
  <c r="L48" i="17"/>
  <c r="K48" i="17"/>
  <c r="J48" i="17"/>
  <c r="I48" i="17"/>
  <c r="H48" i="17"/>
  <c r="G48" i="17"/>
  <c r="F48" i="17"/>
  <c r="E48" i="17"/>
  <c r="D48" i="17"/>
  <c r="L47" i="17"/>
  <c r="K47" i="17"/>
  <c r="J47" i="17"/>
  <c r="I47" i="17"/>
  <c r="H47" i="17"/>
  <c r="G47" i="17"/>
  <c r="F47" i="17"/>
  <c r="E47" i="17"/>
  <c r="D47" i="17"/>
  <c r="L46" i="17"/>
  <c r="K46" i="17"/>
  <c r="J46" i="17"/>
  <c r="I46" i="17"/>
  <c r="H46" i="17"/>
  <c r="G46" i="17"/>
  <c r="F46" i="17"/>
  <c r="E46" i="17"/>
  <c r="D46" i="17"/>
  <c r="L45" i="17"/>
  <c r="K45" i="17"/>
  <c r="J45" i="17"/>
  <c r="I45" i="17"/>
  <c r="H45" i="17"/>
  <c r="G45" i="17"/>
  <c r="F45" i="17"/>
  <c r="E45" i="17"/>
  <c r="D45" i="17"/>
  <c r="L44" i="17"/>
  <c r="K44" i="17"/>
  <c r="J44" i="17"/>
  <c r="I44" i="17"/>
  <c r="H44" i="17"/>
  <c r="G44" i="17"/>
  <c r="F44" i="17"/>
  <c r="E44" i="17"/>
  <c r="D44" i="17"/>
  <c r="L43" i="17"/>
  <c r="K43" i="17"/>
  <c r="J43" i="17"/>
  <c r="I43" i="17"/>
  <c r="H43" i="17"/>
  <c r="G43" i="17"/>
  <c r="F43" i="17"/>
  <c r="E43" i="17"/>
  <c r="D43" i="17"/>
  <c r="L42" i="17"/>
  <c r="K42" i="17"/>
  <c r="J42" i="17"/>
  <c r="I42" i="17"/>
  <c r="H42" i="17"/>
  <c r="G42" i="17"/>
  <c r="F42" i="17"/>
  <c r="E42" i="17"/>
  <c r="D42" i="17"/>
  <c r="L41" i="17"/>
  <c r="K41" i="17"/>
  <c r="J41" i="17"/>
  <c r="I41" i="17"/>
  <c r="H41" i="17"/>
  <c r="G41" i="17"/>
  <c r="F41" i="17"/>
  <c r="E41" i="17"/>
  <c r="D41" i="17"/>
  <c r="L40" i="17"/>
  <c r="K40" i="17"/>
  <c r="J40" i="17"/>
  <c r="I40" i="17"/>
  <c r="H40" i="17"/>
  <c r="G40" i="17"/>
  <c r="F40" i="17"/>
  <c r="E40" i="17"/>
  <c r="D40" i="17"/>
  <c r="L39" i="17"/>
  <c r="K39" i="17"/>
  <c r="J39" i="17"/>
  <c r="I39" i="17"/>
  <c r="H39" i="17"/>
  <c r="G39" i="17"/>
  <c r="F39" i="17"/>
  <c r="E39" i="17"/>
  <c r="D39" i="17"/>
  <c r="L38" i="17"/>
  <c r="K38" i="17"/>
  <c r="J38" i="17"/>
  <c r="I38" i="17"/>
  <c r="H38" i="17"/>
  <c r="G38" i="17"/>
  <c r="F38" i="17"/>
  <c r="E38" i="17"/>
  <c r="D38" i="17"/>
  <c r="L37" i="17"/>
  <c r="K37" i="17"/>
  <c r="J37" i="17"/>
  <c r="I37" i="17"/>
  <c r="H37" i="17"/>
  <c r="G37" i="17"/>
  <c r="F37" i="17"/>
  <c r="E37" i="17"/>
  <c r="D37" i="17"/>
  <c r="L36" i="17"/>
  <c r="K36" i="17"/>
  <c r="J36" i="17"/>
  <c r="I36" i="17"/>
  <c r="H36" i="17"/>
  <c r="G36" i="17"/>
  <c r="F36" i="17"/>
  <c r="E36" i="17"/>
  <c r="D36" i="17"/>
  <c r="L35" i="17"/>
  <c r="K35" i="17"/>
  <c r="J35" i="17"/>
  <c r="I35" i="17"/>
  <c r="H35" i="17"/>
  <c r="G35" i="17"/>
  <c r="F35" i="17"/>
  <c r="E35" i="17"/>
  <c r="D35" i="17"/>
  <c r="L34" i="17"/>
  <c r="K34" i="17"/>
  <c r="J34" i="17"/>
  <c r="I34" i="17"/>
  <c r="H34" i="17"/>
  <c r="G34" i="17"/>
  <c r="F34" i="17"/>
  <c r="E34" i="17"/>
  <c r="D34" i="17"/>
  <c r="L33" i="17"/>
  <c r="K33" i="17"/>
  <c r="J33" i="17"/>
  <c r="I33" i="17"/>
  <c r="H33" i="17"/>
  <c r="G33" i="17"/>
  <c r="F33" i="17"/>
  <c r="E33" i="17"/>
  <c r="D33" i="17"/>
  <c r="L32" i="17"/>
  <c r="K32" i="17"/>
  <c r="J32" i="17"/>
  <c r="I32" i="17"/>
  <c r="H32" i="17"/>
  <c r="G32" i="17"/>
  <c r="F32" i="17"/>
  <c r="E32" i="17"/>
  <c r="D32" i="17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D66" i="9"/>
  <c r="E66" i="9"/>
  <c r="F66" i="9"/>
  <c r="G66" i="9"/>
  <c r="H66" i="9"/>
  <c r="I66" i="9"/>
  <c r="J66" i="9"/>
  <c r="K66" i="9"/>
  <c r="L66" i="9"/>
  <c r="D67" i="9"/>
  <c r="E67" i="9"/>
  <c r="F67" i="9"/>
  <c r="G67" i="9"/>
  <c r="H67" i="9"/>
  <c r="I67" i="9"/>
  <c r="J67" i="9"/>
  <c r="K67" i="9"/>
  <c r="L67" i="9"/>
  <c r="D68" i="9"/>
  <c r="E68" i="9"/>
  <c r="F68" i="9"/>
  <c r="G68" i="9"/>
  <c r="H68" i="9"/>
  <c r="I68" i="9"/>
  <c r="J68" i="9"/>
  <c r="K68" i="9"/>
  <c r="L68" i="9"/>
  <c r="D69" i="9"/>
  <c r="E69" i="9"/>
  <c r="F69" i="9"/>
  <c r="G69" i="9"/>
  <c r="H69" i="9"/>
  <c r="I69" i="9"/>
  <c r="J69" i="9"/>
  <c r="K69" i="9"/>
  <c r="L69" i="9"/>
  <c r="D70" i="9"/>
  <c r="E70" i="9"/>
  <c r="F70" i="9"/>
  <c r="G70" i="9"/>
  <c r="H70" i="9"/>
  <c r="I70" i="9"/>
  <c r="J70" i="9"/>
  <c r="K70" i="9"/>
  <c r="L70" i="9"/>
  <c r="D71" i="9"/>
  <c r="E71" i="9"/>
  <c r="F71" i="9"/>
  <c r="G71" i="9"/>
  <c r="H71" i="9"/>
  <c r="I71" i="9"/>
  <c r="J71" i="9"/>
  <c r="K71" i="9"/>
  <c r="L71" i="9"/>
  <c r="D72" i="9"/>
  <c r="E72" i="9"/>
  <c r="F72" i="9"/>
  <c r="G72" i="9"/>
  <c r="H72" i="9"/>
  <c r="I72" i="9"/>
  <c r="J72" i="9"/>
  <c r="K72" i="9"/>
  <c r="L72" i="9"/>
  <c r="D73" i="9"/>
  <c r="E73" i="9"/>
  <c r="F73" i="9"/>
  <c r="G73" i="9"/>
  <c r="H73" i="9"/>
  <c r="I73" i="9"/>
  <c r="J73" i="9"/>
  <c r="K73" i="9"/>
  <c r="L7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D80" i="9"/>
  <c r="E80" i="9"/>
  <c r="F80" i="9"/>
  <c r="G80" i="9"/>
  <c r="H80" i="9"/>
  <c r="I80" i="9"/>
  <c r="J80" i="9"/>
  <c r="K80" i="9"/>
  <c r="L80" i="9"/>
  <c r="D81" i="9"/>
  <c r="E81" i="9"/>
  <c r="F81" i="9"/>
  <c r="G81" i="9"/>
  <c r="H81" i="9"/>
  <c r="I81" i="9"/>
  <c r="J81" i="9"/>
  <c r="K81" i="9"/>
  <c r="L81" i="9"/>
  <c r="D82" i="9"/>
  <c r="E82" i="9"/>
  <c r="F82" i="9"/>
  <c r="G82" i="9"/>
  <c r="H82" i="9"/>
  <c r="I82" i="9"/>
  <c r="J82" i="9"/>
  <c r="K82" i="9"/>
  <c r="L82" i="9"/>
  <c r="D83" i="9"/>
  <c r="E83" i="9"/>
  <c r="F83" i="9"/>
  <c r="G83" i="9"/>
  <c r="H83" i="9"/>
  <c r="I83" i="9"/>
  <c r="J83" i="9"/>
  <c r="K83" i="9"/>
  <c r="L83" i="9"/>
  <c r="D84" i="9"/>
  <c r="E84" i="9"/>
  <c r="F84" i="9"/>
  <c r="G84" i="9"/>
  <c r="H84" i="9"/>
  <c r="I84" i="9"/>
  <c r="J84" i="9"/>
  <c r="K84" i="9"/>
  <c r="L84" i="9"/>
  <c r="D33" i="9"/>
  <c r="E33" i="9"/>
  <c r="F33" i="9"/>
  <c r="G33" i="9"/>
  <c r="H33" i="9"/>
  <c r="I33" i="9"/>
  <c r="J33" i="9"/>
  <c r="K33" i="9"/>
  <c r="L33" i="9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6" i="9"/>
  <c r="E36" i="9"/>
  <c r="F36" i="9"/>
  <c r="G36" i="9"/>
  <c r="H36" i="9"/>
  <c r="I36" i="9"/>
  <c r="J36" i="9"/>
  <c r="K36" i="9"/>
  <c r="L36" i="9"/>
  <c r="D37" i="9"/>
  <c r="E37" i="9"/>
  <c r="F37" i="9"/>
  <c r="G37" i="9"/>
  <c r="H37" i="9"/>
  <c r="I37" i="9"/>
  <c r="J37" i="9"/>
  <c r="K37" i="9"/>
  <c r="L37" i="9"/>
  <c r="D38" i="9"/>
  <c r="E38" i="9"/>
  <c r="F38" i="9"/>
  <c r="G38" i="9"/>
  <c r="H38" i="9"/>
  <c r="I38" i="9"/>
  <c r="J38" i="9"/>
  <c r="K38" i="9"/>
  <c r="L38" i="9"/>
  <c r="D39" i="9"/>
  <c r="E39" i="9"/>
  <c r="F39" i="9"/>
  <c r="G39" i="9"/>
  <c r="H39" i="9"/>
  <c r="I39" i="9"/>
  <c r="J39" i="9"/>
  <c r="K39" i="9"/>
  <c r="L39" i="9"/>
  <c r="D40" i="9"/>
  <c r="E40" i="9"/>
  <c r="F40" i="9"/>
  <c r="G40" i="9"/>
  <c r="H40" i="9"/>
  <c r="I40" i="9"/>
  <c r="J40" i="9"/>
  <c r="K40" i="9"/>
  <c r="L40" i="9"/>
  <c r="D41" i="9"/>
  <c r="E41" i="9"/>
  <c r="F41" i="9"/>
  <c r="G41" i="9"/>
  <c r="H41" i="9"/>
  <c r="I41" i="9"/>
  <c r="J41" i="9"/>
  <c r="K41" i="9"/>
  <c r="L41" i="9"/>
  <c r="D42" i="9"/>
  <c r="E42" i="9"/>
  <c r="F42" i="9"/>
  <c r="G42" i="9"/>
  <c r="H42" i="9"/>
  <c r="I42" i="9"/>
  <c r="J42" i="9"/>
  <c r="K42" i="9"/>
  <c r="L42" i="9"/>
  <c r="D43" i="9"/>
  <c r="E43" i="9"/>
  <c r="F43" i="9"/>
  <c r="G43" i="9"/>
  <c r="H43" i="9"/>
  <c r="I43" i="9"/>
  <c r="J43" i="9"/>
  <c r="K43" i="9"/>
  <c r="L43" i="9"/>
  <c r="D44" i="9"/>
  <c r="E44" i="9"/>
  <c r="F44" i="9"/>
  <c r="G44" i="9"/>
  <c r="H44" i="9"/>
  <c r="I44" i="9"/>
  <c r="J44" i="9"/>
  <c r="K44" i="9"/>
  <c r="L44" i="9"/>
  <c r="D45" i="9"/>
  <c r="E45" i="9"/>
  <c r="F45" i="9"/>
  <c r="G45" i="9"/>
  <c r="H45" i="9"/>
  <c r="I45" i="9"/>
  <c r="J45" i="9"/>
  <c r="K45" i="9"/>
  <c r="L45" i="9"/>
  <c r="D46" i="9"/>
  <c r="E46" i="9"/>
  <c r="F46" i="9"/>
  <c r="G46" i="9"/>
  <c r="H46" i="9"/>
  <c r="I46" i="9"/>
  <c r="J46" i="9"/>
  <c r="K46" i="9"/>
  <c r="L46" i="9"/>
  <c r="D47" i="9"/>
  <c r="E47" i="9"/>
  <c r="F47" i="9"/>
  <c r="G47" i="9"/>
  <c r="H47" i="9"/>
  <c r="I47" i="9"/>
  <c r="J47" i="9"/>
  <c r="K47" i="9"/>
  <c r="L47" i="9"/>
  <c r="D48" i="9"/>
  <c r="E48" i="9"/>
  <c r="F48" i="9"/>
  <c r="G48" i="9"/>
  <c r="H48" i="9"/>
  <c r="I48" i="9"/>
  <c r="J48" i="9"/>
  <c r="K48" i="9"/>
  <c r="L48" i="9"/>
  <c r="D49" i="9"/>
  <c r="E49" i="9"/>
  <c r="F49" i="9"/>
  <c r="G49" i="9"/>
  <c r="H49" i="9"/>
  <c r="I49" i="9"/>
  <c r="J49" i="9"/>
  <c r="K49" i="9"/>
  <c r="L49" i="9"/>
  <c r="D50" i="9"/>
  <c r="E50" i="9"/>
  <c r="F50" i="9"/>
  <c r="G50" i="9"/>
  <c r="H50" i="9"/>
  <c r="I50" i="9"/>
  <c r="J50" i="9"/>
  <c r="K50" i="9"/>
  <c r="L50" i="9"/>
  <c r="D51" i="9"/>
  <c r="E51" i="9"/>
  <c r="F51" i="9"/>
  <c r="G51" i="9"/>
  <c r="H51" i="9"/>
  <c r="I51" i="9"/>
  <c r="J51" i="9"/>
  <c r="K51" i="9"/>
  <c r="L51" i="9"/>
  <c r="D52" i="9"/>
  <c r="E52" i="9"/>
  <c r="F52" i="9"/>
  <c r="G52" i="9"/>
  <c r="H52" i="9"/>
  <c r="I52" i="9"/>
  <c r="J52" i="9"/>
  <c r="K52" i="9"/>
  <c r="L52" i="9"/>
  <c r="D53" i="9"/>
  <c r="E53" i="9"/>
  <c r="F53" i="9"/>
  <c r="G53" i="9"/>
  <c r="H53" i="9"/>
  <c r="I53" i="9"/>
  <c r="J53" i="9"/>
  <c r="K53" i="9"/>
  <c r="L53" i="9"/>
  <c r="D54" i="9"/>
  <c r="E54" i="9"/>
  <c r="F54" i="9"/>
  <c r="G54" i="9"/>
  <c r="H54" i="9"/>
  <c r="I54" i="9"/>
  <c r="J54" i="9"/>
  <c r="K54" i="9"/>
  <c r="L54" i="9"/>
  <c r="F30" i="30" l="1"/>
  <c r="T30" i="30"/>
  <c r="G30" i="30"/>
  <c r="H30" i="30"/>
  <c r="J30" i="30"/>
  <c r="R30" i="30"/>
  <c r="S30" i="30"/>
  <c r="D30" i="30"/>
  <c r="E30" i="30"/>
  <c r="A13" i="30"/>
  <c r="B14" i="30"/>
  <c r="K30" i="30"/>
  <c r="L30" i="30"/>
  <c r="M30" i="30"/>
  <c r="N30" i="30"/>
  <c r="P30" i="30"/>
  <c r="Q30" i="30"/>
  <c r="B31" i="30"/>
  <c r="A30" i="30"/>
  <c r="D63" i="8"/>
  <c r="E63" i="8"/>
  <c r="F63" i="8"/>
  <c r="G63" i="8"/>
  <c r="H63" i="8"/>
  <c r="I63" i="8"/>
  <c r="J63" i="8"/>
  <c r="K63" i="8"/>
  <c r="L63" i="8"/>
  <c r="D64" i="8"/>
  <c r="E64" i="8"/>
  <c r="F64" i="8"/>
  <c r="G64" i="8"/>
  <c r="H64" i="8"/>
  <c r="I64" i="8"/>
  <c r="J64" i="8"/>
  <c r="K64" i="8"/>
  <c r="L64" i="8"/>
  <c r="D65" i="8"/>
  <c r="E65" i="8"/>
  <c r="F65" i="8"/>
  <c r="G65" i="8"/>
  <c r="H65" i="8"/>
  <c r="I65" i="8"/>
  <c r="J65" i="8"/>
  <c r="K65" i="8"/>
  <c r="L65" i="8"/>
  <c r="D66" i="8"/>
  <c r="E66" i="8"/>
  <c r="F66" i="8"/>
  <c r="G66" i="8"/>
  <c r="H66" i="8"/>
  <c r="I66" i="8"/>
  <c r="J66" i="8"/>
  <c r="K66" i="8"/>
  <c r="L66" i="8"/>
  <c r="D67" i="8"/>
  <c r="E67" i="8"/>
  <c r="F67" i="8"/>
  <c r="G67" i="8"/>
  <c r="H67" i="8"/>
  <c r="I67" i="8"/>
  <c r="J67" i="8"/>
  <c r="K67" i="8"/>
  <c r="L67" i="8"/>
  <c r="D68" i="8"/>
  <c r="E68" i="8"/>
  <c r="F68" i="8"/>
  <c r="G68" i="8"/>
  <c r="H68" i="8"/>
  <c r="I68" i="8"/>
  <c r="J68" i="8"/>
  <c r="K68" i="8"/>
  <c r="L68" i="8"/>
  <c r="D69" i="8"/>
  <c r="E69" i="8"/>
  <c r="F69" i="8"/>
  <c r="G69" i="8"/>
  <c r="H69" i="8"/>
  <c r="I69" i="8"/>
  <c r="J69" i="8"/>
  <c r="K69" i="8"/>
  <c r="L69" i="8"/>
  <c r="D70" i="8"/>
  <c r="E70" i="8"/>
  <c r="F70" i="8"/>
  <c r="G70" i="8"/>
  <c r="H70" i="8"/>
  <c r="I70" i="8"/>
  <c r="J70" i="8"/>
  <c r="K70" i="8"/>
  <c r="L70" i="8"/>
  <c r="D71" i="8"/>
  <c r="E71" i="8"/>
  <c r="F71" i="8"/>
  <c r="G71" i="8"/>
  <c r="H71" i="8"/>
  <c r="I71" i="8"/>
  <c r="J71" i="8"/>
  <c r="K71" i="8"/>
  <c r="L71" i="8"/>
  <c r="D72" i="8"/>
  <c r="E72" i="8"/>
  <c r="F72" i="8"/>
  <c r="G72" i="8"/>
  <c r="H72" i="8"/>
  <c r="I72" i="8"/>
  <c r="J72" i="8"/>
  <c r="K72" i="8"/>
  <c r="L72" i="8"/>
  <c r="D73" i="8"/>
  <c r="E73" i="8"/>
  <c r="F73" i="8"/>
  <c r="G73" i="8"/>
  <c r="H73" i="8"/>
  <c r="I73" i="8"/>
  <c r="J73" i="8"/>
  <c r="K73" i="8"/>
  <c r="L73" i="8"/>
  <c r="D74" i="8"/>
  <c r="E74" i="8"/>
  <c r="F74" i="8"/>
  <c r="G74" i="8"/>
  <c r="H74" i="8"/>
  <c r="I74" i="8"/>
  <c r="J74" i="8"/>
  <c r="K74" i="8"/>
  <c r="L74" i="8"/>
  <c r="D75" i="8"/>
  <c r="E75" i="8"/>
  <c r="F75" i="8"/>
  <c r="G75" i="8"/>
  <c r="H75" i="8"/>
  <c r="I75" i="8"/>
  <c r="J75" i="8"/>
  <c r="K75" i="8"/>
  <c r="L75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D78" i="8"/>
  <c r="E78" i="8"/>
  <c r="F78" i="8"/>
  <c r="G78" i="8"/>
  <c r="H78" i="8"/>
  <c r="I78" i="8"/>
  <c r="J78" i="8"/>
  <c r="K78" i="8"/>
  <c r="L78" i="8"/>
  <c r="D79" i="8"/>
  <c r="E79" i="8"/>
  <c r="F79" i="8"/>
  <c r="G79" i="8"/>
  <c r="H79" i="8"/>
  <c r="I79" i="8"/>
  <c r="J79" i="8"/>
  <c r="K79" i="8"/>
  <c r="L79" i="8"/>
  <c r="D80" i="8"/>
  <c r="E80" i="8"/>
  <c r="F80" i="8"/>
  <c r="G80" i="8"/>
  <c r="H80" i="8"/>
  <c r="I80" i="8"/>
  <c r="J80" i="8"/>
  <c r="K80" i="8"/>
  <c r="L80" i="8"/>
  <c r="D81" i="8"/>
  <c r="E81" i="8"/>
  <c r="F81" i="8"/>
  <c r="G81" i="8"/>
  <c r="H81" i="8"/>
  <c r="I81" i="8"/>
  <c r="J81" i="8"/>
  <c r="K81" i="8"/>
  <c r="L81" i="8"/>
  <c r="D82" i="8"/>
  <c r="E82" i="8"/>
  <c r="F82" i="8"/>
  <c r="G82" i="8"/>
  <c r="H82" i="8"/>
  <c r="I82" i="8"/>
  <c r="J82" i="8"/>
  <c r="K82" i="8"/>
  <c r="L82" i="8"/>
  <c r="D83" i="8"/>
  <c r="E83" i="8"/>
  <c r="F83" i="8"/>
  <c r="G83" i="8"/>
  <c r="H83" i="8"/>
  <c r="I83" i="8"/>
  <c r="J83" i="8"/>
  <c r="K83" i="8"/>
  <c r="L83" i="8"/>
  <c r="D84" i="8"/>
  <c r="E84" i="8"/>
  <c r="F84" i="8"/>
  <c r="G84" i="8"/>
  <c r="H84" i="8"/>
  <c r="I84" i="8"/>
  <c r="J84" i="8"/>
  <c r="K84" i="8"/>
  <c r="L84" i="8"/>
  <c r="D33" i="8"/>
  <c r="E33" i="8"/>
  <c r="F33" i="8"/>
  <c r="G33" i="8"/>
  <c r="H33" i="8"/>
  <c r="I33" i="8"/>
  <c r="J33" i="8"/>
  <c r="K33" i="8"/>
  <c r="L33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D37" i="8"/>
  <c r="E37" i="8"/>
  <c r="F37" i="8"/>
  <c r="G37" i="8"/>
  <c r="H37" i="8"/>
  <c r="I37" i="8"/>
  <c r="J37" i="8"/>
  <c r="K37" i="8"/>
  <c r="L37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D41" i="8"/>
  <c r="E41" i="8"/>
  <c r="F41" i="8"/>
  <c r="G41" i="8"/>
  <c r="H41" i="8"/>
  <c r="I41" i="8"/>
  <c r="J41" i="8"/>
  <c r="K41" i="8"/>
  <c r="L41" i="8"/>
  <c r="D42" i="8"/>
  <c r="E42" i="8"/>
  <c r="F42" i="8"/>
  <c r="G42" i="8"/>
  <c r="H42" i="8"/>
  <c r="I42" i="8"/>
  <c r="J42" i="8"/>
  <c r="K42" i="8"/>
  <c r="L42" i="8"/>
  <c r="D43" i="8"/>
  <c r="E43" i="8"/>
  <c r="F43" i="8"/>
  <c r="G43" i="8"/>
  <c r="H43" i="8"/>
  <c r="I43" i="8"/>
  <c r="J43" i="8"/>
  <c r="K43" i="8"/>
  <c r="L43" i="8"/>
  <c r="D44" i="8"/>
  <c r="E44" i="8"/>
  <c r="F44" i="8"/>
  <c r="G44" i="8"/>
  <c r="H44" i="8"/>
  <c r="I44" i="8"/>
  <c r="J44" i="8"/>
  <c r="K44" i="8"/>
  <c r="L44" i="8"/>
  <c r="D45" i="8"/>
  <c r="E45" i="8"/>
  <c r="F45" i="8"/>
  <c r="G45" i="8"/>
  <c r="H45" i="8"/>
  <c r="I45" i="8"/>
  <c r="J45" i="8"/>
  <c r="K45" i="8"/>
  <c r="L45" i="8"/>
  <c r="D46" i="8"/>
  <c r="E46" i="8"/>
  <c r="F46" i="8"/>
  <c r="G46" i="8"/>
  <c r="H46" i="8"/>
  <c r="I46" i="8"/>
  <c r="J46" i="8"/>
  <c r="K46" i="8"/>
  <c r="L46" i="8"/>
  <c r="D47" i="8"/>
  <c r="E47" i="8"/>
  <c r="F47" i="8"/>
  <c r="G47" i="8"/>
  <c r="H47" i="8"/>
  <c r="I47" i="8"/>
  <c r="J47" i="8"/>
  <c r="K47" i="8"/>
  <c r="L47" i="8"/>
  <c r="D48" i="8"/>
  <c r="E48" i="8"/>
  <c r="F48" i="8"/>
  <c r="G48" i="8"/>
  <c r="H48" i="8"/>
  <c r="I48" i="8"/>
  <c r="J48" i="8"/>
  <c r="K48" i="8"/>
  <c r="L48" i="8"/>
  <c r="D49" i="8"/>
  <c r="E49" i="8"/>
  <c r="F49" i="8"/>
  <c r="G49" i="8"/>
  <c r="H49" i="8"/>
  <c r="I49" i="8"/>
  <c r="J49" i="8"/>
  <c r="K49" i="8"/>
  <c r="L49" i="8"/>
  <c r="D50" i="8"/>
  <c r="E50" i="8"/>
  <c r="F50" i="8"/>
  <c r="G50" i="8"/>
  <c r="H50" i="8"/>
  <c r="I50" i="8"/>
  <c r="J50" i="8"/>
  <c r="K50" i="8"/>
  <c r="L50" i="8"/>
  <c r="D51" i="8"/>
  <c r="E51" i="8"/>
  <c r="F51" i="8"/>
  <c r="G51" i="8"/>
  <c r="H51" i="8"/>
  <c r="I51" i="8"/>
  <c r="J51" i="8"/>
  <c r="K51" i="8"/>
  <c r="L51" i="8"/>
  <c r="D52" i="8"/>
  <c r="E52" i="8"/>
  <c r="F52" i="8"/>
  <c r="G52" i="8"/>
  <c r="H52" i="8"/>
  <c r="I52" i="8"/>
  <c r="J52" i="8"/>
  <c r="K52" i="8"/>
  <c r="L52" i="8"/>
  <c r="D53" i="8"/>
  <c r="E53" i="8"/>
  <c r="F53" i="8"/>
  <c r="G53" i="8"/>
  <c r="H53" i="8"/>
  <c r="I53" i="8"/>
  <c r="J53" i="8"/>
  <c r="K53" i="8"/>
  <c r="L53" i="8"/>
  <c r="D54" i="8"/>
  <c r="E54" i="8"/>
  <c r="F54" i="8"/>
  <c r="G54" i="8"/>
  <c r="H54" i="8"/>
  <c r="I54" i="8"/>
  <c r="J54" i="8"/>
  <c r="K54" i="8"/>
  <c r="L54" i="8"/>
  <c r="Q31" i="30" l="1"/>
  <c r="D31" i="30"/>
  <c r="R31" i="30"/>
  <c r="E31" i="30"/>
  <c r="S31" i="30"/>
  <c r="F31" i="30"/>
  <c r="T31" i="30"/>
  <c r="G31" i="30"/>
  <c r="H31" i="30"/>
  <c r="J31" i="30"/>
  <c r="K31" i="30"/>
  <c r="L31" i="30"/>
  <c r="A14" i="30"/>
  <c r="B15" i="30"/>
  <c r="M31" i="30"/>
  <c r="N31" i="30"/>
  <c r="P31" i="30"/>
  <c r="B32" i="30"/>
  <c r="A31" i="30"/>
  <c r="D63" i="7"/>
  <c r="E63" i="7"/>
  <c r="F63" i="7"/>
  <c r="G63" i="7"/>
  <c r="H63" i="7"/>
  <c r="I63" i="7"/>
  <c r="J63" i="7"/>
  <c r="K63" i="7"/>
  <c r="L63" i="7"/>
  <c r="D64" i="7"/>
  <c r="E64" i="7"/>
  <c r="F64" i="7"/>
  <c r="G64" i="7"/>
  <c r="H64" i="7"/>
  <c r="I64" i="7"/>
  <c r="J64" i="7"/>
  <c r="K64" i="7"/>
  <c r="L64" i="7"/>
  <c r="D65" i="7"/>
  <c r="E65" i="7"/>
  <c r="F65" i="7"/>
  <c r="G65" i="7"/>
  <c r="H65" i="7"/>
  <c r="I65" i="7"/>
  <c r="J65" i="7"/>
  <c r="K65" i="7"/>
  <c r="L65" i="7"/>
  <c r="D66" i="7"/>
  <c r="E66" i="7"/>
  <c r="F66" i="7"/>
  <c r="G66" i="7"/>
  <c r="H66" i="7"/>
  <c r="I66" i="7"/>
  <c r="J66" i="7"/>
  <c r="K66" i="7"/>
  <c r="L66" i="7"/>
  <c r="D67" i="7"/>
  <c r="E67" i="7"/>
  <c r="F67" i="7"/>
  <c r="G67" i="7"/>
  <c r="H67" i="7"/>
  <c r="I67" i="7"/>
  <c r="J67" i="7"/>
  <c r="K67" i="7"/>
  <c r="L67" i="7"/>
  <c r="D68" i="7"/>
  <c r="E68" i="7"/>
  <c r="F68" i="7"/>
  <c r="G68" i="7"/>
  <c r="H68" i="7"/>
  <c r="I68" i="7"/>
  <c r="J68" i="7"/>
  <c r="K68" i="7"/>
  <c r="L68" i="7"/>
  <c r="D69" i="7"/>
  <c r="E69" i="7"/>
  <c r="F69" i="7"/>
  <c r="G69" i="7"/>
  <c r="H69" i="7"/>
  <c r="I69" i="7"/>
  <c r="J69" i="7"/>
  <c r="K69" i="7"/>
  <c r="L69" i="7"/>
  <c r="D70" i="7"/>
  <c r="E70" i="7"/>
  <c r="F70" i="7"/>
  <c r="G70" i="7"/>
  <c r="H70" i="7"/>
  <c r="I70" i="7"/>
  <c r="J70" i="7"/>
  <c r="K70" i="7"/>
  <c r="L70" i="7"/>
  <c r="D71" i="7"/>
  <c r="E71" i="7"/>
  <c r="F71" i="7"/>
  <c r="G71" i="7"/>
  <c r="H71" i="7"/>
  <c r="I71" i="7"/>
  <c r="J71" i="7"/>
  <c r="K71" i="7"/>
  <c r="L71" i="7"/>
  <c r="D72" i="7"/>
  <c r="E72" i="7"/>
  <c r="F72" i="7"/>
  <c r="G72" i="7"/>
  <c r="H72" i="7"/>
  <c r="I72" i="7"/>
  <c r="J72" i="7"/>
  <c r="K72" i="7"/>
  <c r="L72" i="7"/>
  <c r="D73" i="7"/>
  <c r="E73" i="7"/>
  <c r="F73" i="7"/>
  <c r="G73" i="7"/>
  <c r="H73" i="7"/>
  <c r="I73" i="7"/>
  <c r="J73" i="7"/>
  <c r="K73" i="7"/>
  <c r="L73" i="7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D76" i="7"/>
  <c r="E76" i="7"/>
  <c r="F76" i="7"/>
  <c r="G76" i="7"/>
  <c r="H76" i="7"/>
  <c r="I76" i="7"/>
  <c r="J76" i="7"/>
  <c r="K76" i="7"/>
  <c r="L76" i="7"/>
  <c r="D77" i="7"/>
  <c r="E77" i="7"/>
  <c r="F77" i="7"/>
  <c r="G77" i="7"/>
  <c r="H77" i="7"/>
  <c r="I77" i="7"/>
  <c r="J77" i="7"/>
  <c r="K77" i="7"/>
  <c r="L77" i="7"/>
  <c r="D78" i="7"/>
  <c r="E78" i="7"/>
  <c r="F78" i="7"/>
  <c r="G78" i="7"/>
  <c r="H78" i="7"/>
  <c r="I78" i="7"/>
  <c r="J78" i="7"/>
  <c r="K78" i="7"/>
  <c r="L78" i="7"/>
  <c r="D79" i="7"/>
  <c r="E79" i="7"/>
  <c r="F79" i="7"/>
  <c r="G79" i="7"/>
  <c r="H79" i="7"/>
  <c r="I79" i="7"/>
  <c r="J79" i="7"/>
  <c r="K79" i="7"/>
  <c r="L79" i="7"/>
  <c r="D80" i="7"/>
  <c r="E80" i="7"/>
  <c r="F80" i="7"/>
  <c r="G80" i="7"/>
  <c r="H80" i="7"/>
  <c r="I80" i="7"/>
  <c r="J80" i="7"/>
  <c r="K80" i="7"/>
  <c r="L80" i="7"/>
  <c r="D81" i="7"/>
  <c r="E81" i="7"/>
  <c r="F81" i="7"/>
  <c r="G81" i="7"/>
  <c r="H81" i="7"/>
  <c r="I81" i="7"/>
  <c r="J81" i="7"/>
  <c r="K81" i="7"/>
  <c r="L81" i="7"/>
  <c r="D82" i="7"/>
  <c r="E82" i="7"/>
  <c r="F82" i="7"/>
  <c r="G82" i="7"/>
  <c r="H82" i="7"/>
  <c r="I82" i="7"/>
  <c r="J82" i="7"/>
  <c r="K82" i="7"/>
  <c r="L82" i="7"/>
  <c r="D83" i="7"/>
  <c r="E83" i="7"/>
  <c r="F83" i="7"/>
  <c r="G83" i="7"/>
  <c r="H83" i="7"/>
  <c r="I83" i="7"/>
  <c r="J83" i="7"/>
  <c r="K83" i="7"/>
  <c r="L83" i="7"/>
  <c r="D84" i="7"/>
  <c r="E84" i="7"/>
  <c r="F84" i="7"/>
  <c r="G84" i="7"/>
  <c r="H84" i="7"/>
  <c r="I84" i="7"/>
  <c r="J84" i="7"/>
  <c r="K84" i="7"/>
  <c r="L84" i="7"/>
  <c r="D33" i="7"/>
  <c r="E33" i="7"/>
  <c r="F33" i="7"/>
  <c r="G33" i="7"/>
  <c r="H33" i="7"/>
  <c r="I33" i="7"/>
  <c r="J33" i="7"/>
  <c r="K33" i="7"/>
  <c r="L33" i="7"/>
  <c r="D34" i="7"/>
  <c r="E34" i="7"/>
  <c r="F34" i="7"/>
  <c r="G34" i="7"/>
  <c r="H34" i="7"/>
  <c r="I34" i="7"/>
  <c r="J34" i="7"/>
  <c r="K34" i="7"/>
  <c r="L34" i="7"/>
  <c r="D35" i="7"/>
  <c r="E35" i="7"/>
  <c r="F35" i="7"/>
  <c r="G35" i="7"/>
  <c r="H35" i="7"/>
  <c r="I35" i="7"/>
  <c r="J35" i="7"/>
  <c r="K35" i="7"/>
  <c r="L35" i="7"/>
  <c r="D36" i="7"/>
  <c r="E36" i="7"/>
  <c r="F36" i="7"/>
  <c r="G36" i="7"/>
  <c r="H36" i="7"/>
  <c r="I36" i="7"/>
  <c r="J36" i="7"/>
  <c r="K36" i="7"/>
  <c r="L36" i="7"/>
  <c r="D37" i="7"/>
  <c r="E37" i="7"/>
  <c r="F37" i="7"/>
  <c r="G37" i="7"/>
  <c r="H37" i="7"/>
  <c r="I37" i="7"/>
  <c r="J37" i="7"/>
  <c r="K37" i="7"/>
  <c r="L37" i="7"/>
  <c r="D38" i="7"/>
  <c r="E38" i="7"/>
  <c r="F38" i="7"/>
  <c r="G38" i="7"/>
  <c r="H38" i="7"/>
  <c r="I38" i="7"/>
  <c r="J38" i="7"/>
  <c r="K38" i="7"/>
  <c r="L38" i="7"/>
  <c r="D39" i="7"/>
  <c r="E39" i="7"/>
  <c r="F39" i="7"/>
  <c r="G39" i="7"/>
  <c r="H39" i="7"/>
  <c r="I39" i="7"/>
  <c r="J39" i="7"/>
  <c r="K39" i="7"/>
  <c r="L39" i="7"/>
  <c r="D40" i="7"/>
  <c r="E40" i="7"/>
  <c r="F40" i="7"/>
  <c r="G40" i="7"/>
  <c r="H40" i="7"/>
  <c r="I40" i="7"/>
  <c r="J40" i="7"/>
  <c r="K40" i="7"/>
  <c r="L40" i="7"/>
  <c r="D41" i="7"/>
  <c r="E41" i="7"/>
  <c r="F41" i="7"/>
  <c r="G41" i="7"/>
  <c r="H41" i="7"/>
  <c r="I41" i="7"/>
  <c r="J41" i="7"/>
  <c r="K41" i="7"/>
  <c r="L41" i="7"/>
  <c r="D42" i="7"/>
  <c r="E42" i="7"/>
  <c r="F42" i="7"/>
  <c r="G42" i="7"/>
  <c r="H42" i="7"/>
  <c r="I42" i="7"/>
  <c r="J42" i="7"/>
  <c r="K42" i="7"/>
  <c r="L42" i="7"/>
  <c r="D43" i="7"/>
  <c r="E43" i="7"/>
  <c r="F43" i="7"/>
  <c r="G43" i="7"/>
  <c r="H43" i="7"/>
  <c r="I43" i="7"/>
  <c r="J43" i="7"/>
  <c r="K43" i="7"/>
  <c r="L43" i="7"/>
  <c r="D44" i="7"/>
  <c r="E44" i="7"/>
  <c r="F44" i="7"/>
  <c r="G44" i="7"/>
  <c r="H44" i="7"/>
  <c r="I44" i="7"/>
  <c r="J44" i="7"/>
  <c r="K44" i="7"/>
  <c r="L44" i="7"/>
  <c r="D45" i="7"/>
  <c r="E45" i="7"/>
  <c r="F45" i="7"/>
  <c r="G45" i="7"/>
  <c r="H45" i="7"/>
  <c r="I45" i="7"/>
  <c r="J45" i="7"/>
  <c r="K45" i="7"/>
  <c r="L45" i="7"/>
  <c r="D46" i="7"/>
  <c r="E46" i="7"/>
  <c r="F46" i="7"/>
  <c r="G46" i="7"/>
  <c r="H46" i="7"/>
  <c r="I46" i="7"/>
  <c r="J46" i="7"/>
  <c r="K46" i="7"/>
  <c r="L46" i="7"/>
  <c r="D47" i="7"/>
  <c r="E47" i="7"/>
  <c r="F47" i="7"/>
  <c r="G47" i="7"/>
  <c r="H47" i="7"/>
  <c r="I47" i="7"/>
  <c r="J47" i="7"/>
  <c r="K47" i="7"/>
  <c r="L47" i="7"/>
  <c r="D48" i="7"/>
  <c r="E48" i="7"/>
  <c r="F48" i="7"/>
  <c r="G48" i="7"/>
  <c r="H48" i="7"/>
  <c r="I48" i="7"/>
  <c r="J48" i="7"/>
  <c r="K48" i="7"/>
  <c r="L48" i="7"/>
  <c r="D49" i="7"/>
  <c r="E49" i="7"/>
  <c r="F49" i="7"/>
  <c r="G49" i="7"/>
  <c r="H49" i="7"/>
  <c r="I49" i="7"/>
  <c r="J49" i="7"/>
  <c r="K49" i="7"/>
  <c r="L49" i="7"/>
  <c r="D50" i="7"/>
  <c r="E50" i="7"/>
  <c r="F50" i="7"/>
  <c r="G50" i="7"/>
  <c r="H50" i="7"/>
  <c r="I50" i="7"/>
  <c r="J50" i="7"/>
  <c r="K50" i="7"/>
  <c r="L50" i="7"/>
  <c r="D51" i="7"/>
  <c r="E51" i="7"/>
  <c r="F51" i="7"/>
  <c r="G51" i="7"/>
  <c r="H51" i="7"/>
  <c r="I51" i="7"/>
  <c r="J51" i="7"/>
  <c r="K51" i="7"/>
  <c r="L51" i="7"/>
  <c r="D52" i="7"/>
  <c r="E52" i="7"/>
  <c r="F52" i="7"/>
  <c r="G52" i="7"/>
  <c r="H52" i="7"/>
  <c r="I52" i="7"/>
  <c r="J52" i="7"/>
  <c r="K52" i="7"/>
  <c r="L52" i="7"/>
  <c r="D53" i="7"/>
  <c r="E53" i="7"/>
  <c r="F53" i="7"/>
  <c r="G53" i="7"/>
  <c r="H53" i="7"/>
  <c r="I53" i="7"/>
  <c r="J53" i="7"/>
  <c r="K53" i="7"/>
  <c r="L53" i="7"/>
  <c r="D54" i="7"/>
  <c r="E54" i="7"/>
  <c r="F54" i="7"/>
  <c r="G54" i="7"/>
  <c r="H54" i="7"/>
  <c r="I54" i="7"/>
  <c r="J54" i="7"/>
  <c r="K54" i="7"/>
  <c r="L54" i="7"/>
  <c r="M32" i="30" l="1"/>
  <c r="N32" i="30"/>
  <c r="P32" i="30"/>
  <c r="Q32" i="30"/>
  <c r="F32" i="30"/>
  <c r="G32" i="30"/>
  <c r="H32" i="30"/>
  <c r="J32" i="30"/>
  <c r="K32" i="30"/>
  <c r="L32" i="30"/>
  <c r="R32" i="30"/>
  <c r="E32" i="30"/>
  <c r="S32" i="30"/>
  <c r="B16" i="30"/>
  <c r="T32" i="30"/>
  <c r="A15" i="30"/>
  <c r="D32" i="30"/>
  <c r="B33" i="30"/>
  <c r="A32" i="30"/>
  <c r="D63" i="10"/>
  <c r="E63" i="10"/>
  <c r="F63" i="10"/>
  <c r="G63" i="10"/>
  <c r="H63" i="10"/>
  <c r="I63" i="10"/>
  <c r="J63" i="10"/>
  <c r="K63" i="10"/>
  <c r="L63" i="10"/>
  <c r="D64" i="10"/>
  <c r="E64" i="10"/>
  <c r="F64" i="10"/>
  <c r="G64" i="10"/>
  <c r="H64" i="10"/>
  <c r="I64" i="10"/>
  <c r="J64" i="10"/>
  <c r="K64" i="10"/>
  <c r="L64" i="10"/>
  <c r="D65" i="10"/>
  <c r="E65" i="10"/>
  <c r="F65" i="10"/>
  <c r="G65" i="10"/>
  <c r="H65" i="10"/>
  <c r="I65" i="10"/>
  <c r="J65" i="10"/>
  <c r="K65" i="10"/>
  <c r="L65" i="10"/>
  <c r="D66" i="10"/>
  <c r="E66" i="10"/>
  <c r="F66" i="10"/>
  <c r="G66" i="10"/>
  <c r="H66" i="10"/>
  <c r="I66" i="10"/>
  <c r="J66" i="10"/>
  <c r="K66" i="10"/>
  <c r="L66" i="10"/>
  <c r="D67" i="10"/>
  <c r="E67" i="10"/>
  <c r="F67" i="10"/>
  <c r="G67" i="10"/>
  <c r="H67" i="10"/>
  <c r="I67" i="10"/>
  <c r="J67" i="10"/>
  <c r="K67" i="10"/>
  <c r="L67" i="10"/>
  <c r="D68" i="10"/>
  <c r="E68" i="10"/>
  <c r="F68" i="10"/>
  <c r="G68" i="10"/>
  <c r="H68" i="10"/>
  <c r="I68" i="10"/>
  <c r="J68" i="10"/>
  <c r="K68" i="10"/>
  <c r="L68" i="10"/>
  <c r="D69" i="10"/>
  <c r="E69" i="10"/>
  <c r="F69" i="10"/>
  <c r="G69" i="10"/>
  <c r="H69" i="10"/>
  <c r="I69" i="10"/>
  <c r="J69" i="10"/>
  <c r="K69" i="10"/>
  <c r="L69" i="10"/>
  <c r="D70" i="10"/>
  <c r="E70" i="10"/>
  <c r="F70" i="10"/>
  <c r="G70" i="10"/>
  <c r="H70" i="10"/>
  <c r="I70" i="10"/>
  <c r="J70" i="10"/>
  <c r="K70" i="10"/>
  <c r="L70" i="10"/>
  <c r="D71" i="10"/>
  <c r="E71" i="10"/>
  <c r="F71" i="10"/>
  <c r="G71" i="10"/>
  <c r="H71" i="10"/>
  <c r="I71" i="10"/>
  <c r="J71" i="10"/>
  <c r="K71" i="10"/>
  <c r="L71" i="10"/>
  <c r="D72" i="10"/>
  <c r="E72" i="10"/>
  <c r="F72" i="10"/>
  <c r="G72" i="10"/>
  <c r="H72" i="10"/>
  <c r="I72" i="10"/>
  <c r="J72" i="10"/>
  <c r="K72" i="10"/>
  <c r="L72" i="10"/>
  <c r="D73" i="10"/>
  <c r="E73" i="10"/>
  <c r="F73" i="10"/>
  <c r="G73" i="10"/>
  <c r="H73" i="10"/>
  <c r="I73" i="10"/>
  <c r="J73" i="10"/>
  <c r="K73" i="10"/>
  <c r="L73" i="10"/>
  <c r="D74" i="10"/>
  <c r="E74" i="10"/>
  <c r="F74" i="10"/>
  <c r="G74" i="10"/>
  <c r="H74" i="10"/>
  <c r="I74" i="10"/>
  <c r="J74" i="10"/>
  <c r="K74" i="10"/>
  <c r="L74" i="10"/>
  <c r="D75" i="10"/>
  <c r="E75" i="10"/>
  <c r="F75" i="10"/>
  <c r="G75" i="10"/>
  <c r="H75" i="10"/>
  <c r="I75" i="10"/>
  <c r="J75" i="10"/>
  <c r="K75" i="10"/>
  <c r="L75" i="10"/>
  <c r="D76" i="10"/>
  <c r="E76" i="10"/>
  <c r="F76" i="10"/>
  <c r="G76" i="10"/>
  <c r="H76" i="10"/>
  <c r="I76" i="10"/>
  <c r="J76" i="10"/>
  <c r="K76" i="10"/>
  <c r="L76" i="10"/>
  <c r="D77" i="10"/>
  <c r="E77" i="10"/>
  <c r="F77" i="10"/>
  <c r="G77" i="10"/>
  <c r="H77" i="10"/>
  <c r="I77" i="10"/>
  <c r="J77" i="10"/>
  <c r="K77" i="10"/>
  <c r="L77" i="10"/>
  <c r="D78" i="10"/>
  <c r="E78" i="10"/>
  <c r="F78" i="10"/>
  <c r="G78" i="10"/>
  <c r="H78" i="10"/>
  <c r="I78" i="10"/>
  <c r="J78" i="10"/>
  <c r="K78" i="10"/>
  <c r="L78" i="10"/>
  <c r="D79" i="10"/>
  <c r="E79" i="10"/>
  <c r="F79" i="10"/>
  <c r="G79" i="10"/>
  <c r="H79" i="10"/>
  <c r="I79" i="10"/>
  <c r="J79" i="10"/>
  <c r="K79" i="10"/>
  <c r="L79" i="10"/>
  <c r="D80" i="10"/>
  <c r="E80" i="10"/>
  <c r="F80" i="10"/>
  <c r="G80" i="10"/>
  <c r="H80" i="10"/>
  <c r="I80" i="10"/>
  <c r="J80" i="10"/>
  <c r="K80" i="10"/>
  <c r="L80" i="10"/>
  <c r="D81" i="10"/>
  <c r="E81" i="10"/>
  <c r="F81" i="10"/>
  <c r="G81" i="10"/>
  <c r="H81" i="10"/>
  <c r="I81" i="10"/>
  <c r="J81" i="10"/>
  <c r="K81" i="10"/>
  <c r="L81" i="10"/>
  <c r="D82" i="10"/>
  <c r="E82" i="10"/>
  <c r="F82" i="10"/>
  <c r="G82" i="10"/>
  <c r="H82" i="10"/>
  <c r="I82" i="10"/>
  <c r="J82" i="10"/>
  <c r="K82" i="10"/>
  <c r="L82" i="10"/>
  <c r="D83" i="10"/>
  <c r="E83" i="10"/>
  <c r="F83" i="10"/>
  <c r="G83" i="10"/>
  <c r="H83" i="10"/>
  <c r="I83" i="10"/>
  <c r="J83" i="10"/>
  <c r="K83" i="10"/>
  <c r="L83" i="10"/>
  <c r="D84" i="10"/>
  <c r="E84" i="10"/>
  <c r="F84" i="10"/>
  <c r="G84" i="10"/>
  <c r="H84" i="10"/>
  <c r="I84" i="10"/>
  <c r="J84" i="10"/>
  <c r="K84" i="10"/>
  <c r="L84" i="10"/>
  <c r="D33" i="10"/>
  <c r="E33" i="10"/>
  <c r="F33" i="10"/>
  <c r="G33" i="10"/>
  <c r="H33" i="10"/>
  <c r="I33" i="10"/>
  <c r="J33" i="10"/>
  <c r="K33" i="10"/>
  <c r="L33" i="10"/>
  <c r="D34" i="10"/>
  <c r="E34" i="10"/>
  <c r="F34" i="10"/>
  <c r="G34" i="10"/>
  <c r="H34" i="10"/>
  <c r="I34" i="10"/>
  <c r="J34" i="10"/>
  <c r="K34" i="10"/>
  <c r="L34" i="10"/>
  <c r="D35" i="10"/>
  <c r="E35" i="10"/>
  <c r="F35" i="10"/>
  <c r="G35" i="10"/>
  <c r="H35" i="10"/>
  <c r="I35" i="10"/>
  <c r="J35" i="10"/>
  <c r="K35" i="10"/>
  <c r="L35" i="10"/>
  <c r="D36" i="10"/>
  <c r="E36" i="10"/>
  <c r="F36" i="10"/>
  <c r="G36" i="10"/>
  <c r="H36" i="10"/>
  <c r="I36" i="10"/>
  <c r="J36" i="10"/>
  <c r="K36" i="10"/>
  <c r="L36" i="10"/>
  <c r="D37" i="10"/>
  <c r="E37" i="10"/>
  <c r="F37" i="10"/>
  <c r="G37" i="10"/>
  <c r="H37" i="10"/>
  <c r="I37" i="10"/>
  <c r="J37" i="10"/>
  <c r="K37" i="10"/>
  <c r="L37" i="10"/>
  <c r="D38" i="10"/>
  <c r="E38" i="10"/>
  <c r="F38" i="10"/>
  <c r="G38" i="10"/>
  <c r="H38" i="10"/>
  <c r="I38" i="10"/>
  <c r="J38" i="10"/>
  <c r="K38" i="10"/>
  <c r="L38" i="10"/>
  <c r="D39" i="10"/>
  <c r="E39" i="10"/>
  <c r="F39" i="10"/>
  <c r="G39" i="10"/>
  <c r="H39" i="10"/>
  <c r="I39" i="10"/>
  <c r="J39" i="10"/>
  <c r="K39" i="10"/>
  <c r="L39" i="10"/>
  <c r="D40" i="10"/>
  <c r="E40" i="10"/>
  <c r="F40" i="10"/>
  <c r="G40" i="10"/>
  <c r="H40" i="10"/>
  <c r="I40" i="10"/>
  <c r="J40" i="10"/>
  <c r="K40" i="10"/>
  <c r="L40" i="10"/>
  <c r="D41" i="10"/>
  <c r="E41" i="10"/>
  <c r="F41" i="10"/>
  <c r="G41" i="10"/>
  <c r="H41" i="10"/>
  <c r="I41" i="10"/>
  <c r="J41" i="10"/>
  <c r="K41" i="10"/>
  <c r="L41" i="10"/>
  <c r="D42" i="10"/>
  <c r="E42" i="10"/>
  <c r="F42" i="10"/>
  <c r="G42" i="10"/>
  <c r="H42" i="10"/>
  <c r="I42" i="10"/>
  <c r="J42" i="10"/>
  <c r="K42" i="10"/>
  <c r="L42" i="10"/>
  <c r="D43" i="10"/>
  <c r="E43" i="10"/>
  <c r="F43" i="10"/>
  <c r="G43" i="10"/>
  <c r="H43" i="10"/>
  <c r="I43" i="10"/>
  <c r="J43" i="10"/>
  <c r="K43" i="10"/>
  <c r="L43" i="10"/>
  <c r="D44" i="10"/>
  <c r="E44" i="10"/>
  <c r="F44" i="10"/>
  <c r="G44" i="10"/>
  <c r="H44" i="10"/>
  <c r="I44" i="10"/>
  <c r="J44" i="10"/>
  <c r="K44" i="10"/>
  <c r="L44" i="10"/>
  <c r="D45" i="10"/>
  <c r="E45" i="10"/>
  <c r="F45" i="10"/>
  <c r="G45" i="10"/>
  <c r="H45" i="10"/>
  <c r="I45" i="10"/>
  <c r="J45" i="10"/>
  <c r="K45" i="10"/>
  <c r="L45" i="10"/>
  <c r="D46" i="10"/>
  <c r="E46" i="10"/>
  <c r="F46" i="10"/>
  <c r="G46" i="10"/>
  <c r="H46" i="10"/>
  <c r="I46" i="10"/>
  <c r="J46" i="10"/>
  <c r="K46" i="10"/>
  <c r="L46" i="10"/>
  <c r="D47" i="10"/>
  <c r="E47" i="10"/>
  <c r="F47" i="10"/>
  <c r="G47" i="10"/>
  <c r="H47" i="10"/>
  <c r="I47" i="10"/>
  <c r="J47" i="10"/>
  <c r="K47" i="10"/>
  <c r="L47" i="10"/>
  <c r="D48" i="10"/>
  <c r="E48" i="10"/>
  <c r="F48" i="10"/>
  <c r="G48" i="10"/>
  <c r="H48" i="10"/>
  <c r="I48" i="10"/>
  <c r="J48" i="10"/>
  <c r="K48" i="10"/>
  <c r="L48" i="10"/>
  <c r="D49" i="10"/>
  <c r="E49" i="10"/>
  <c r="F49" i="10"/>
  <c r="G49" i="10"/>
  <c r="H49" i="10"/>
  <c r="I49" i="10"/>
  <c r="J49" i="10"/>
  <c r="K49" i="10"/>
  <c r="L49" i="10"/>
  <c r="D50" i="10"/>
  <c r="E50" i="10"/>
  <c r="F50" i="10"/>
  <c r="G50" i="10"/>
  <c r="H50" i="10"/>
  <c r="I50" i="10"/>
  <c r="J50" i="10"/>
  <c r="K50" i="10"/>
  <c r="L50" i="10"/>
  <c r="D51" i="10"/>
  <c r="E51" i="10"/>
  <c r="F51" i="10"/>
  <c r="G51" i="10"/>
  <c r="H51" i="10"/>
  <c r="I51" i="10"/>
  <c r="J51" i="10"/>
  <c r="K51" i="10"/>
  <c r="L51" i="10"/>
  <c r="D52" i="10"/>
  <c r="E52" i="10"/>
  <c r="F52" i="10"/>
  <c r="G52" i="10"/>
  <c r="H52" i="10"/>
  <c r="I52" i="10"/>
  <c r="J52" i="10"/>
  <c r="K52" i="10"/>
  <c r="L52" i="10"/>
  <c r="D53" i="10"/>
  <c r="E53" i="10"/>
  <c r="F53" i="10"/>
  <c r="G53" i="10"/>
  <c r="H53" i="10"/>
  <c r="I53" i="10"/>
  <c r="J53" i="10"/>
  <c r="K53" i="10"/>
  <c r="L53" i="10"/>
  <c r="D54" i="10"/>
  <c r="E54" i="10"/>
  <c r="F54" i="10"/>
  <c r="G54" i="10"/>
  <c r="H54" i="10"/>
  <c r="I54" i="10"/>
  <c r="J54" i="10"/>
  <c r="K54" i="10"/>
  <c r="L54" i="10"/>
  <c r="B17" i="30" l="1"/>
  <c r="J33" i="30"/>
  <c r="K33" i="30"/>
  <c r="L33" i="30"/>
  <c r="M33" i="30"/>
  <c r="G33" i="30"/>
  <c r="H33" i="30"/>
  <c r="N33" i="30"/>
  <c r="D33" i="30"/>
  <c r="E33" i="30"/>
  <c r="F33" i="30"/>
  <c r="A16" i="30"/>
  <c r="B34" i="30"/>
  <c r="A33" i="30"/>
  <c r="E63" i="1"/>
  <c r="F63" i="1"/>
  <c r="G63" i="1"/>
  <c r="H63" i="1"/>
  <c r="I63" i="1"/>
  <c r="J63" i="1"/>
  <c r="K63" i="1"/>
  <c r="L63" i="1"/>
  <c r="D64" i="1"/>
  <c r="E64" i="1"/>
  <c r="F64" i="1"/>
  <c r="G64" i="1"/>
  <c r="H64" i="1"/>
  <c r="I64" i="1"/>
  <c r="J64" i="1"/>
  <c r="K64" i="1"/>
  <c r="L64" i="1"/>
  <c r="D65" i="1"/>
  <c r="E65" i="1"/>
  <c r="F65" i="1"/>
  <c r="G65" i="1"/>
  <c r="H65" i="1"/>
  <c r="I65" i="1"/>
  <c r="J65" i="1"/>
  <c r="K65" i="1"/>
  <c r="L65" i="1"/>
  <c r="D66" i="1"/>
  <c r="E66" i="1"/>
  <c r="F66" i="1"/>
  <c r="G66" i="1"/>
  <c r="H66" i="1"/>
  <c r="I66" i="1"/>
  <c r="J66" i="1"/>
  <c r="K66" i="1"/>
  <c r="L66" i="1"/>
  <c r="D67" i="1"/>
  <c r="E67" i="1"/>
  <c r="F67" i="1"/>
  <c r="G67" i="1"/>
  <c r="H67" i="1"/>
  <c r="I67" i="1"/>
  <c r="J67" i="1"/>
  <c r="K67" i="1"/>
  <c r="L67" i="1"/>
  <c r="D68" i="1"/>
  <c r="E68" i="1"/>
  <c r="F68" i="1"/>
  <c r="G68" i="1"/>
  <c r="H68" i="1"/>
  <c r="I68" i="1"/>
  <c r="J68" i="1"/>
  <c r="K68" i="1"/>
  <c r="L68" i="1"/>
  <c r="D69" i="1"/>
  <c r="E69" i="1"/>
  <c r="F69" i="1"/>
  <c r="G69" i="1"/>
  <c r="H69" i="1"/>
  <c r="I69" i="1"/>
  <c r="J69" i="1"/>
  <c r="K69" i="1"/>
  <c r="L69" i="1"/>
  <c r="D70" i="1"/>
  <c r="E70" i="1"/>
  <c r="F70" i="1"/>
  <c r="G70" i="1"/>
  <c r="H70" i="1"/>
  <c r="I70" i="1"/>
  <c r="J70" i="1"/>
  <c r="K70" i="1"/>
  <c r="L70" i="1"/>
  <c r="D71" i="1"/>
  <c r="E71" i="1"/>
  <c r="F71" i="1"/>
  <c r="G71" i="1"/>
  <c r="H71" i="1"/>
  <c r="I71" i="1"/>
  <c r="J71" i="1"/>
  <c r="K71" i="1"/>
  <c r="L71" i="1"/>
  <c r="D72" i="1"/>
  <c r="E72" i="1"/>
  <c r="F72" i="1"/>
  <c r="G72" i="1"/>
  <c r="H72" i="1"/>
  <c r="I72" i="1"/>
  <c r="J72" i="1"/>
  <c r="K72" i="1"/>
  <c r="L72" i="1"/>
  <c r="D73" i="1"/>
  <c r="E73" i="1"/>
  <c r="F73" i="1"/>
  <c r="G73" i="1"/>
  <c r="H73" i="1"/>
  <c r="I73" i="1"/>
  <c r="J73" i="1"/>
  <c r="K73" i="1"/>
  <c r="L73" i="1"/>
  <c r="D74" i="1"/>
  <c r="E74" i="1"/>
  <c r="F74" i="1"/>
  <c r="G74" i="1"/>
  <c r="H74" i="1"/>
  <c r="I74" i="1"/>
  <c r="J74" i="1"/>
  <c r="K74" i="1"/>
  <c r="L74" i="1"/>
  <c r="D75" i="1"/>
  <c r="E75" i="1"/>
  <c r="F75" i="1"/>
  <c r="G75" i="1"/>
  <c r="H75" i="1"/>
  <c r="I75" i="1"/>
  <c r="J75" i="1"/>
  <c r="K75" i="1"/>
  <c r="L75" i="1"/>
  <c r="D76" i="1"/>
  <c r="E76" i="1"/>
  <c r="F76" i="1"/>
  <c r="G76" i="1"/>
  <c r="H76" i="1"/>
  <c r="I76" i="1"/>
  <c r="J76" i="1"/>
  <c r="K76" i="1"/>
  <c r="L76" i="1"/>
  <c r="D77" i="1"/>
  <c r="E77" i="1"/>
  <c r="F77" i="1"/>
  <c r="G77" i="1"/>
  <c r="H77" i="1"/>
  <c r="I77" i="1"/>
  <c r="J77" i="1"/>
  <c r="K77" i="1"/>
  <c r="L77" i="1"/>
  <c r="D78" i="1"/>
  <c r="E78" i="1"/>
  <c r="F78" i="1"/>
  <c r="G78" i="1"/>
  <c r="H78" i="1"/>
  <c r="I78" i="1"/>
  <c r="J78" i="1"/>
  <c r="K78" i="1"/>
  <c r="L78" i="1"/>
  <c r="D79" i="1"/>
  <c r="E79" i="1"/>
  <c r="F79" i="1"/>
  <c r="G79" i="1"/>
  <c r="H79" i="1"/>
  <c r="I79" i="1"/>
  <c r="J79" i="1"/>
  <c r="K79" i="1"/>
  <c r="L79" i="1"/>
  <c r="D80" i="1"/>
  <c r="E80" i="1"/>
  <c r="F80" i="1"/>
  <c r="G80" i="1"/>
  <c r="H80" i="1"/>
  <c r="I80" i="1"/>
  <c r="J80" i="1"/>
  <c r="K80" i="1"/>
  <c r="L80" i="1"/>
  <c r="D81" i="1"/>
  <c r="E81" i="1"/>
  <c r="F81" i="1"/>
  <c r="G81" i="1"/>
  <c r="H81" i="1"/>
  <c r="I81" i="1"/>
  <c r="J81" i="1"/>
  <c r="K81" i="1"/>
  <c r="L81" i="1"/>
  <c r="D82" i="1"/>
  <c r="E82" i="1"/>
  <c r="F82" i="1"/>
  <c r="G82" i="1"/>
  <c r="H82" i="1"/>
  <c r="I82" i="1"/>
  <c r="J82" i="1"/>
  <c r="K82" i="1"/>
  <c r="L82" i="1"/>
  <c r="D83" i="1"/>
  <c r="E83" i="1"/>
  <c r="F83" i="1"/>
  <c r="G83" i="1"/>
  <c r="H83" i="1"/>
  <c r="I83" i="1"/>
  <c r="J83" i="1"/>
  <c r="K83" i="1"/>
  <c r="L83" i="1"/>
  <c r="D84" i="1"/>
  <c r="E84" i="1"/>
  <c r="F84" i="1"/>
  <c r="G84" i="1"/>
  <c r="H84" i="1"/>
  <c r="I84" i="1"/>
  <c r="J84" i="1"/>
  <c r="K84" i="1"/>
  <c r="L84" i="1"/>
  <c r="D33" i="1"/>
  <c r="E33" i="1"/>
  <c r="F33" i="1"/>
  <c r="G33" i="1"/>
  <c r="H33" i="1"/>
  <c r="I33" i="1"/>
  <c r="J33" i="1"/>
  <c r="K33" i="1"/>
  <c r="L33" i="1"/>
  <c r="D34" i="1"/>
  <c r="E34" i="1"/>
  <c r="F34" i="1"/>
  <c r="G34" i="1"/>
  <c r="H34" i="1"/>
  <c r="I34" i="1"/>
  <c r="J34" i="1"/>
  <c r="K34" i="1"/>
  <c r="L34" i="1"/>
  <c r="D35" i="1"/>
  <c r="E35" i="1"/>
  <c r="F35" i="1"/>
  <c r="G35" i="1"/>
  <c r="H35" i="1"/>
  <c r="I35" i="1"/>
  <c r="J35" i="1"/>
  <c r="K35" i="1"/>
  <c r="L35" i="1"/>
  <c r="D36" i="1"/>
  <c r="E36" i="1"/>
  <c r="F36" i="1"/>
  <c r="G36" i="1"/>
  <c r="H36" i="1"/>
  <c r="I36" i="1"/>
  <c r="J36" i="1"/>
  <c r="K36" i="1"/>
  <c r="L36" i="1"/>
  <c r="D37" i="1"/>
  <c r="E37" i="1"/>
  <c r="F37" i="1"/>
  <c r="G37" i="1"/>
  <c r="H37" i="1"/>
  <c r="I37" i="1"/>
  <c r="J37" i="1"/>
  <c r="K37" i="1"/>
  <c r="L37" i="1"/>
  <c r="D38" i="1"/>
  <c r="E38" i="1"/>
  <c r="F38" i="1"/>
  <c r="G38" i="1"/>
  <c r="H38" i="1"/>
  <c r="I38" i="1"/>
  <c r="J38" i="1"/>
  <c r="K38" i="1"/>
  <c r="L38" i="1"/>
  <c r="D39" i="1"/>
  <c r="E39" i="1"/>
  <c r="F39" i="1"/>
  <c r="G39" i="1"/>
  <c r="H39" i="1"/>
  <c r="I39" i="1"/>
  <c r="J39" i="1"/>
  <c r="K39" i="1"/>
  <c r="L39" i="1"/>
  <c r="D40" i="1"/>
  <c r="E40" i="1"/>
  <c r="F40" i="1"/>
  <c r="G40" i="1"/>
  <c r="H40" i="1"/>
  <c r="I40" i="1"/>
  <c r="J40" i="1"/>
  <c r="K40" i="1"/>
  <c r="L40" i="1"/>
  <c r="D41" i="1"/>
  <c r="E41" i="1"/>
  <c r="F41" i="1"/>
  <c r="G41" i="1"/>
  <c r="H41" i="1"/>
  <c r="I41" i="1"/>
  <c r="J41" i="1"/>
  <c r="K41" i="1"/>
  <c r="L41" i="1"/>
  <c r="D42" i="1"/>
  <c r="E42" i="1"/>
  <c r="F42" i="1"/>
  <c r="G42" i="1"/>
  <c r="H42" i="1"/>
  <c r="I42" i="1"/>
  <c r="J42" i="1"/>
  <c r="K42" i="1"/>
  <c r="L42" i="1"/>
  <c r="D43" i="1"/>
  <c r="E43" i="1"/>
  <c r="F43" i="1"/>
  <c r="G43" i="1"/>
  <c r="H43" i="1"/>
  <c r="I43" i="1"/>
  <c r="J43" i="1"/>
  <c r="K43" i="1"/>
  <c r="L43" i="1"/>
  <c r="D44" i="1"/>
  <c r="E44" i="1"/>
  <c r="F44" i="1"/>
  <c r="G44" i="1"/>
  <c r="H44" i="1"/>
  <c r="I44" i="1"/>
  <c r="J44" i="1"/>
  <c r="K44" i="1"/>
  <c r="L44" i="1"/>
  <c r="D45" i="1"/>
  <c r="E45" i="1"/>
  <c r="F45" i="1"/>
  <c r="G45" i="1"/>
  <c r="H45" i="1"/>
  <c r="I45" i="1"/>
  <c r="J45" i="1"/>
  <c r="K45" i="1"/>
  <c r="L45" i="1"/>
  <c r="D46" i="1"/>
  <c r="E46" i="1"/>
  <c r="F46" i="1"/>
  <c r="G46" i="1"/>
  <c r="H46" i="1"/>
  <c r="I46" i="1"/>
  <c r="J46" i="1"/>
  <c r="K46" i="1"/>
  <c r="L46" i="1"/>
  <c r="D47" i="1"/>
  <c r="E47" i="1"/>
  <c r="F47" i="1"/>
  <c r="G47" i="1"/>
  <c r="H47" i="1"/>
  <c r="I47" i="1"/>
  <c r="J47" i="1"/>
  <c r="K47" i="1"/>
  <c r="L47" i="1"/>
  <c r="D48" i="1"/>
  <c r="E48" i="1"/>
  <c r="F48" i="1"/>
  <c r="G48" i="1"/>
  <c r="H48" i="1"/>
  <c r="I48" i="1"/>
  <c r="J48" i="1"/>
  <c r="K48" i="1"/>
  <c r="L48" i="1"/>
  <c r="D49" i="1"/>
  <c r="E49" i="1"/>
  <c r="F49" i="1"/>
  <c r="G49" i="1"/>
  <c r="H49" i="1"/>
  <c r="I49" i="1"/>
  <c r="J49" i="1"/>
  <c r="K49" i="1"/>
  <c r="L49" i="1"/>
  <c r="D50" i="1"/>
  <c r="E50" i="1"/>
  <c r="F50" i="1"/>
  <c r="G50" i="1"/>
  <c r="H50" i="1"/>
  <c r="I50" i="1"/>
  <c r="J50" i="1"/>
  <c r="K50" i="1"/>
  <c r="L50" i="1"/>
  <c r="D51" i="1"/>
  <c r="E51" i="1"/>
  <c r="F51" i="1"/>
  <c r="G51" i="1"/>
  <c r="H51" i="1"/>
  <c r="I51" i="1"/>
  <c r="J51" i="1"/>
  <c r="K51" i="1"/>
  <c r="L51" i="1"/>
  <c r="D52" i="1"/>
  <c r="E52" i="1"/>
  <c r="F52" i="1"/>
  <c r="G52" i="1"/>
  <c r="H52" i="1"/>
  <c r="I52" i="1"/>
  <c r="J52" i="1"/>
  <c r="K52" i="1"/>
  <c r="L52" i="1"/>
  <c r="D53" i="1"/>
  <c r="E53" i="1"/>
  <c r="F53" i="1"/>
  <c r="G53" i="1"/>
  <c r="H53" i="1"/>
  <c r="I53" i="1"/>
  <c r="J53" i="1"/>
  <c r="K53" i="1"/>
  <c r="L53" i="1"/>
  <c r="D54" i="1"/>
  <c r="E54" i="1"/>
  <c r="F54" i="1"/>
  <c r="G54" i="1"/>
  <c r="H54" i="1"/>
  <c r="I54" i="1"/>
  <c r="J54" i="1"/>
  <c r="K54" i="1"/>
  <c r="L54" i="1"/>
  <c r="B18" i="30" l="1"/>
  <c r="L34" i="30"/>
  <c r="M34" i="30"/>
  <c r="N34" i="30"/>
  <c r="D34" i="30"/>
  <c r="E34" i="30"/>
  <c r="F34" i="30"/>
  <c r="G34" i="30"/>
  <c r="H34" i="30"/>
  <c r="J34" i="30"/>
  <c r="K34" i="30"/>
  <c r="A17" i="30"/>
  <c r="B35" i="30"/>
  <c r="A35" i="30" s="1"/>
  <c r="A34" i="30"/>
  <c r="O1" i="11"/>
  <c r="B4" i="11"/>
  <c r="F4" i="11"/>
  <c r="G4" i="11"/>
  <c r="H4" i="11"/>
  <c r="I4" i="11"/>
  <c r="J4" i="11"/>
  <c r="K4" i="11"/>
  <c r="F5" i="11"/>
  <c r="G5" i="11"/>
  <c r="H5" i="11"/>
  <c r="I5" i="11"/>
  <c r="J5" i="11"/>
  <c r="K5" i="11"/>
  <c r="B5" i="11"/>
  <c r="R8" i="11"/>
  <c r="S8" i="11"/>
  <c r="T8" i="11"/>
  <c r="U8" i="11"/>
  <c r="V8" i="11"/>
  <c r="W8" i="11"/>
  <c r="R9" i="11"/>
  <c r="AB9" i="11" s="1"/>
  <c r="S9" i="11"/>
  <c r="AC9" i="11" s="1"/>
  <c r="T9" i="11"/>
  <c r="AD9" i="11" s="1"/>
  <c r="U9" i="11"/>
  <c r="AE9" i="11" s="1"/>
  <c r="V9" i="11"/>
  <c r="AF9" i="11" s="1"/>
  <c r="W9" i="11"/>
  <c r="AG9" i="11" s="1"/>
  <c r="Q9" i="11"/>
  <c r="AA9" i="11" s="1"/>
  <c r="Q8" i="11"/>
  <c r="R10" i="11"/>
  <c r="T10" i="11"/>
  <c r="U10" i="11"/>
  <c r="V10" i="11"/>
  <c r="W10" i="11"/>
  <c r="R11" i="11"/>
  <c r="AB11" i="11" s="1"/>
  <c r="S11" i="11"/>
  <c r="AC11" i="11" s="1"/>
  <c r="T11" i="11"/>
  <c r="AD11" i="11" s="1"/>
  <c r="U11" i="11"/>
  <c r="AE11" i="11" s="1"/>
  <c r="V11" i="11"/>
  <c r="AF11" i="11" s="1"/>
  <c r="W11" i="11"/>
  <c r="AG11" i="11" s="1"/>
  <c r="Q11" i="11"/>
  <c r="AA11" i="11" s="1"/>
  <c r="Q10" i="11"/>
  <c r="R12" i="11"/>
  <c r="S12" i="11"/>
  <c r="T12" i="11"/>
  <c r="U12" i="11"/>
  <c r="V12" i="11"/>
  <c r="W12" i="11"/>
  <c r="R13" i="11"/>
  <c r="AB13" i="11" s="1"/>
  <c r="S13" i="11"/>
  <c r="AC13" i="11" s="1"/>
  <c r="T13" i="11"/>
  <c r="AD13" i="11" s="1"/>
  <c r="U13" i="11"/>
  <c r="AE13" i="11" s="1"/>
  <c r="V13" i="11"/>
  <c r="AF13" i="11" s="1"/>
  <c r="W13" i="11"/>
  <c r="AG13" i="11" s="1"/>
  <c r="Q13" i="11"/>
  <c r="AA13" i="11" s="1"/>
  <c r="Q12" i="11"/>
  <c r="R6" i="11"/>
  <c r="S6" i="11"/>
  <c r="T6" i="11"/>
  <c r="U6" i="11"/>
  <c r="V6" i="11"/>
  <c r="W6" i="11"/>
  <c r="R7" i="11"/>
  <c r="AB7" i="11" s="1"/>
  <c r="S7" i="11"/>
  <c r="AC7" i="11" s="1"/>
  <c r="T7" i="11"/>
  <c r="AD7" i="11" s="1"/>
  <c r="U7" i="11"/>
  <c r="AE7" i="11" s="1"/>
  <c r="V7" i="11"/>
  <c r="AF7" i="11" s="1"/>
  <c r="W7" i="11"/>
  <c r="AG7" i="11" s="1"/>
  <c r="Q7" i="11"/>
  <c r="AA7" i="11" s="1"/>
  <c r="Q6" i="11"/>
  <c r="R4" i="11"/>
  <c r="S4" i="11"/>
  <c r="T4" i="11"/>
  <c r="U4" i="11"/>
  <c r="V4" i="11"/>
  <c r="W4" i="11"/>
  <c r="R5" i="11"/>
  <c r="AB5" i="11" s="1"/>
  <c r="S5" i="11"/>
  <c r="AC5" i="11" s="1"/>
  <c r="T5" i="11"/>
  <c r="AD5" i="11" s="1"/>
  <c r="U5" i="11"/>
  <c r="AE5" i="11" s="1"/>
  <c r="V5" i="11"/>
  <c r="AF5" i="11" s="1"/>
  <c r="W5" i="11"/>
  <c r="AG5" i="11" s="1"/>
  <c r="AA5" i="11"/>
  <c r="Q4" i="11"/>
  <c r="K83" i="11"/>
  <c r="J83" i="11"/>
  <c r="I83" i="11"/>
  <c r="H83" i="11"/>
  <c r="G83" i="11"/>
  <c r="F83" i="11"/>
  <c r="E83" i="11"/>
  <c r="K82" i="11"/>
  <c r="J82" i="11"/>
  <c r="I82" i="11"/>
  <c r="H82" i="11"/>
  <c r="G82" i="11"/>
  <c r="F82" i="11"/>
  <c r="E82" i="11"/>
  <c r="K81" i="11"/>
  <c r="J81" i="11"/>
  <c r="I81" i="11"/>
  <c r="H81" i="11"/>
  <c r="G81" i="11"/>
  <c r="F81" i="11"/>
  <c r="E81" i="11"/>
  <c r="K80" i="11"/>
  <c r="J80" i="11"/>
  <c r="I80" i="11"/>
  <c r="H80" i="11"/>
  <c r="G80" i="11"/>
  <c r="F80" i="11"/>
  <c r="E80" i="11"/>
  <c r="K79" i="11"/>
  <c r="J79" i="11"/>
  <c r="I79" i="11"/>
  <c r="H79" i="11"/>
  <c r="G79" i="11"/>
  <c r="F79" i="11"/>
  <c r="E79" i="11"/>
  <c r="K78" i="11"/>
  <c r="J78" i="11"/>
  <c r="I78" i="11"/>
  <c r="H78" i="11"/>
  <c r="G78" i="11"/>
  <c r="F78" i="11"/>
  <c r="E78" i="11"/>
  <c r="K77" i="11"/>
  <c r="J77" i="11"/>
  <c r="I77" i="11"/>
  <c r="H77" i="11"/>
  <c r="G77" i="11"/>
  <c r="F77" i="11"/>
  <c r="E77" i="11"/>
  <c r="K76" i="11"/>
  <c r="J76" i="11"/>
  <c r="I76" i="11"/>
  <c r="H76" i="11"/>
  <c r="G76" i="11"/>
  <c r="F76" i="11"/>
  <c r="E76" i="11"/>
  <c r="K75" i="11"/>
  <c r="J75" i="11"/>
  <c r="I75" i="11"/>
  <c r="H75" i="11"/>
  <c r="G75" i="11"/>
  <c r="F75" i="11"/>
  <c r="E75" i="11"/>
  <c r="K74" i="11"/>
  <c r="J74" i="11"/>
  <c r="I74" i="11"/>
  <c r="H74" i="11"/>
  <c r="G74" i="11"/>
  <c r="F74" i="11"/>
  <c r="E74" i="11"/>
  <c r="K73" i="11"/>
  <c r="J73" i="11"/>
  <c r="I73" i="11"/>
  <c r="H73" i="11"/>
  <c r="G73" i="11"/>
  <c r="F73" i="11"/>
  <c r="E73" i="11"/>
  <c r="K72" i="11"/>
  <c r="J72" i="11"/>
  <c r="I72" i="11"/>
  <c r="H72" i="11"/>
  <c r="G72" i="11"/>
  <c r="F72" i="11"/>
  <c r="E72" i="11"/>
  <c r="K71" i="11"/>
  <c r="J71" i="11"/>
  <c r="I71" i="11"/>
  <c r="H71" i="11"/>
  <c r="G71" i="11"/>
  <c r="F71" i="11"/>
  <c r="E71" i="11"/>
  <c r="K70" i="11"/>
  <c r="J70" i="11"/>
  <c r="I70" i="11"/>
  <c r="H70" i="11"/>
  <c r="G70" i="11"/>
  <c r="F70" i="11"/>
  <c r="E70" i="11"/>
  <c r="F68" i="11"/>
  <c r="G68" i="11"/>
  <c r="H68" i="11"/>
  <c r="I68" i="11"/>
  <c r="J68" i="11"/>
  <c r="K68" i="11"/>
  <c r="F69" i="11"/>
  <c r="G69" i="11"/>
  <c r="H69" i="11"/>
  <c r="I69" i="11"/>
  <c r="J69" i="11"/>
  <c r="K69" i="11"/>
  <c r="E69" i="11"/>
  <c r="E68" i="11"/>
  <c r="B82" i="11"/>
  <c r="B80" i="11"/>
  <c r="B78" i="11"/>
  <c r="B76" i="11"/>
  <c r="B74" i="11"/>
  <c r="B72" i="11"/>
  <c r="B70" i="11"/>
  <c r="B68" i="11"/>
  <c r="K67" i="11"/>
  <c r="J67" i="11"/>
  <c r="I67" i="11"/>
  <c r="H67" i="11"/>
  <c r="G67" i="11"/>
  <c r="F67" i="11"/>
  <c r="E67" i="11"/>
  <c r="K66" i="11"/>
  <c r="J66" i="11"/>
  <c r="I66" i="11"/>
  <c r="H66" i="11"/>
  <c r="G66" i="11"/>
  <c r="F66" i="11"/>
  <c r="E66" i="11"/>
  <c r="K65" i="11"/>
  <c r="J65" i="11"/>
  <c r="I65" i="11"/>
  <c r="H65" i="11"/>
  <c r="G65" i="11"/>
  <c r="F65" i="11"/>
  <c r="E65" i="11"/>
  <c r="K64" i="11"/>
  <c r="J64" i="11"/>
  <c r="I64" i="11"/>
  <c r="H64" i="11"/>
  <c r="G64" i="11"/>
  <c r="F64" i="11"/>
  <c r="E64" i="11"/>
  <c r="K63" i="11"/>
  <c r="J63" i="11"/>
  <c r="I63" i="11"/>
  <c r="H63" i="11"/>
  <c r="G63" i="11"/>
  <c r="F63" i="11"/>
  <c r="E63" i="11"/>
  <c r="K62" i="11"/>
  <c r="J62" i="11"/>
  <c r="I62" i="11"/>
  <c r="H62" i="11"/>
  <c r="G62" i="11"/>
  <c r="F62" i="11"/>
  <c r="E62" i="11"/>
  <c r="K61" i="11"/>
  <c r="J61" i="11"/>
  <c r="I61" i="11"/>
  <c r="H61" i="11"/>
  <c r="G61" i="11"/>
  <c r="F61" i="11"/>
  <c r="E61" i="11"/>
  <c r="K60" i="11"/>
  <c r="J60" i="11"/>
  <c r="I60" i="11"/>
  <c r="H60" i="11"/>
  <c r="G60" i="11"/>
  <c r="F60" i="11"/>
  <c r="E60" i="11"/>
  <c r="K59" i="11"/>
  <c r="J59" i="11"/>
  <c r="I59" i="11"/>
  <c r="H59" i="11"/>
  <c r="G59" i="11"/>
  <c r="F59" i="11"/>
  <c r="E59" i="11"/>
  <c r="K58" i="11"/>
  <c r="J58" i="11"/>
  <c r="I58" i="11"/>
  <c r="H58" i="11"/>
  <c r="G58" i="11"/>
  <c r="F58" i="11"/>
  <c r="E58" i="11"/>
  <c r="K57" i="11"/>
  <c r="J57" i="11"/>
  <c r="I57" i="11"/>
  <c r="H57" i="11"/>
  <c r="G57" i="11"/>
  <c r="F57" i="11"/>
  <c r="E57" i="11"/>
  <c r="K56" i="11"/>
  <c r="J56" i="11"/>
  <c r="I56" i="11"/>
  <c r="H56" i="11"/>
  <c r="G56" i="11"/>
  <c r="F56" i="11"/>
  <c r="E56" i="11"/>
  <c r="K55" i="11"/>
  <c r="J55" i="11"/>
  <c r="I55" i="11"/>
  <c r="H55" i="11"/>
  <c r="G55" i="11"/>
  <c r="F55" i="11"/>
  <c r="E55" i="11"/>
  <c r="K54" i="11"/>
  <c r="J54" i="11"/>
  <c r="I54" i="11"/>
  <c r="H54" i="11"/>
  <c r="G54" i="11"/>
  <c r="F54" i="11"/>
  <c r="E54" i="11"/>
  <c r="F52" i="11"/>
  <c r="G52" i="11"/>
  <c r="H52" i="11"/>
  <c r="I52" i="11"/>
  <c r="J52" i="11"/>
  <c r="K52" i="11"/>
  <c r="F53" i="11"/>
  <c r="G53" i="11"/>
  <c r="H53" i="11"/>
  <c r="I53" i="11"/>
  <c r="J53" i="11"/>
  <c r="K53" i="11"/>
  <c r="E53" i="11"/>
  <c r="E52" i="11"/>
  <c r="B66" i="11"/>
  <c r="B64" i="11"/>
  <c r="B62" i="11"/>
  <c r="B60" i="11"/>
  <c r="B58" i="11"/>
  <c r="B56" i="11"/>
  <c r="B54" i="11"/>
  <c r="B52" i="11"/>
  <c r="K51" i="11"/>
  <c r="J51" i="11"/>
  <c r="I51" i="11"/>
  <c r="H51" i="11"/>
  <c r="G51" i="11"/>
  <c r="F51" i="11"/>
  <c r="E51" i="11"/>
  <c r="K50" i="11"/>
  <c r="J50" i="11"/>
  <c r="I50" i="11"/>
  <c r="H50" i="11"/>
  <c r="G50" i="11"/>
  <c r="F50" i="11"/>
  <c r="E50" i="11"/>
  <c r="K49" i="11"/>
  <c r="J49" i="11"/>
  <c r="I49" i="11"/>
  <c r="H49" i="11"/>
  <c r="G49" i="11"/>
  <c r="F49" i="11"/>
  <c r="E49" i="11"/>
  <c r="K48" i="11"/>
  <c r="J48" i="11"/>
  <c r="I48" i="11"/>
  <c r="H48" i="11"/>
  <c r="G48" i="11"/>
  <c r="F48" i="11"/>
  <c r="E48" i="11"/>
  <c r="K47" i="11"/>
  <c r="J47" i="11"/>
  <c r="I47" i="11"/>
  <c r="H47" i="11"/>
  <c r="G47" i="11"/>
  <c r="F47" i="11"/>
  <c r="E47" i="11"/>
  <c r="K46" i="11"/>
  <c r="J46" i="11"/>
  <c r="I46" i="11"/>
  <c r="H46" i="11"/>
  <c r="G46" i="11"/>
  <c r="F46" i="11"/>
  <c r="E46" i="11"/>
  <c r="K45" i="11"/>
  <c r="J45" i="11"/>
  <c r="I45" i="11"/>
  <c r="H45" i="11"/>
  <c r="G45" i="11"/>
  <c r="F45" i="11"/>
  <c r="E45" i="11"/>
  <c r="K44" i="11"/>
  <c r="J44" i="11"/>
  <c r="I44" i="11"/>
  <c r="H44" i="11"/>
  <c r="G44" i="11"/>
  <c r="F44" i="11"/>
  <c r="E44" i="11"/>
  <c r="K43" i="11"/>
  <c r="J43" i="11"/>
  <c r="I43" i="11"/>
  <c r="H43" i="11"/>
  <c r="G43" i="11"/>
  <c r="F43" i="11"/>
  <c r="E43" i="11"/>
  <c r="K42" i="11"/>
  <c r="J42" i="11"/>
  <c r="I42" i="11"/>
  <c r="H42" i="11"/>
  <c r="G42" i="11"/>
  <c r="F42" i="11"/>
  <c r="E42" i="11"/>
  <c r="K41" i="11"/>
  <c r="J41" i="11"/>
  <c r="I41" i="11"/>
  <c r="H41" i="11"/>
  <c r="G41" i="11"/>
  <c r="F41" i="11"/>
  <c r="E41" i="11"/>
  <c r="K40" i="11"/>
  <c r="J40" i="11"/>
  <c r="I40" i="11"/>
  <c r="H40" i="11"/>
  <c r="G40" i="11"/>
  <c r="F40" i="11"/>
  <c r="E40" i="11"/>
  <c r="K39" i="11"/>
  <c r="J39" i="11"/>
  <c r="I39" i="11"/>
  <c r="H39" i="11"/>
  <c r="G39" i="11"/>
  <c r="F39" i="11"/>
  <c r="E39" i="11"/>
  <c r="K38" i="11"/>
  <c r="J38" i="11"/>
  <c r="I38" i="11"/>
  <c r="H38" i="11"/>
  <c r="G38" i="11"/>
  <c r="F38" i="11"/>
  <c r="E38" i="11"/>
  <c r="F36" i="11"/>
  <c r="G36" i="11"/>
  <c r="H36" i="11"/>
  <c r="I36" i="11"/>
  <c r="J36" i="11"/>
  <c r="K36" i="11"/>
  <c r="F37" i="11"/>
  <c r="G37" i="11"/>
  <c r="H37" i="11"/>
  <c r="I37" i="11"/>
  <c r="J37" i="11"/>
  <c r="K37" i="11"/>
  <c r="E37" i="11"/>
  <c r="E36" i="11"/>
  <c r="B50" i="11"/>
  <c r="B48" i="11"/>
  <c r="B46" i="11"/>
  <c r="B44" i="11"/>
  <c r="B42" i="11"/>
  <c r="B40" i="11"/>
  <c r="B38" i="11"/>
  <c r="B36" i="11"/>
  <c r="K35" i="11"/>
  <c r="J35" i="11"/>
  <c r="I35" i="11"/>
  <c r="H35" i="11"/>
  <c r="G35" i="11"/>
  <c r="F35" i="11"/>
  <c r="E35" i="11"/>
  <c r="K34" i="11"/>
  <c r="J34" i="11"/>
  <c r="I34" i="11"/>
  <c r="H34" i="11"/>
  <c r="G34" i="11"/>
  <c r="F34" i="11"/>
  <c r="E34" i="11"/>
  <c r="K33" i="11"/>
  <c r="J33" i="11"/>
  <c r="I33" i="11"/>
  <c r="H33" i="11"/>
  <c r="G33" i="11"/>
  <c r="F33" i="11"/>
  <c r="E33" i="11"/>
  <c r="K32" i="11"/>
  <c r="J32" i="11"/>
  <c r="I32" i="11"/>
  <c r="H32" i="11"/>
  <c r="G32" i="11"/>
  <c r="F32" i="11"/>
  <c r="E32" i="11"/>
  <c r="K31" i="11"/>
  <c r="J31" i="11"/>
  <c r="I31" i="11"/>
  <c r="H31" i="11"/>
  <c r="G31" i="11"/>
  <c r="F31" i="11"/>
  <c r="E31" i="11"/>
  <c r="K30" i="11"/>
  <c r="J30" i="11"/>
  <c r="I30" i="11"/>
  <c r="H30" i="11"/>
  <c r="G30" i="11"/>
  <c r="F30" i="11"/>
  <c r="E30" i="11"/>
  <c r="K29" i="11"/>
  <c r="J29" i="11"/>
  <c r="I29" i="11"/>
  <c r="H29" i="11"/>
  <c r="G29" i="11"/>
  <c r="F29" i="11"/>
  <c r="E29" i="11"/>
  <c r="K28" i="11"/>
  <c r="J28" i="11"/>
  <c r="I28" i="11"/>
  <c r="H28" i="11"/>
  <c r="G28" i="11"/>
  <c r="F28" i="11"/>
  <c r="E28" i="11"/>
  <c r="K27" i="11"/>
  <c r="J27" i="11"/>
  <c r="I27" i="11"/>
  <c r="H27" i="11"/>
  <c r="G27" i="11"/>
  <c r="F27" i="11"/>
  <c r="E27" i="11"/>
  <c r="K26" i="11"/>
  <c r="J26" i="11"/>
  <c r="I26" i="11"/>
  <c r="H26" i="11"/>
  <c r="G26" i="11"/>
  <c r="F26" i="11"/>
  <c r="E26" i="11"/>
  <c r="K25" i="11"/>
  <c r="J25" i="11"/>
  <c r="I25" i="11"/>
  <c r="H25" i="11"/>
  <c r="G25" i="11"/>
  <c r="F25" i="11"/>
  <c r="E25" i="11"/>
  <c r="K24" i="11"/>
  <c r="J24" i="11"/>
  <c r="I24" i="11"/>
  <c r="H24" i="11"/>
  <c r="G24" i="11"/>
  <c r="F24" i="11"/>
  <c r="E24" i="11"/>
  <c r="K23" i="11"/>
  <c r="J23" i="11"/>
  <c r="I23" i="11"/>
  <c r="H23" i="11"/>
  <c r="G23" i="11"/>
  <c r="F23" i="11"/>
  <c r="E23" i="11"/>
  <c r="K22" i="11"/>
  <c r="J22" i="11"/>
  <c r="I22" i="11"/>
  <c r="H22" i="11"/>
  <c r="G22" i="11"/>
  <c r="F22" i="11"/>
  <c r="E22" i="11"/>
  <c r="F20" i="11"/>
  <c r="G20" i="11"/>
  <c r="H20" i="11"/>
  <c r="I20" i="11"/>
  <c r="J20" i="11"/>
  <c r="K20" i="11"/>
  <c r="F21" i="11"/>
  <c r="G21" i="11"/>
  <c r="H21" i="11"/>
  <c r="I21" i="11"/>
  <c r="J21" i="11"/>
  <c r="K21" i="11"/>
  <c r="E21" i="11"/>
  <c r="E20" i="11"/>
  <c r="B34" i="11"/>
  <c r="B32" i="11"/>
  <c r="B30" i="11"/>
  <c r="B28" i="11"/>
  <c r="B26" i="11"/>
  <c r="B24" i="11"/>
  <c r="B22" i="11"/>
  <c r="B20" i="11"/>
  <c r="K19" i="11"/>
  <c r="J19" i="11"/>
  <c r="I19" i="11"/>
  <c r="H19" i="11"/>
  <c r="G19" i="11"/>
  <c r="F19" i="11"/>
  <c r="E19" i="11"/>
  <c r="K18" i="11"/>
  <c r="J18" i="11"/>
  <c r="I18" i="11"/>
  <c r="H18" i="11"/>
  <c r="G18" i="11"/>
  <c r="F18" i="11"/>
  <c r="E18" i="11"/>
  <c r="B18" i="11"/>
  <c r="K17" i="11"/>
  <c r="J17" i="11"/>
  <c r="I17" i="11"/>
  <c r="H17" i="11"/>
  <c r="G17" i="11"/>
  <c r="F17" i="11"/>
  <c r="E17" i="11"/>
  <c r="K16" i="11"/>
  <c r="J16" i="11"/>
  <c r="I16" i="11"/>
  <c r="H16" i="11"/>
  <c r="G16" i="11"/>
  <c r="F16" i="11"/>
  <c r="E16" i="11"/>
  <c r="B16" i="11"/>
  <c r="K15" i="11"/>
  <c r="J15" i="11"/>
  <c r="I15" i="11"/>
  <c r="H15" i="11"/>
  <c r="G15" i="11"/>
  <c r="F15" i="11"/>
  <c r="E15" i="11"/>
  <c r="K14" i="11"/>
  <c r="J14" i="11"/>
  <c r="I14" i="11"/>
  <c r="H14" i="11"/>
  <c r="G14" i="11"/>
  <c r="F14" i="11"/>
  <c r="E14" i="11"/>
  <c r="B14" i="11"/>
  <c r="K13" i="11"/>
  <c r="J13" i="11"/>
  <c r="I13" i="11"/>
  <c r="H13" i="11"/>
  <c r="G13" i="11"/>
  <c r="F13" i="11"/>
  <c r="E13" i="11"/>
  <c r="K12" i="11"/>
  <c r="J12" i="11"/>
  <c r="I12" i="11"/>
  <c r="H12" i="11"/>
  <c r="G12" i="11"/>
  <c r="F12" i="11"/>
  <c r="E12" i="11"/>
  <c r="B12" i="11"/>
  <c r="K11" i="11"/>
  <c r="J11" i="11"/>
  <c r="I11" i="11"/>
  <c r="H11" i="11"/>
  <c r="G11" i="11"/>
  <c r="F11" i="11"/>
  <c r="E11" i="11"/>
  <c r="K10" i="11"/>
  <c r="J10" i="11"/>
  <c r="I10" i="11"/>
  <c r="H10" i="11"/>
  <c r="G10" i="11"/>
  <c r="F10" i="11"/>
  <c r="E10" i="11"/>
  <c r="B10" i="11"/>
  <c r="K9" i="11"/>
  <c r="J9" i="11"/>
  <c r="I9" i="11"/>
  <c r="H9" i="11"/>
  <c r="G9" i="11"/>
  <c r="F9" i="11"/>
  <c r="E9" i="11"/>
  <c r="K8" i="11"/>
  <c r="J8" i="11"/>
  <c r="I8" i="11"/>
  <c r="H8" i="11"/>
  <c r="G8" i="11"/>
  <c r="F8" i="11"/>
  <c r="E8" i="11"/>
  <c r="B8" i="11"/>
  <c r="K7" i="11"/>
  <c r="J7" i="11"/>
  <c r="I7" i="11"/>
  <c r="H7" i="11"/>
  <c r="G7" i="11"/>
  <c r="F7" i="11"/>
  <c r="E7" i="11"/>
  <c r="K6" i="11"/>
  <c r="J6" i="11"/>
  <c r="I6" i="11"/>
  <c r="H6" i="11"/>
  <c r="G6" i="11"/>
  <c r="F6" i="11"/>
  <c r="E6" i="11"/>
  <c r="B6" i="11"/>
  <c r="N35" i="30" l="1"/>
  <c r="D35" i="30"/>
  <c r="G35" i="30"/>
  <c r="H35" i="30"/>
  <c r="J35" i="30"/>
  <c r="K35" i="30"/>
  <c r="L35" i="30"/>
  <c r="M35" i="30"/>
  <c r="E35" i="30"/>
  <c r="F35" i="30"/>
  <c r="A18" i="30"/>
  <c r="L62" i="10"/>
  <c r="K62" i="10"/>
  <c r="J62" i="10"/>
  <c r="I62" i="10"/>
  <c r="H62" i="10"/>
  <c r="G62" i="10"/>
  <c r="F62" i="10"/>
  <c r="E62" i="10"/>
  <c r="D62" i="10"/>
  <c r="L32" i="10"/>
  <c r="K32" i="10"/>
  <c r="J32" i="10"/>
  <c r="I32" i="10"/>
  <c r="H32" i="10"/>
  <c r="G32" i="10"/>
  <c r="F32" i="10"/>
  <c r="E32" i="10"/>
  <c r="D32" i="10"/>
  <c r="L62" i="9"/>
  <c r="K62" i="9"/>
  <c r="J62" i="9"/>
  <c r="I62" i="9"/>
  <c r="H62" i="9"/>
  <c r="G62" i="9"/>
  <c r="F62" i="9"/>
  <c r="E62" i="9"/>
  <c r="D62" i="9"/>
  <c r="L32" i="9"/>
  <c r="K32" i="9"/>
  <c r="J32" i="9"/>
  <c r="I32" i="9"/>
  <c r="H32" i="9"/>
  <c r="G32" i="9"/>
  <c r="F32" i="9"/>
  <c r="E32" i="9"/>
  <c r="D32" i="9"/>
  <c r="L62" i="8"/>
  <c r="K62" i="8"/>
  <c r="J62" i="8"/>
  <c r="I62" i="8"/>
  <c r="H62" i="8"/>
  <c r="G62" i="8"/>
  <c r="F62" i="8"/>
  <c r="E62" i="8"/>
  <c r="D62" i="8"/>
  <c r="L32" i="8"/>
  <c r="K32" i="8"/>
  <c r="J32" i="8"/>
  <c r="I32" i="8"/>
  <c r="H32" i="8"/>
  <c r="G32" i="8"/>
  <c r="F32" i="8"/>
  <c r="E32" i="8"/>
  <c r="D32" i="8"/>
  <c r="S10" i="11"/>
  <c r="L62" i="7"/>
  <c r="K62" i="7"/>
  <c r="J62" i="7"/>
  <c r="I62" i="7"/>
  <c r="H62" i="7"/>
  <c r="G62" i="7"/>
  <c r="F62" i="7"/>
  <c r="E62" i="7"/>
  <c r="D62" i="7"/>
  <c r="L32" i="7"/>
  <c r="K32" i="7"/>
  <c r="J32" i="7"/>
  <c r="I32" i="7"/>
  <c r="H32" i="7"/>
  <c r="G32" i="7"/>
  <c r="F32" i="7"/>
  <c r="E32" i="7"/>
  <c r="D32" i="7"/>
  <c r="D32" i="1"/>
  <c r="E32" i="1"/>
  <c r="F32" i="1"/>
  <c r="G32" i="1"/>
  <c r="H32" i="1"/>
  <c r="I32" i="1"/>
  <c r="J32" i="1"/>
  <c r="K32" i="1" l="1"/>
  <c r="L32" i="1"/>
  <c r="K62" i="1"/>
  <c r="L62" i="1"/>
  <c r="H62" i="1" l="1"/>
  <c r="I62" i="1"/>
  <c r="J62" i="1"/>
  <c r="E62" i="1"/>
  <c r="F62" i="1"/>
  <c r="G62" i="1"/>
  <c r="D62" i="1"/>
</calcChain>
</file>

<file path=xl/sharedStrings.xml><?xml version="1.0" encoding="utf-8"?>
<sst xmlns="http://schemas.openxmlformats.org/spreadsheetml/2006/main" count="2710" uniqueCount="157">
  <si>
    <t>МО</t>
  </si>
  <si>
    <t>Classic ACO</t>
  </si>
  <si>
    <t>non CUDA Time</t>
  </si>
  <si>
    <t>Дисперсия</t>
  </si>
  <si>
    <t>omp</t>
  </si>
  <si>
    <t>non CUDA transp Time</t>
  </si>
  <si>
    <t>non CUDA transp_AVX Time</t>
  </si>
  <si>
    <t>non CUDA transp_AVX_OMP Time</t>
  </si>
  <si>
    <t>CUDA ant add CPU Time</t>
  </si>
  <si>
    <t>CUDA ant add CPU12</t>
  </si>
  <si>
    <t>CUDA ant add CPU_AVX_transp Time</t>
  </si>
  <si>
    <t>12th Gen Intel(R) Core(TM) i5-12450H   2.00 GHz</t>
  </si>
  <si>
    <t>16,0 ГБ (доступно: 15,7 ГБ)</t>
  </si>
  <si>
    <t>Time non CUDA AVX time 4</t>
  </si>
  <si>
    <t>Time non CUDA AVX add CPU time 4</t>
  </si>
  <si>
    <t>Доверительный интервал</t>
  </si>
  <si>
    <t>ДИ</t>
  </si>
  <si>
    <t>Matrix ACO</t>
  </si>
  <si>
    <t>Matrix ACO + OMP</t>
  </si>
  <si>
    <t>Transp Matrix ACO</t>
  </si>
  <si>
    <t>Transp Matrix ACO + AVX</t>
  </si>
  <si>
    <t>Transp Matrix ACO + AVX + OPM</t>
  </si>
  <si>
    <t xml:space="preserve">9th Gen Intel Core i5-9400F 2.90 GHz (16Gb ОЗУ), </t>
  </si>
  <si>
    <t>8th Gen Intel Core i5-8300H 2.30 GHz (8Gb ОЗУ)</t>
  </si>
  <si>
    <t xml:space="preserve">AMD Ryzen 5 7500F 6-Core Processor 3.70GHz (8Gb ОЗУ). </t>
  </si>
  <si>
    <t>CUDA Time</t>
  </si>
  <si>
    <t>CUDA ant</t>
  </si>
  <si>
    <t>CUDA ant par</t>
  </si>
  <si>
    <t>CUDA opt Time</t>
  </si>
  <si>
    <t>CUDA opt ant</t>
  </si>
  <si>
    <t>CUDA opt ant par</t>
  </si>
  <si>
    <t>CUDA opt_one_GPU</t>
  </si>
  <si>
    <t>CUDA opt_one_GPU ant</t>
  </si>
  <si>
    <t>CUDA opt_one_GPU ant local</t>
  </si>
  <si>
    <t>CUDA Const</t>
  </si>
  <si>
    <t>CUDA ant Const</t>
  </si>
  <si>
    <t>CUDA ant par Const</t>
  </si>
  <si>
    <t>CUDA ant add CPU Const</t>
  </si>
  <si>
    <t>CUDA opt Const</t>
  </si>
  <si>
    <t>CUDA opt ant Const</t>
  </si>
  <si>
    <t>CUDA opt ant par Const</t>
  </si>
  <si>
    <t>CUDA ant par global</t>
  </si>
  <si>
    <t>CUDA ant add CPU Time global</t>
  </si>
  <si>
    <t>CUDA opt ant par global</t>
  </si>
  <si>
    <t>CUDA ant add CPU</t>
  </si>
  <si>
    <t>CUDA ant add CPU_AVX_transp</t>
  </si>
  <si>
    <t>CUDA opt</t>
  </si>
  <si>
    <t>i5-9400F + 1050 Ti</t>
  </si>
  <si>
    <t xml:space="preserve">i5-12450H + 3060 Laptop  </t>
  </si>
  <si>
    <t>i5-8300H + 1050 Ti</t>
  </si>
  <si>
    <t>i5-13600K + 3060</t>
  </si>
  <si>
    <t>AMD Ryzen 5 7500F 6 + 4060TI</t>
  </si>
  <si>
    <t xml:space="preserve">Jetson Orin </t>
  </si>
  <si>
    <t xml:space="preserve">Tesla V100 </t>
  </si>
  <si>
    <t>Кол-во параметров</t>
  </si>
  <si>
    <t>Кол-во слоев</t>
  </si>
  <si>
    <t>№ПК</t>
  </si>
  <si>
    <t>Алгоритм</t>
  </si>
  <si>
    <t>Время на один слой</t>
  </si>
  <si>
    <t>Модификация</t>
  </si>
  <si>
    <t>Оптимальная модификация + константная память</t>
  </si>
  <si>
    <t>Оптимальная модификация</t>
  </si>
  <si>
    <t>Классическая модификация</t>
  </si>
  <si>
    <t>Классическая модификация + глобальная память</t>
  </si>
  <si>
    <t>AVX модификация на CPU для специального графа</t>
  </si>
  <si>
    <t>Гетерогенная модификация с ускорением AVX для транспонированных матриц</t>
  </si>
  <si>
    <t>Гетерогенная модификация</t>
  </si>
  <si>
    <t>Гетерогенная модификация + глобальная память</t>
  </si>
  <si>
    <t>Количество параметров</t>
  </si>
  <si>
    <t>Количество слоев</t>
  </si>
  <si>
    <t>CUDA отдельно 1,2,3 этапы</t>
  </si>
  <si>
    <t>CUDA отдельно 1,2 (параллелизм только по муравьям-агентам),3 этапы</t>
  </si>
  <si>
    <t>CUDA отдельно 1,2 (параллелизм только по муравьям-агентам),3 этапы + параметры</t>
  </si>
  <si>
    <t>CUDA совместно 1+3 этапы и отдельно 2-ой</t>
  </si>
  <si>
    <t>CUDA совместно 1+3 этапы и отдельно 2-ой (параллелизм только по муравьям-агентам)</t>
  </si>
  <si>
    <t>CUDA совместно 1+3 этапы и отдельно 2-ой (параллелизм только по муравьям-агентам) + параметры</t>
  </si>
  <si>
    <t>CUDA совместно 1+2+3 этапы</t>
  </si>
  <si>
    <t>CUDA совместно 1+2+3 этапы (параллелизм только по муравьям-агентам)</t>
  </si>
  <si>
    <t>CUDA совместно 1+2+3 этапы (параллелизм только по муравьям-агентам) + локальные переменные</t>
  </si>
  <si>
    <t>CUDA отдельно 1,2,3 этапы + константная память</t>
  </si>
  <si>
    <t>CUDA отдельно 1,2(параллелизм только по муравьям-агентам),3 этапы + константная память</t>
  </si>
  <si>
    <t>CUDA отдельно 1,2(параллелизм только по муравьям-агентам),3 этапы + константная память + параметры</t>
  </si>
  <si>
    <t>CUDA совместно 1+3 этапы и отдельно 2-ой + константная память</t>
  </si>
  <si>
    <t>CUDA совместно 1+3 этапы и отдельно 2-ой (параллелизм только по муравьям-агентам) + константная память</t>
  </si>
  <si>
    <t>CUDA совместно 1+3 этапы и отдельно 2-ой (параллелизм только по муравьям-агентам) + константная память + параметры</t>
  </si>
  <si>
    <t>CUDA отдельно 1,2 (параллелизм только по муравьям-агентам),3 этапы + только глобальная память</t>
  </si>
  <si>
    <t>CUDA совместно 1+3 этапы и отдельно 2-ой (параллелизм только по муравьям-агентам) + только глобальная память</t>
  </si>
  <si>
    <t>Гетерогенный алгоритм</t>
  </si>
  <si>
    <t>Гетерогенный алгоритм + константная память</t>
  </si>
  <si>
    <t>Гетерогенный алгоритм + только глобальная память</t>
  </si>
  <si>
    <t>Гетерогенный алгоритм + транспонированные матрицы + AVX</t>
  </si>
  <si>
    <t xml:space="preserve">Инвертированный гетерогенный алгоритм </t>
  </si>
  <si>
    <t>Матричная модификация</t>
  </si>
  <si>
    <t>Гетерогенный алгоритм + специальный AVX граф</t>
  </si>
  <si>
    <t>Матричный метод на специальном AVX графе</t>
  </si>
  <si>
    <t>CUDA</t>
  </si>
  <si>
    <t>T_start</t>
  </si>
  <si>
    <t>T_Delt</t>
  </si>
  <si>
    <t>T1</t>
  </si>
  <si>
    <t>T2</t>
  </si>
  <si>
    <t>T3</t>
  </si>
  <si>
    <t>Сумма</t>
  </si>
  <si>
    <t>T2 в %</t>
  </si>
  <si>
    <t>CUDA ant add CPU_AVX Time</t>
  </si>
  <si>
    <t>CUDA ant par not f</t>
  </si>
  <si>
    <t>CUDA ant par sort</t>
  </si>
  <si>
    <t>Процент второго этапа</t>
  </si>
  <si>
    <t>MatrixACO_Global</t>
  </si>
  <si>
    <t>MatrixACO_Layer  _Global</t>
  </si>
  <si>
    <t>MatrixACO_Layer   _Local</t>
  </si>
  <si>
    <t>MatrixACO_Optimal_Standart</t>
  </si>
  <si>
    <t>MatrixACO_Basic    _Standart</t>
  </si>
  <si>
    <t>MatrixACO_Optimal_Agent</t>
  </si>
  <si>
    <t>MatrixACO_Basic   _Agent</t>
  </si>
  <si>
    <t>Количество слоев графа</t>
  </si>
  <si>
    <t>±0,025</t>
  </si>
  <si>
    <t>±0,012</t>
  </si>
  <si>
    <t>±0,037</t>
  </si>
  <si>
    <t>±0,015</t>
  </si>
  <si>
    <t>±0,020</t>
  </si>
  <si>
    <t>±0,010</t>
  </si>
  <si>
    <t>±0,083</t>
  </si>
  <si>
    <t>±0,070</t>
  </si>
  <si>
    <t>±0,075</t>
  </si>
  <si>
    <t>±0,011</t>
  </si>
  <si>
    <t>±0,091</t>
  </si>
  <si>
    <t>±0,059</t>
  </si>
  <si>
    <t>±0,017</t>
  </si>
  <si>
    <t>±0,019</t>
  </si>
  <si>
    <t>±0,096</t>
  </si>
  <si>
    <t>±0,044</t>
  </si>
  <si>
    <t>±0,048</t>
  </si>
  <si>
    <t xml:space="preserve">MatrixACO_Layer  </t>
  </si>
  <si>
    <t xml:space="preserve">Сервер DELL POWEREDGE C4140 Intel Xeon Gold 6130 2.1 GHz 16 Core (2Tb ОЗУ) + NVIDIA Tesla V100 16GB SXM2 </t>
  </si>
  <si>
    <t xml:space="preserve">Платформа для разработки приложений искусственного интеллекта NVIDIA Jetson Orin </t>
  </si>
  <si>
    <t xml:space="preserve">ПК AMD Ryzen 5 7500F 6-Core Processor 3.70GHz (8Gb ОЗУ).  + NVIDIA GeForce RTX 4060 Ti </t>
  </si>
  <si>
    <t>Ноутбук 8th Gen Intel Core i5-8300H 2.30 GHz (8Gb ОЗУ) + NVIDIA GeForce GTX 1050 Ti;</t>
  </si>
  <si>
    <t>ПК 9th Gen Intel Core i5-9400F 2.90 GHz (16Gb ОЗУ) + NVIDIA GeForce GTX 1050 Ti</t>
  </si>
  <si>
    <t>Ноутбук 12th Gen Intel Core i5-12450H 2.00 GHz (16Gb ОЗУ) + NVIDIA GeForce RTX 3060 Laptop GPU</t>
  </si>
  <si>
    <t>ПК 13th Gen Intel Core i5-13600K 3.50 GHz (64Gb ОЗУ) + NVIDIA GeForce RTX 3060</t>
  </si>
  <si>
    <t>Недостаточно памяти</t>
  </si>
  <si>
    <t>T1+T3</t>
  </si>
  <si>
    <t>Муравьев-агентов</t>
  </si>
  <si>
    <t>на муравья</t>
  </si>
  <si>
    <t>количество потоков в блоке</t>
  </si>
  <si>
    <t>1000 муравьев</t>
  </si>
  <si>
    <t>500 муравьев</t>
  </si>
  <si>
    <t>Т4</t>
  </si>
  <si>
    <t>Time CUDA ant Const decrease ant par</t>
  </si>
  <si>
    <t>Time CUDA ant Const decrease ant par transp</t>
  </si>
  <si>
    <t>Number of parameters</t>
  </si>
  <si>
    <t>Number of graph layers</t>
  </si>
  <si>
    <t>MatrixACO _Optimal_ Agent _Local</t>
  </si>
  <si>
    <t>M</t>
  </si>
  <si>
    <t>CI</t>
  </si>
  <si>
    <t xml:space="preserve">MatrixACO _Optimal_ Agent </t>
  </si>
  <si>
    <t>MatrixACO _Optimal_ Agent 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</si>
</sst>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27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Border="1"/>
    <xf numFmtId="0" fontId="1" fillId="0" borderId="1" xfId="0" applyFont="1" applyFill="1" applyBorder="1"/>
    <xf numFmtId="3" fontId="0" fillId="0" borderId="1" xfId="0" applyNumberFormat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Fill="1" applyBorder="1"/>
    <xf numFmtId="3" fontId="0" fillId="0" borderId="1" xfId="0" applyNumberFormat="1" applyBorder="1"/>
    <xf numFmtId="3" fontId="1" fillId="0" borderId="1" xfId="0" applyNumberFormat="1" applyFont="1" applyFill="1" applyBorder="1"/>
    <xf numFmtId="2" fontId="0" fillId="0" borderId="1" xfId="0" applyNumberFormat="1" applyBorder="1"/>
    <xf numFmtId="1" fontId="0" fillId="0" borderId="1" xfId="0" applyNumberFormat="1" applyBorder="1"/>
    <xf numFmtId="3" fontId="0" fillId="2" borderId="1" xfId="0" applyNumberFormat="1" applyFill="1" applyBorder="1"/>
    <xf numFmtId="0" fontId="0" fillId="2" borderId="1" xfId="0" applyFill="1" applyBorder="1"/>
    <xf numFmtId="3" fontId="0" fillId="0" borderId="2" xfId="0" applyNumberFormat="1" applyFill="1" applyBorder="1"/>
    <xf numFmtId="0" fontId="0" fillId="0" borderId="2" xfId="0" applyBorder="1" applyAlignment="1">
      <alignment horizontal="center" vertical="center" wrapText="1"/>
    </xf>
    <xf numFmtId="3" fontId="0" fillId="0" borderId="4" xfId="0" applyNumberFormat="1" applyFill="1" applyBorder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0" fillId="0" borderId="0" xfId="0" applyBorder="1"/>
    <xf numFmtId="164" fontId="0" fillId="0" borderId="0" xfId="0" applyNumberFormat="1" applyBorder="1"/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2" fontId="0" fillId="0" borderId="10" xfId="0" applyNumberFormat="1" applyBorder="1"/>
    <xf numFmtId="2" fontId="0" fillId="0" borderId="16" xfId="0" applyNumberFormat="1" applyBorder="1"/>
    <xf numFmtId="2" fontId="0" fillId="0" borderId="13" xfId="0" applyNumberFormat="1" applyBorder="1"/>
    <xf numFmtId="0" fontId="0" fillId="0" borderId="23" xfId="0" applyBorder="1" applyAlignment="1">
      <alignment horizontal="center" vertical="center" wrapText="1"/>
    </xf>
    <xf numFmtId="3" fontId="0" fillId="0" borderId="18" xfId="0" applyNumberFormat="1" applyBorder="1" applyAlignment="1">
      <alignment horizontal="center" vertical="center"/>
    </xf>
    <xf numFmtId="3" fontId="0" fillId="0" borderId="11" xfId="0" applyNumberForma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9" xfId="0" applyNumberFormat="1" applyFill="1" applyBorder="1" applyAlignment="1">
      <alignment horizontal="center" vertical="center"/>
    </xf>
    <xf numFmtId="3" fontId="0" fillId="0" borderId="14" xfId="0" applyNumberFormat="1" applyFill="1" applyBorder="1" applyAlignment="1">
      <alignment horizontal="center" vertical="center"/>
    </xf>
    <xf numFmtId="3" fontId="0" fillId="0" borderId="15" xfId="0" applyNumberForma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0" fillId="0" borderId="0" xfId="0" applyFill="1"/>
    <xf numFmtId="165" fontId="0" fillId="0" borderId="13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165" fontId="0" fillId="0" borderId="19" xfId="0" applyNumberFormat="1" applyBorder="1" applyAlignment="1">
      <alignment horizontal="center" vertical="center"/>
    </xf>
    <xf numFmtId="10" fontId="0" fillId="0" borderId="15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0" fontId="0" fillId="0" borderId="12" xfId="0" applyNumberFormat="1" applyFill="1" applyBorder="1" applyAlignment="1">
      <alignment horizontal="center" vertical="center"/>
    </xf>
    <xf numFmtId="164" fontId="0" fillId="2" borderId="1" xfId="0" applyNumberFormat="1" applyFill="1" applyBorder="1"/>
    <xf numFmtId="0" fontId="2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1" fontId="2" fillId="0" borderId="33" xfId="0" applyNumberFormat="1" applyFont="1" applyBorder="1" applyAlignment="1">
      <alignment horizontal="center" vertical="center"/>
    </xf>
    <xf numFmtId="10" fontId="0" fillId="0" borderId="0" xfId="0" applyNumberFormat="1"/>
    <xf numFmtId="10" fontId="0" fillId="0" borderId="24" xfId="0" applyNumberFormat="1" applyBorder="1" applyAlignment="1">
      <alignment horizontal="center" vertical="center"/>
    </xf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0" fontId="3" fillId="0" borderId="0" xfId="0" applyNumberFormat="1" applyFont="1"/>
    <xf numFmtId="164" fontId="0" fillId="0" borderId="0" xfId="0" applyNumberFormat="1"/>
    <xf numFmtId="10" fontId="0" fillId="4" borderId="0" xfId="0" applyNumberFormat="1" applyFill="1"/>
    <xf numFmtId="3" fontId="0" fillId="0" borderId="1" xfId="0" applyNumberForma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0" fillId="0" borderId="6" xfId="0" applyFill="1" applyBorder="1"/>
    <xf numFmtId="0" fontId="4" fillId="0" borderId="0" xfId="0" applyFont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4" fillId="0" borderId="52" xfId="0" applyNumberFormat="1" applyFont="1" applyBorder="1" applyAlignment="1">
      <alignment horizontal="center" vertical="center"/>
    </xf>
    <xf numFmtId="2" fontId="4" fillId="0" borderId="53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3" fontId="0" fillId="0" borderId="2" xfId="0" applyNumberForma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2" fontId="0" fillId="0" borderId="67" xfId="0" applyNumberForma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3" fontId="2" fillId="0" borderId="59" xfId="0" applyNumberFormat="1" applyFon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2" fontId="0" fillId="0" borderId="1" xfId="0" applyNumberFormat="1" applyFill="1" applyBorder="1" applyAlignment="1">
      <alignment vertical="center"/>
    </xf>
    <xf numFmtId="164" fontId="0" fillId="0" borderId="0" xfId="0" applyNumberFormat="1" applyFill="1" applyBorder="1"/>
    <xf numFmtId="11" fontId="0" fillId="0" borderId="68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6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70" xfId="0" applyNumberForma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2" fontId="0" fillId="0" borderId="7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3" fontId="7" fillId="0" borderId="75" xfId="0" applyNumberFormat="1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3" fontId="7" fillId="0" borderId="33" xfId="0" applyNumberFormat="1" applyFont="1" applyBorder="1" applyAlignment="1">
      <alignment horizontal="center" vertical="center"/>
    </xf>
    <xf numFmtId="3" fontId="8" fillId="0" borderId="75" xfId="0" applyNumberFormat="1" applyFont="1" applyBorder="1" applyAlignment="1">
      <alignment horizontal="center" vertical="center"/>
    </xf>
    <xf numFmtId="3" fontId="9" fillId="0" borderId="7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2" xfId="0" applyNumberFormat="1" applyFill="1" applyBorder="1" applyAlignment="1">
      <alignment horizontal="center" vertical="center" wrapText="1"/>
    </xf>
    <xf numFmtId="0" fontId="0" fillId="0" borderId="63" xfId="0" applyFill="1" applyBorder="1" applyAlignment="1">
      <alignment horizontal="center" vertical="center" wrapText="1"/>
    </xf>
    <xf numFmtId="0" fontId="0" fillId="0" borderId="65" xfId="0" applyFill="1" applyBorder="1" applyAlignment="1">
      <alignment horizontal="center" vertical="center" wrapText="1"/>
    </xf>
    <xf numFmtId="0" fontId="0" fillId="0" borderId="66" xfId="0" applyFill="1" applyBorder="1" applyAlignment="1">
      <alignment horizontal="center" vertical="center" wrapText="1"/>
    </xf>
    <xf numFmtId="2" fontId="0" fillId="0" borderId="62" xfId="0" applyNumberForma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2" fontId="0" fillId="0" borderId="62" xfId="0" applyNumberFormat="1" applyFill="1" applyBorder="1" applyAlignment="1">
      <alignment horizontal="center" vertical="center"/>
    </xf>
    <xf numFmtId="0" fontId="0" fillId="0" borderId="63" xfId="0" applyFill="1" applyBorder="1" applyAlignment="1">
      <alignment horizontal="center" vertical="center"/>
    </xf>
    <xf numFmtId="0" fontId="0" fillId="0" borderId="64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66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69" xfId="0" applyNumberFormat="1" applyBorder="1" applyAlignment="1">
      <alignment horizontal="center" vertical="center"/>
    </xf>
    <xf numFmtId="0" fontId="0" fillId="0" borderId="73" xfId="0" applyNumberFormat="1" applyBorder="1" applyAlignment="1">
      <alignment horizontal="center" vertical="center"/>
    </xf>
    <xf numFmtId="0" fontId="0" fillId="0" borderId="4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37" xfId="0" applyNumberFormat="1" applyFont="1" applyBorder="1" applyAlignment="1">
      <alignment horizontal="center" vertical="center"/>
    </xf>
    <xf numFmtId="3" fontId="2" fillId="0" borderId="38" xfId="0" applyNumberFormat="1" applyFont="1" applyBorder="1" applyAlignment="1">
      <alignment horizontal="center" vertical="center"/>
    </xf>
    <xf numFmtId="3" fontId="2" fillId="0" borderId="39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3" fontId="2" fillId="0" borderId="57" xfId="0" applyNumberFormat="1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Время работы</a:t>
            </a:r>
            <a:r>
              <a:rPr lang="ru-RU" baseline="0"/>
              <a:t> </a:t>
            </a:r>
            <a:r>
              <a:rPr lang="en-US" baseline="0"/>
              <a:t>Matrix</a:t>
            </a:r>
            <a:r>
              <a:rPr lang="ru-RU"/>
              <a:t> </a:t>
            </a:r>
            <a:r>
              <a:rPr lang="en-US"/>
              <a:t>ACO</a:t>
            </a:r>
            <a:r>
              <a:rPr lang="ru-RU"/>
              <a:t> для</a:t>
            </a:r>
            <a:r>
              <a:rPr lang="ru-RU" baseline="0"/>
              <a:t> одного параметра</a:t>
            </a:r>
            <a:r>
              <a:rPr lang="ru-RU"/>
              <a:t>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8860184611755E-2"/>
          <c:y val="3.542673107890499E-2"/>
          <c:w val="0.9345147306024949"/>
          <c:h val="0.80586658551738999"/>
        </c:manualLayout>
      </c:layout>
      <c:lineChart>
        <c:grouping val="standard"/>
        <c:varyColors val="0"/>
        <c:ser>
          <c:idx val="0"/>
          <c:order val="0"/>
          <c:tx>
            <c:strRef>
              <c:f>Itog!$O$4</c:f>
              <c:strCache>
                <c:ptCount val="1"/>
                <c:pt idx="0">
                  <c:v>i5-8300H + 1050 Ti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Itog!$Q$4:$W$4</c:f>
              <c:numCache>
                <c:formatCode>0</c:formatCode>
                <c:ptCount val="7"/>
                <c:pt idx="0">
                  <c:v>26.17368571428571</c:v>
                </c:pt>
                <c:pt idx="1">
                  <c:v>18.161883333333325</c:v>
                </c:pt>
                <c:pt idx="2">
                  <c:v>14.080917857142854</c:v>
                </c:pt>
                <c:pt idx="3">
                  <c:v>12.342670833333333</c:v>
                </c:pt>
                <c:pt idx="4">
                  <c:v>11.374037202380956</c:v>
                </c:pt>
                <c:pt idx="5">
                  <c:v>10.799607142857141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8-4038-8281-FBB902465EE6}"/>
            </c:ext>
          </c:extLst>
        </c:ser>
        <c:ser>
          <c:idx val="1"/>
          <c:order val="1"/>
          <c:tx>
            <c:strRef>
              <c:f>Itog!$O$6</c:f>
              <c:strCache>
                <c:ptCount val="1"/>
                <c:pt idx="0">
                  <c:v>i5-9400F + 1050 Ti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Itog!$Q$6:$W$6</c:f>
              <c:numCache>
                <c:formatCode>0</c:formatCode>
                <c:ptCount val="7"/>
                <c:pt idx="0">
                  <c:v>28.121576190476191</c:v>
                </c:pt>
                <c:pt idx="1">
                  <c:v>20.16200952380952</c:v>
                </c:pt>
                <c:pt idx="2">
                  <c:v>15.655455952380956</c:v>
                </c:pt>
                <c:pt idx="3">
                  <c:v>11.97546785714286</c:v>
                </c:pt>
                <c:pt idx="4">
                  <c:v>14.06893958333333</c:v>
                </c:pt>
                <c:pt idx="5">
                  <c:v>12.370852678571431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8-4038-8281-FBB902465EE6}"/>
            </c:ext>
          </c:extLst>
        </c:ser>
        <c:ser>
          <c:idx val="2"/>
          <c:order val="2"/>
          <c:tx>
            <c:strRef>
              <c:f>Itog!$O$8</c:f>
              <c:strCache>
                <c:ptCount val="1"/>
                <c:pt idx="0">
                  <c:v>i5-12450H + 3060 Laptop  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Itog!$Q$8:$W$8</c:f>
              <c:numCache>
                <c:formatCode>0</c:formatCode>
                <c:ptCount val="7"/>
                <c:pt idx="0">
                  <c:v>16.463778095238098</c:v>
                </c:pt>
                <c:pt idx="1">
                  <c:v>10.364808333333334</c:v>
                </c:pt>
                <c:pt idx="2">
                  <c:v>7.5058357142857126</c:v>
                </c:pt>
                <c:pt idx="3">
                  <c:v>6.0141119047619052</c:v>
                </c:pt>
                <c:pt idx="4">
                  <c:v>5.4443610119047623</c:v>
                </c:pt>
                <c:pt idx="5">
                  <c:v>5.042614732142856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F8-4038-8281-FBB902465EE6}"/>
            </c:ext>
          </c:extLst>
        </c:ser>
        <c:ser>
          <c:idx val="3"/>
          <c:order val="3"/>
          <c:tx>
            <c:strRef>
              <c:f>Itog!$O$10</c:f>
              <c:strCache>
                <c:ptCount val="1"/>
                <c:pt idx="0">
                  <c:v>i5-13600K + 3060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Itog!$Q$10:$W$10</c:f>
              <c:numCache>
                <c:formatCode>0</c:formatCode>
                <c:ptCount val="7"/>
                <c:pt idx="0">
                  <c:v>17.550789047619041</c:v>
                </c:pt>
                <c:pt idx="1">
                  <c:v>11.31057857142857</c:v>
                </c:pt>
                <c:pt idx="2">
                  <c:v>7.7968904761904767</c:v>
                </c:pt>
                <c:pt idx="3">
                  <c:v>6.2520815476190492</c:v>
                </c:pt>
                <c:pt idx="4">
                  <c:v>5.9163142857142867</c:v>
                </c:pt>
                <c:pt idx="5">
                  <c:v>5.2853023809523805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F8-4038-8281-FBB902465EE6}"/>
            </c:ext>
          </c:extLst>
        </c:ser>
        <c:ser>
          <c:idx val="4"/>
          <c:order val="4"/>
          <c:tx>
            <c:strRef>
              <c:f>Itog!$O$12</c:f>
              <c:strCache>
                <c:ptCount val="1"/>
                <c:pt idx="0">
                  <c:v>AMD Ryzen 5 7500F 6 + 4060TI</c:v>
                </c:pt>
              </c:strCache>
            </c:strRef>
          </c:tx>
          <c:spPr>
            <a:ln w="53975" cap="rnd" cmpd="dbl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Itog!$Q$12:$W$12</c:f>
              <c:numCache>
                <c:formatCode>0</c:formatCode>
                <c:ptCount val="7"/>
                <c:pt idx="0">
                  <c:v>12.092297619047621</c:v>
                </c:pt>
                <c:pt idx="1">
                  <c:v>7.5542730952380941</c:v>
                </c:pt>
                <c:pt idx="2">
                  <c:v>5.3284601190476204</c:v>
                </c:pt>
                <c:pt idx="3">
                  <c:v>4.2659202380952381</c:v>
                </c:pt>
                <c:pt idx="4">
                  <c:v>3.7373797619047631</c:v>
                </c:pt>
                <c:pt idx="5">
                  <c:v>3.4747632440476197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F8-4038-8281-FBB902465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00127"/>
        <c:axId val="1764298879"/>
      </c:lineChart>
      <c:catAx>
        <c:axId val="176430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Количество параметров задачи</a:t>
                </a:r>
              </a:p>
            </c:rich>
          </c:tx>
          <c:layout>
            <c:manualLayout>
              <c:xMode val="edge"/>
              <c:yMode val="edge"/>
              <c:x val="0.72093632958801501"/>
              <c:y val="0.89346165062700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298879"/>
        <c:crosses val="autoZero"/>
        <c:auto val="1"/>
        <c:lblAlgn val="ctr"/>
        <c:lblOffset val="100"/>
        <c:noMultiLvlLbl val="0"/>
      </c:catAx>
      <c:valAx>
        <c:axId val="176429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3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135627709457663E-2"/>
          <c:y val="0.94243118160954531"/>
          <c:w val="0.87395230400538904"/>
          <c:h val="5.1096149213232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Время работы</a:t>
            </a:r>
            <a:r>
              <a:rPr lang="ru-RU" baseline="0"/>
              <a:t> </a:t>
            </a:r>
            <a:r>
              <a:rPr lang="en-US" baseline="0"/>
              <a:t>Matrix</a:t>
            </a:r>
            <a:r>
              <a:rPr lang="ru-RU"/>
              <a:t> </a:t>
            </a:r>
            <a:r>
              <a:rPr lang="en-US"/>
              <a:t>ACO</a:t>
            </a:r>
            <a:r>
              <a:rPr lang="ru-RU"/>
              <a:t> для</a:t>
            </a:r>
            <a:r>
              <a:rPr lang="ru-RU" baseline="0"/>
              <a:t> одного параметра</a:t>
            </a:r>
            <a:r>
              <a:rPr lang="ru-RU"/>
              <a:t>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8860184611755E-2"/>
          <c:y val="3.542673107890499E-2"/>
          <c:w val="0.9345147306024949"/>
          <c:h val="0.80586658551738999"/>
        </c:manualLayout>
      </c:layout>
      <c:lineChart>
        <c:grouping val="standard"/>
        <c:varyColors val="0"/>
        <c:ser>
          <c:idx val="0"/>
          <c:order val="0"/>
          <c:tx>
            <c:strRef>
              <c:f>Itog!$O$4</c:f>
              <c:strCache>
                <c:ptCount val="1"/>
                <c:pt idx="0">
                  <c:v>i5-8300H + 1050 Ti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Itog!$Q$4:$W$4</c:f>
              <c:numCache>
                <c:formatCode>0</c:formatCode>
                <c:ptCount val="7"/>
                <c:pt idx="0">
                  <c:v>26.17368571428571</c:v>
                </c:pt>
                <c:pt idx="1">
                  <c:v>18.161883333333325</c:v>
                </c:pt>
                <c:pt idx="2">
                  <c:v>14.080917857142854</c:v>
                </c:pt>
                <c:pt idx="3">
                  <c:v>12.342670833333333</c:v>
                </c:pt>
                <c:pt idx="4">
                  <c:v>11.374037202380956</c:v>
                </c:pt>
                <c:pt idx="5">
                  <c:v>10.799607142857141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C-411B-B4D6-A350077DCB5E}"/>
            </c:ext>
          </c:extLst>
        </c:ser>
        <c:ser>
          <c:idx val="1"/>
          <c:order val="1"/>
          <c:tx>
            <c:strRef>
              <c:f>Itog!$O$6</c:f>
              <c:strCache>
                <c:ptCount val="1"/>
                <c:pt idx="0">
                  <c:v>i5-9400F + 1050 Ti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Itog!$Q$6:$W$6</c:f>
              <c:numCache>
                <c:formatCode>0</c:formatCode>
                <c:ptCount val="7"/>
                <c:pt idx="0">
                  <c:v>28.121576190476191</c:v>
                </c:pt>
                <c:pt idx="1">
                  <c:v>20.16200952380952</c:v>
                </c:pt>
                <c:pt idx="2">
                  <c:v>15.655455952380956</c:v>
                </c:pt>
                <c:pt idx="3">
                  <c:v>11.97546785714286</c:v>
                </c:pt>
                <c:pt idx="4">
                  <c:v>14.06893958333333</c:v>
                </c:pt>
                <c:pt idx="5">
                  <c:v>12.370852678571431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C-411B-B4D6-A350077DCB5E}"/>
            </c:ext>
          </c:extLst>
        </c:ser>
        <c:ser>
          <c:idx val="2"/>
          <c:order val="2"/>
          <c:tx>
            <c:strRef>
              <c:f>Itog!$O$8</c:f>
              <c:strCache>
                <c:ptCount val="1"/>
                <c:pt idx="0">
                  <c:v>i5-12450H + 3060 Laptop  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Itog!$Q$8:$W$8</c:f>
              <c:numCache>
                <c:formatCode>0</c:formatCode>
                <c:ptCount val="7"/>
                <c:pt idx="0">
                  <c:v>16.463778095238098</c:v>
                </c:pt>
                <c:pt idx="1">
                  <c:v>10.364808333333334</c:v>
                </c:pt>
                <c:pt idx="2">
                  <c:v>7.5058357142857126</c:v>
                </c:pt>
                <c:pt idx="3">
                  <c:v>6.0141119047619052</c:v>
                </c:pt>
                <c:pt idx="4">
                  <c:v>5.4443610119047623</c:v>
                </c:pt>
                <c:pt idx="5">
                  <c:v>5.042614732142856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AC-411B-B4D6-A350077DCB5E}"/>
            </c:ext>
          </c:extLst>
        </c:ser>
        <c:ser>
          <c:idx val="3"/>
          <c:order val="3"/>
          <c:tx>
            <c:strRef>
              <c:f>Itog!$O$10</c:f>
              <c:strCache>
                <c:ptCount val="1"/>
                <c:pt idx="0">
                  <c:v>i5-13600K + 3060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Itog!$Q$10:$W$10</c:f>
              <c:numCache>
                <c:formatCode>0</c:formatCode>
                <c:ptCount val="7"/>
                <c:pt idx="0">
                  <c:v>17.550789047619041</c:v>
                </c:pt>
                <c:pt idx="1">
                  <c:v>11.31057857142857</c:v>
                </c:pt>
                <c:pt idx="2">
                  <c:v>7.7968904761904767</c:v>
                </c:pt>
                <c:pt idx="3">
                  <c:v>6.2520815476190492</c:v>
                </c:pt>
                <c:pt idx="4">
                  <c:v>5.9163142857142867</c:v>
                </c:pt>
                <c:pt idx="5">
                  <c:v>5.2853023809523805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AC-411B-B4D6-A350077DCB5E}"/>
            </c:ext>
          </c:extLst>
        </c:ser>
        <c:ser>
          <c:idx val="4"/>
          <c:order val="4"/>
          <c:tx>
            <c:strRef>
              <c:f>Itog!$O$12</c:f>
              <c:strCache>
                <c:ptCount val="1"/>
                <c:pt idx="0">
                  <c:v>AMD Ryzen 5 7500F 6 + 4060TI</c:v>
                </c:pt>
              </c:strCache>
            </c:strRef>
          </c:tx>
          <c:spPr>
            <a:ln w="53975" cap="rnd" cmpd="dbl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Itog!$Q$12:$W$12</c:f>
              <c:numCache>
                <c:formatCode>0</c:formatCode>
                <c:ptCount val="7"/>
                <c:pt idx="0">
                  <c:v>12.092297619047621</c:v>
                </c:pt>
                <c:pt idx="1">
                  <c:v>7.5542730952380941</c:v>
                </c:pt>
                <c:pt idx="2">
                  <c:v>5.3284601190476204</c:v>
                </c:pt>
                <c:pt idx="3">
                  <c:v>4.2659202380952381</c:v>
                </c:pt>
                <c:pt idx="4">
                  <c:v>3.7373797619047631</c:v>
                </c:pt>
                <c:pt idx="5">
                  <c:v>3.4747632440476197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AC-411B-B4D6-A350077DC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00127"/>
        <c:axId val="1764298879"/>
      </c:lineChart>
      <c:catAx>
        <c:axId val="176430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Количество параметров задачи</a:t>
                </a:r>
              </a:p>
            </c:rich>
          </c:tx>
          <c:layout>
            <c:manualLayout>
              <c:xMode val="edge"/>
              <c:yMode val="edge"/>
              <c:x val="0.72093632958801501"/>
              <c:y val="0.89346165062700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298879"/>
        <c:crosses val="autoZero"/>
        <c:auto val="1"/>
        <c:lblAlgn val="ctr"/>
        <c:lblOffset val="100"/>
        <c:noMultiLvlLbl val="0"/>
      </c:catAx>
      <c:valAx>
        <c:axId val="176429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3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135627709457663E-2"/>
          <c:y val="0.94243118160954531"/>
          <c:w val="0.87693326255566373"/>
          <c:h val="5.1096149213232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/>
              <a:t>Ускорение времени работы</a:t>
            </a:r>
            <a:r>
              <a:rPr lang="ru-RU" baseline="0"/>
              <a:t> оптимальной модификации с применением </a:t>
            </a:r>
            <a:r>
              <a:rPr lang="en-US" baseline="0"/>
              <a:t>CUDA </a:t>
            </a:r>
            <a:r>
              <a:rPr lang="ru-RU" baseline="0"/>
              <a:t>по сравнению с классическим </a:t>
            </a:r>
            <a:r>
              <a:rPr lang="en-US" baseline="0"/>
              <a:t>ACO</a:t>
            </a:r>
            <a:r>
              <a:rPr lang="ru-RU"/>
              <a:t>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48860184611755E-2"/>
          <c:y val="3.542673107890499E-2"/>
          <c:w val="0.9345147306024949"/>
          <c:h val="0.85017904936031374"/>
        </c:manualLayout>
      </c:layout>
      <c:lineChart>
        <c:grouping val="standard"/>
        <c:varyColors val="0"/>
        <c:ser>
          <c:idx val="0"/>
          <c:order val="0"/>
          <c:tx>
            <c:strRef>
              <c:f>Itog!$O$4</c:f>
              <c:strCache>
                <c:ptCount val="1"/>
                <c:pt idx="0">
                  <c:v>i5-8300H + 1050 Ti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Itog!$Q$4:$W$4</c:f>
              <c:numCache>
                <c:formatCode>0</c:formatCode>
                <c:ptCount val="7"/>
                <c:pt idx="0">
                  <c:v>26.17368571428571</c:v>
                </c:pt>
                <c:pt idx="1">
                  <c:v>18.161883333333325</c:v>
                </c:pt>
                <c:pt idx="2">
                  <c:v>14.080917857142854</c:v>
                </c:pt>
                <c:pt idx="3">
                  <c:v>12.342670833333333</c:v>
                </c:pt>
                <c:pt idx="4">
                  <c:v>11.374037202380956</c:v>
                </c:pt>
                <c:pt idx="5">
                  <c:v>10.799607142857141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2-4FAB-B4E6-8DD6BF50C876}"/>
            </c:ext>
          </c:extLst>
        </c:ser>
        <c:ser>
          <c:idx val="1"/>
          <c:order val="1"/>
          <c:tx>
            <c:strRef>
              <c:f>Itog!$O$6</c:f>
              <c:strCache>
                <c:ptCount val="1"/>
                <c:pt idx="0">
                  <c:v>i5-9400F + 1050 Ti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Itog!$Q$6:$W$6</c:f>
              <c:numCache>
                <c:formatCode>0</c:formatCode>
                <c:ptCount val="7"/>
                <c:pt idx="0">
                  <c:v>28.121576190476191</c:v>
                </c:pt>
                <c:pt idx="1">
                  <c:v>20.16200952380952</c:v>
                </c:pt>
                <c:pt idx="2">
                  <c:v>15.655455952380956</c:v>
                </c:pt>
                <c:pt idx="3">
                  <c:v>11.97546785714286</c:v>
                </c:pt>
                <c:pt idx="4">
                  <c:v>14.06893958333333</c:v>
                </c:pt>
                <c:pt idx="5">
                  <c:v>12.370852678571431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2-4FAB-B4E6-8DD6BF50C876}"/>
            </c:ext>
          </c:extLst>
        </c:ser>
        <c:ser>
          <c:idx val="2"/>
          <c:order val="2"/>
          <c:tx>
            <c:strRef>
              <c:f>Itog!$O$8</c:f>
              <c:strCache>
                <c:ptCount val="1"/>
                <c:pt idx="0">
                  <c:v>i5-12450H + 3060 Laptop  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Itog!$Q$8:$W$8</c:f>
              <c:numCache>
                <c:formatCode>0</c:formatCode>
                <c:ptCount val="7"/>
                <c:pt idx="0">
                  <c:v>16.463778095238098</c:v>
                </c:pt>
                <c:pt idx="1">
                  <c:v>10.364808333333334</c:v>
                </c:pt>
                <c:pt idx="2">
                  <c:v>7.5058357142857126</c:v>
                </c:pt>
                <c:pt idx="3">
                  <c:v>6.0141119047619052</c:v>
                </c:pt>
                <c:pt idx="4">
                  <c:v>5.4443610119047623</c:v>
                </c:pt>
                <c:pt idx="5">
                  <c:v>5.042614732142856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2-4FAB-B4E6-8DD6BF50C876}"/>
            </c:ext>
          </c:extLst>
        </c:ser>
        <c:ser>
          <c:idx val="3"/>
          <c:order val="3"/>
          <c:tx>
            <c:strRef>
              <c:f>Itog!$O$10</c:f>
              <c:strCache>
                <c:ptCount val="1"/>
                <c:pt idx="0">
                  <c:v>i5-13600K + 3060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Itog!$Q$10:$W$10</c:f>
              <c:numCache>
                <c:formatCode>0</c:formatCode>
                <c:ptCount val="7"/>
                <c:pt idx="0">
                  <c:v>17.550789047619041</c:v>
                </c:pt>
                <c:pt idx="1">
                  <c:v>11.31057857142857</c:v>
                </c:pt>
                <c:pt idx="2">
                  <c:v>7.7968904761904767</c:v>
                </c:pt>
                <c:pt idx="3">
                  <c:v>6.2520815476190492</c:v>
                </c:pt>
                <c:pt idx="4">
                  <c:v>5.9163142857142867</c:v>
                </c:pt>
                <c:pt idx="5">
                  <c:v>5.2853023809523805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F2-4FAB-B4E6-8DD6BF50C876}"/>
            </c:ext>
          </c:extLst>
        </c:ser>
        <c:ser>
          <c:idx val="4"/>
          <c:order val="4"/>
          <c:tx>
            <c:strRef>
              <c:f>Itog!$O$12</c:f>
              <c:strCache>
                <c:ptCount val="1"/>
                <c:pt idx="0">
                  <c:v>AMD Ryzen 5 7500F 6 + 4060TI</c:v>
                </c:pt>
              </c:strCache>
            </c:strRef>
          </c:tx>
          <c:spPr>
            <a:ln w="53975" cap="rnd" cmpd="dbl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Itog!$Q$2:$W$2</c:f>
              <c:numCache>
                <c:formatCode>#,##0</c:formatCode>
                <c:ptCount val="7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</c:numCache>
            </c:numRef>
          </c:cat>
          <c:val>
            <c:numRef>
              <c:f>Itog!$Q$12:$W$12</c:f>
              <c:numCache>
                <c:formatCode>0</c:formatCode>
                <c:ptCount val="7"/>
                <c:pt idx="0">
                  <c:v>12.092297619047621</c:v>
                </c:pt>
                <c:pt idx="1">
                  <c:v>7.5542730952380941</c:v>
                </c:pt>
                <c:pt idx="2">
                  <c:v>5.3284601190476204</c:v>
                </c:pt>
                <c:pt idx="3">
                  <c:v>4.2659202380952381</c:v>
                </c:pt>
                <c:pt idx="4">
                  <c:v>3.7373797619047631</c:v>
                </c:pt>
                <c:pt idx="5">
                  <c:v>3.4747632440476197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F2-4FAB-B4E6-8DD6BF50C876}"/>
            </c:ext>
          </c:extLst>
        </c:ser>
        <c:ser>
          <c:idx val="5"/>
          <c:order val="5"/>
          <c:tx>
            <c:strRef>
              <c:f>Itog!$O$14</c:f>
              <c:strCache>
                <c:ptCount val="1"/>
                <c:pt idx="0">
                  <c:v>Jetson Orin </c:v>
                </c:pt>
              </c:strCache>
            </c:strRef>
          </c:tx>
          <c:spPr>
            <a:ln w="3492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Itog!$Q$14:$W$14</c:f>
              <c:numCache>
                <c:formatCode>0</c:formatCode>
                <c:ptCount val="7"/>
                <c:pt idx="0">
                  <c:v>10.50615809523809</c:v>
                </c:pt>
                <c:pt idx="1">
                  <c:v>6.81516761904762</c:v>
                </c:pt>
                <c:pt idx="2">
                  <c:v>4.9888017857142843</c:v>
                </c:pt>
                <c:pt idx="3">
                  <c:v>4.2645345238095231</c:v>
                </c:pt>
                <c:pt idx="4">
                  <c:v>4.205383035714287</c:v>
                </c:pt>
                <c:pt idx="5">
                  <c:v>3.8691999999999998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C-4D6F-BAA0-9F10EF261931}"/>
            </c:ext>
          </c:extLst>
        </c:ser>
        <c:ser>
          <c:idx val="6"/>
          <c:order val="6"/>
          <c:tx>
            <c:strRef>
              <c:f>Itog!$O$16</c:f>
              <c:strCache>
                <c:ptCount val="1"/>
                <c:pt idx="0">
                  <c:v>Tesla V100 </c:v>
                </c:pt>
              </c:strCache>
            </c:strRef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Itog!$Q$16:$W$16</c:f>
              <c:numCache>
                <c:formatCode>0</c:formatCode>
                <c:ptCount val="7"/>
                <c:pt idx="0">
                  <c:v>3.3409728571428552</c:v>
                </c:pt>
                <c:pt idx="1">
                  <c:v>2.1189650000000002</c:v>
                </c:pt>
                <c:pt idx="2">
                  <c:v>1.5079782142857145</c:v>
                </c:pt>
                <c:pt idx="3">
                  <c:v>1.2961796428571428</c:v>
                </c:pt>
                <c:pt idx="4">
                  <c:v>1.3406398511904765</c:v>
                </c:pt>
                <c:pt idx="5">
                  <c:v>1.2379494047619051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EC-4D6F-BAA0-9F10EF26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00127"/>
        <c:axId val="1764298879"/>
      </c:lineChart>
      <c:catAx>
        <c:axId val="176430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ru-RU"/>
                  <a:t>Количество параметров задачи</a:t>
                </a:r>
              </a:p>
            </c:rich>
          </c:tx>
          <c:layout>
            <c:manualLayout>
              <c:xMode val="edge"/>
              <c:yMode val="edge"/>
              <c:x val="0.72562700386996193"/>
              <c:y val="0.840643997621252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298879"/>
        <c:crosses val="autoZero"/>
        <c:auto val="1"/>
        <c:lblAlgn val="ctr"/>
        <c:lblOffset val="100"/>
        <c:noMultiLvlLbl val="0"/>
      </c:catAx>
      <c:valAx>
        <c:axId val="176429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7643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135627709457663E-2"/>
          <c:y val="0.94243118160954531"/>
          <c:w val="0.95586441376068909"/>
          <c:h val="5.75688234949048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'REA ANT'!$C$40</c:f>
              <c:strCache>
                <c:ptCount val="1"/>
                <c:pt idx="0">
                  <c:v>CUDA 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'REA ANT'!$D$2:$J$2</c:f>
              <c:numCache>
                <c:formatCode>#,##0</c:formatCode>
                <c:ptCount val="7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</c:numCache>
            </c:numRef>
          </c:cat>
          <c:val>
            <c:numRef>
              <c:f>'REA ANT'!$D$40:$J$40</c:f>
              <c:numCache>
                <c:formatCode>0.000</c:formatCode>
                <c:ptCount val="7"/>
                <c:pt idx="0">
                  <c:v>1.0264497599999998</c:v>
                </c:pt>
                <c:pt idx="1">
                  <c:v>0.96242931999999992</c:v>
                </c:pt>
                <c:pt idx="2">
                  <c:v>0.94256306666666645</c:v>
                </c:pt>
                <c:pt idx="3">
                  <c:v>0.93278919999999987</c:v>
                </c:pt>
                <c:pt idx="4">
                  <c:v>0.92678456000000009</c:v>
                </c:pt>
                <c:pt idx="5">
                  <c:v>0.92371499999999951</c:v>
                </c:pt>
                <c:pt idx="6">
                  <c:v>0.92359062857142848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EE-4036-8152-951997818DC1}"/>
            </c:ext>
          </c:extLst>
        </c:ser>
        <c:ser>
          <c:idx val="1"/>
          <c:order val="1"/>
          <c:tx>
            <c:strRef>
              <c:f>'REA ANT'!$C$41</c:f>
              <c:strCache>
                <c:ptCount val="1"/>
                <c:pt idx="0">
                  <c:v>CUDA ant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'REA ANT'!$D$2:$J$2</c:f>
              <c:numCache>
                <c:formatCode>#,##0</c:formatCode>
                <c:ptCount val="7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</c:numCache>
            </c:numRef>
          </c:cat>
          <c:val>
            <c:numRef>
              <c:f>'REA ANT'!$D$41:$J$41</c:f>
              <c:numCache>
                <c:formatCode>0.000</c:formatCode>
                <c:ptCount val="7"/>
                <c:pt idx="0">
                  <c:v>0.86344332000000024</c:v>
                </c:pt>
                <c:pt idx="1">
                  <c:v>0.74851799999999957</c:v>
                </c:pt>
                <c:pt idx="2">
                  <c:v>0.57356683999999991</c:v>
                </c:pt>
                <c:pt idx="3">
                  <c:v>0.47327469000000005</c:v>
                </c:pt>
                <c:pt idx="4">
                  <c:v>0.41465687999999989</c:v>
                </c:pt>
                <c:pt idx="5">
                  <c:v>0.4122756666666666</c:v>
                </c:pt>
                <c:pt idx="6">
                  <c:v>0.38994588571428573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EE-4036-8152-951997818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7172560"/>
        <c:axId val="777174224"/>
      </c:lineChart>
      <c:catAx>
        <c:axId val="77717256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7174224"/>
        <c:crosses val="autoZero"/>
        <c:auto val="1"/>
        <c:lblAlgn val="ctr"/>
        <c:lblOffset val="100"/>
        <c:noMultiLvlLbl val="0"/>
      </c:catAx>
      <c:valAx>
        <c:axId val="77717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717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'REA ANT'!$D$50:$J$50</c:f>
              <c:numCache>
                <c:formatCode>0.000</c:formatCode>
                <c:ptCount val="7"/>
                <c:pt idx="0">
                  <c:v>0.76171491999999985</c:v>
                </c:pt>
                <c:pt idx="1">
                  <c:v>0.67032955999999999</c:v>
                </c:pt>
                <c:pt idx="2">
                  <c:v>0.50798773333333336</c:v>
                </c:pt>
                <c:pt idx="3">
                  <c:v>0.42319549000000006</c:v>
                </c:pt>
                <c:pt idx="4">
                  <c:v>0.37726855200000003</c:v>
                </c:pt>
                <c:pt idx="5">
                  <c:v>0.34241586666666657</c:v>
                </c:pt>
                <c:pt idx="6">
                  <c:v>0.31425148571428574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9-4E5A-8D5F-DA689F8C752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'REA ANT'!$D$51:$J$51</c:f>
              <c:numCache>
                <c:formatCode>0.000</c:formatCode>
                <c:ptCount val="7"/>
                <c:pt idx="0">
                  <c:v>0.88540295999999974</c:v>
                </c:pt>
                <c:pt idx="1">
                  <c:v>0.79358485999999995</c:v>
                </c:pt>
                <c:pt idx="2">
                  <c:v>0.63294977333333313</c:v>
                </c:pt>
                <c:pt idx="3">
                  <c:v>0.54736230000000019</c:v>
                </c:pt>
                <c:pt idx="4">
                  <c:v>0.50346648000000005</c:v>
                </c:pt>
                <c:pt idx="5">
                  <c:v>0.46904533333333331</c:v>
                </c:pt>
                <c:pt idx="6">
                  <c:v>0.44168937142857151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9-4E5A-8D5F-DA689F8C752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'REA ANT'!$D$52:$J$52</c:f>
              <c:numCache>
                <c:formatCode>0.000</c:formatCode>
                <c:ptCount val="7"/>
                <c:pt idx="0">
                  <c:v>1.0176223200000003</c:v>
                </c:pt>
                <c:pt idx="1">
                  <c:v>0.95787708000000027</c:v>
                </c:pt>
                <c:pt idx="2">
                  <c:v>0.93802920000000012</c:v>
                </c:pt>
                <c:pt idx="3">
                  <c:v>0.93064379999999991</c:v>
                </c:pt>
                <c:pt idx="4">
                  <c:v>0.92489520000000014</c:v>
                </c:pt>
                <c:pt idx="5">
                  <c:v>0.92075680000000026</c:v>
                </c:pt>
                <c:pt idx="6">
                  <c:v>0.91788634285714288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9-4E5A-8D5F-DA689F8C752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'REA ANT'!$D$53:$J$53</c:f>
              <c:numCache>
                <c:formatCode>0.000</c:formatCode>
                <c:ptCount val="7"/>
                <c:pt idx="0">
                  <c:v>0.75454984000000025</c:v>
                </c:pt>
                <c:pt idx="1">
                  <c:v>0.66587520000000011</c:v>
                </c:pt>
                <c:pt idx="2">
                  <c:v>0.50519406666666666</c:v>
                </c:pt>
                <c:pt idx="3">
                  <c:v>0.42089454000000009</c:v>
                </c:pt>
                <c:pt idx="4">
                  <c:v>0.37560009600000005</c:v>
                </c:pt>
                <c:pt idx="5">
                  <c:v>0.3403972666666667</c:v>
                </c:pt>
                <c:pt idx="6">
                  <c:v>0.31307371428571434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49-4E5A-8D5F-DA689F8C7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474559"/>
        <c:axId val="438477055"/>
      </c:lineChart>
      <c:catAx>
        <c:axId val="438474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8477055"/>
        <c:crosses val="autoZero"/>
        <c:auto val="1"/>
        <c:lblAlgn val="ctr"/>
        <c:lblOffset val="100"/>
        <c:noMultiLvlLbl val="0"/>
      </c:catAx>
      <c:valAx>
        <c:axId val="43847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847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Лист11!$C$24:$L$24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1000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xVal>
          <c:yVal>
            <c:numRef>
              <c:f>Лист11!$C$25:$L$25</c:f>
              <c:numCache>
                <c:formatCode>General</c:formatCode>
                <c:ptCount val="10"/>
                <c:pt idx="0">
                  <c:v>5.7055189999999999E-2</c:v>
                </c:pt>
                <c:pt idx="1">
                  <c:v>3.7756829999999998E-2</c:v>
                </c:pt>
                <c:pt idx="2">
                  <c:v>2.9825143333333332E-2</c:v>
                </c:pt>
                <c:pt idx="3">
                  <c:v>2.6549174999999998E-2</c:v>
                </c:pt>
                <c:pt idx="4">
                  <c:v>2.486242E-2</c:v>
                </c:pt>
                <c:pt idx="5">
                  <c:v>2.0273421E-2</c:v>
                </c:pt>
                <c:pt idx="6">
                  <c:v>1.8058990666666667E-2</c:v>
                </c:pt>
                <c:pt idx="7">
                  <c:v>1.6910910500000001E-2</c:v>
                </c:pt>
                <c:pt idx="8">
                  <c:v>1.5998343600000003E-2</c:v>
                </c:pt>
                <c:pt idx="9">
                  <c:v>1.5370088E-2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B-4427-83B0-F75A59F8B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34623"/>
        <c:axId val="643125887"/>
      </c:scatterChart>
      <c:valAx>
        <c:axId val="643134623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125887"/>
        <c:crosses val="autoZero"/>
        <c:crossBetween val="midCat"/>
      </c:valAx>
      <c:valAx>
        <c:axId val="64312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13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Лист11!$J$48:$J$57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1000</c:v>
                </c:pt>
                <c:pt idx="6">
                  <c:v>1500</c:v>
                </c:pt>
                <c:pt idx="7">
                  <c:v>2000</c:v>
                </c:pt>
                <c:pt idx="8">
                  <c:v>2500</c:v>
                </c:pt>
                <c:pt idx="9">
                  <c:v>3000</c:v>
                </c:pt>
              </c:numCache>
            </c:numRef>
          </c:xVal>
          <c:yVal>
            <c:numRef>
              <c:f>Лист11!$K$48:$K$57</c:f>
              <c:numCache>
                <c:formatCode>General</c:formatCode>
                <c:ptCount val="10"/>
                <c:pt idx="0">
                  <c:v>2.3564299032606129</c:v>
                </c:pt>
                <c:pt idx="1">
                  <c:v>3.5693796761391745</c:v>
                </c:pt>
                <c:pt idx="2">
                  <c:v>4.5707126930750688</c:v>
                </c:pt>
                <c:pt idx="3">
                  <c:v>5.222318604732771</c:v>
                </c:pt>
                <c:pt idx="4">
                  <c:v>5.7085274621706219</c:v>
                </c:pt>
                <c:pt idx="5">
                  <c:v>7.2798234174110563</c:v>
                </c:pt>
                <c:pt idx="6">
                  <c:v>8.3050496341624118</c:v>
                </c:pt>
                <c:pt idx="7">
                  <c:v>8.9785723380877087</c:v>
                </c:pt>
                <c:pt idx="8">
                  <c:v>9.6917647406269829</c:v>
                </c:pt>
                <c:pt idx="9">
                  <c:v>10.09809078383681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B4-4ED3-AD5F-6BEBA8624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078191"/>
        <c:axId val="663065711"/>
      </c:scatterChart>
      <c:valAx>
        <c:axId val="663078191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065711"/>
        <c:crosses val="autoZero"/>
        <c:crossBetween val="midCat"/>
      </c:valAx>
      <c:valAx>
        <c:axId val="66306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078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Лист9!$F$3:$F$16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</c:numCache>
            </c:numRef>
          </c:xVal>
          <c:yVal>
            <c:numRef>
              <c:f>Лист9!$G$3:$G$16</c:f>
              <c:numCache>
                <c:formatCode>0.00</c:formatCode>
                <c:ptCount val="14"/>
                <c:pt idx="0">
                  <c:v>18.548114000000002</c:v>
                </c:pt>
                <c:pt idx="1">
                  <c:v>34.734493999999998</c:v>
                </c:pt>
                <c:pt idx="2">
                  <c:v>50.831505999999997</c:v>
                </c:pt>
                <c:pt idx="3">
                  <c:v>66.816568000000004</c:v>
                </c:pt>
                <c:pt idx="4">
                  <c:v>83.150891999999999</c:v>
                </c:pt>
                <c:pt idx="5">
                  <c:v>99.259257000000005</c:v>
                </c:pt>
                <c:pt idx="6">
                  <c:v>115.388498</c:v>
                </c:pt>
                <c:pt idx="7">
                  <c:v>131.55477400000001</c:v>
                </c:pt>
                <c:pt idx="8">
                  <c:v>140.24016800000001</c:v>
                </c:pt>
                <c:pt idx="9">
                  <c:v>163.469977</c:v>
                </c:pt>
                <c:pt idx="10">
                  <c:v>244.107529</c:v>
                </c:pt>
                <c:pt idx="11">
                  <c:v>324.43110200000001</c:v>
                </c:pt>
                <c:pt idx="12">
                  <c:v>410.21108199999998</c:v>
                </c:pt>
                <c:pt idx="13">
                  <c:v>489.09318400000001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7-4DFE-9D6F-98F8A7D55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062383"/>
        <c:axId val="663082351"/>
      </c:scatterChart>
      <c:valAx>
        <c:axId val="66306238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082351"/>
        <c:crosses val="autoZero"/>
        <c:crossBetween val="midCat"/>
      </c:valAx>
      <c:valAx>
        <c:axId val="66308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3062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Лист9!$D$3:$D$16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</c:numCache>
            </c:numRef>
          </c:xVal>
          <c:yVal>
            <c:numRef>
              <c:f>Лист9!$E$3:$E$16</c:f>
              <c:numCache>
                <c:formatCode>0.00</c:formatCode>
                <c:ptCount val="14"/>
                <c:pt idx="0">
                  <c:v>106.70293600000001</c:v>
                </c:pt>
                <c:pt idx="1">
                  <c:v>146.33821</c:v>
                </c:pt>
                <c:pt idx="2">
                  <c:v>187.84648000000001</c:v>
                </c:pt>
                <c:pt idx="3">
                  <c:v>232.89554299999998</c:v>
                </c:pt>
                <c:pt idx="4">
                  <c:v>270.598725</c:v>
                </c:pt>
                <c:pt idx="5">
                  <c:v>274.743403</c:v>
                </c:pt>
                <c:pt idx="6">
                  <c:v>274.58058500000004</c:v>
                </c:pt>
                <c:pt idx="7">
                  <c:v>274.38090799999998</c:v>
                </c:pt>
                <c:pt idx="8">
                  <c:v>260.64100699999995</c:v>
                </c:pt>
                <c:pt idx="9">
                  <c:v>274.69954099999995</c:v>
                </c:pt>
                <c:pt idx="10">
                  <c:v>276.97767599999997</c:v>
                </c:pt>
                <c:pt idx="11">
                  <c:v>279.27574900000002</c:v>
                </c:pt>
                <c:pt idx="12">
                  <c:v>280.26859200000007</c:v>
                </c:pt>
                <c:pt idx="13">
                  <c:v>280.472105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1B-4897-963F-8007D4936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186703"/>
        <c:axId val="449192527"/>
      </c:scatterChart>
      <c:valAx>
        <c:axId val="44918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192527"/>
        <c:crosses val="autoZero"/>
        <c:crossBetween val="midCat"/>
      </c:valAx>
      <c:valAx>
        <c:axId val="44919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918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 размерность'!$C$9</c:f>
              <c:strCache>
                <c:ptCount val="1"/>
                <c:pt idx="0">
                  <c:v>CUDA ant par global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'REA размерность'!$D$9:$S$9</c:f>
              <c:numCache>
                <c:formatCode>0.00</c:formatCode>
                <c:ptCount val="16"/>
                <c:pt idx="0">
                  <c:v>3.797217142857142</c:v>
                </c:pt>
                <c:pt idx="1">
                  <c:v>2.5642399999999994</c:v>
                </c:pt>
                <c:pt idx="2">
                  <c:v>1.9322652380952379</c:v>
                </c:pt>
                <c:pt idx="3">
                  <c:v>1.7616498214285712</c:v>
                </c:pt>
                <c:pt idx="4">
                  <c:v>1.6922610119047623</c:v>
                </c:pt>
                <c:pt idx="5">
                  <c:v>1.5547260416666664</c:v>
                </c:pt>
                <c:pt idx="6">
                  <c:v>1.4720832589285711</c:v>
                </c:pt>
                <c:pt idx="7">
                  <c:v>1.438241852678571</c:v>
                </c:pt>
                <c:pt idx="8">
                  <c:v>1.4215251116071435</c:v>
                </c:pt>
                <c:pt idx="9">
                  <c:v>1.4241966145833334</c:v>
                </c:pt>
                <c:pt idx="10">
                  <c:v>1.424470935639881</c:v>
                </c:pt>
                <c:pt idx="11">
                  <c:v>1.4395984468005953</c:v>
                </c:pt>
                <c:pt idx="12">
                  <c:v>1.4579302687872024</c:v>
                </c:pt>
                <c:pt idx="13">
                  <c:v>1.613744012741815</c:v>
                </c:pt>
                <c:pt idx="14">
                  <c:v>1.4656978862973762</c:v>
                </c:pt>
                <c:pt idx="15">
                  <c:v>1.6301067533947173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AF-4E2E-98E5-B7D2B133E5E0}"/>
            </c:ext>
          </c:extLst>
        </c:ser>
        <c:ser>
          <c:idx val="1"/>
          <c:order val="1"/>
          <c:tx>
            <c:strRef>
              <c:f>'REA размерность'!$C$10</c:f>
              <c:strCache>
                <c:ptCount val="1"/>
                <c:pt idx="0">
                  <c:v>CUDA opt ant par global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'REA размерность'!$D$10:$S$10</c:f>
              <c:numCache>
                <c:formatCode>0.00</c:formatCode>
                <c:ptCount val="16"/>
                <c:pt idx="0">
                  <c:v>3.7209633333333336</c:v>
                </c:pt>
                <c:pt idx="1">
                  <c:v>2.5209164285714287</c:v>
                </c:pt>
                <c:pt idx="2">
                  <c:v>1.9098333333333333</c:v>
                </c:pt>
                <c:pt idx="3">
                  <c:v>1.748125892857143</c:v>
                </c:pt>
                <c:pt idx="4">
                  <c:v>1.6857794642857147</c:v>
                </c:pt>
                <c:pt idx="5">
                  <c:v>1.5525580357142863</c:v>
                </c:pt>
                <c:pt idx="6">
                  <c:v>1.4708705357142859</c:v>
                </c:pt>
                <c:pt idx="7">
                  <c:v>1.4375252232142863</c:v>
                </c:pt>
                <c:pt idx="8">
                  <c:v>1.4192427455357144</c:v>
                </c:pt>
                <c:pt idx="9">
                  <c:v>1.4219015997023807</c:v>
                </c:pt>
                <c:pt idx="10">
                  <c:v>1.4228742094494049</c:v>
                </c:pt>
                <c:pt idx="11">
                  <c:v>1.4399527994791665</c:v>
                </c:pt>
                <c:pt idx="12">
                  <c:v>1.4340727306547618</c:v>
                </c:pt>
                <c:pt idx="13">
                  <c:v>1.5084835379464285</c:v>
                </c:pt>
                <c:pt idx="14">
                  <c:v>1.4318908750721271</c:v>
                </c:pt>
                <c:pt idx="15">
                  <c:v>1.5889802478608632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AF-4E2E-98E5-B7D2B133E5E0}"/>
            </c:ext>
          </c:extLst>
        </c:ser>
        <c:ser>
          <c:idx val="2"/>
          <c:order val="2"/>
          <c:tx>
            <c:strRef>
              <c:f>'REA размерность'!$C$11</c:f>
              <c:strCache>
                <c:ptCount val="1"/>
                <c:pt idx="0">
                  <c:v>CUDA ant add CPU Time global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'REA размерность'!$D$11:$S$11</c:f>
              <c:numCache>
                <c:formatCode>0.00</c:formatCode>
                <c:ptCount val="16"/>
                <c:pt idx="0">
                  <c:v>4.1044414285714286</c:v>
                </c:pt>
                <c:pt idx="1">
                  <c:v>3.4999657142857141</c:v>
                </c:pt>
                <c:pt idx="2">
                  <c:v>3.3604311904761901</c:v>
                </c:pt>
                <c:pt idx="3">
                  <c:v>3.6874630952380945</c:v>
                </c:pt>
                <c:pt idx="4">
                  <c:v>3.9381020833333338</c:v>
                </c:pt>
                <c:pt idx="5">
                  <c:v>3.9843410714285716</c:v>
                </c:pt>
                <c:pt idx="6">
                  <c:v>3.9157433035714284</c:v>
                </c:pt>
                <c:pt idx="7">
                  <c:v>3.9141614583333353</c:v>
                </c:pt>
                <c:pt idx="8">
                  <c:v>4.5784564732142865</c:v>
                </c:pt>
                <c:pt idx="9">
                  <c:v>5.2963076636904765</c:v>
                </c:pt>
                <c:pt idx="10">
                  <c:v>5.3616727120535712</c:v>
                </c:pt>
                <c:pt idx="11">
                  <c:v>5.3897719029017859</c:v>
                </c:pt>
                <c:pt idx="12">
                  <c:v>5.4121484375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AF-4E2E-98E5-B7D2B133E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366304"/>
        <c:axId val="446362560"/>
      </c:lineChart>
      <c:catAx>
        <c:axId val="446366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362560"/>
        <c:crosses val="autoZero"/>
        <c:auto val="1"/>
        <c:lblAlgn val="ctr"/>
        <c:lblOffset val="100"/>
        <c:noMultiLvlLbl val="0"/>
      </c:catAx>
      <c:valAx>
        <c:axId val="44636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636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Лист7!$B$57</c:f>
              <c:strCache>
                <c:ptCount val="1"/>
                <c:pt idx="0">
                  <c:v>Ноутбук 8th Gen Intel Core i5-8300H 2.30 GHz (8Gb ОЗУ) + NVIDIA GeForce GTX 1050 Ti;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Лист7!$D$44:$J$44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</c:numCache>
            </c:numRef>
          </c:cat>
          <c:val>
            <c:numRef>
              <c:f>Лист7!$D$57:$J$57</c:f>
              <c:numCache>
                <c:formatCode>0.00E+00</c:formatCode>
                <c:ptCount val="7"/>
                <c:pt idx="0">
                  <c:v>3.419695560515873E-2</c:v>
                </c:pt>
                <c:pt idx="1">
                  <c:v>2.3745145089285716E-2</c:v>
                </c:pt>
                <c:pt idx="2">
                  <c:v>1.8426742311507933E-2</c:v>
                </c:pt>
                <c:pt idx="3">
                  <c:v>1.601602570064484E-2</c:v>
                </c:pt>
                <c:pt idx="4">
                  <c:v>1.4847744993179562E-2</c:v>
                </c:pt>
                <c:pt idx="5">
                  <c:v>1.4069006541418655E-2</c:v>
                </c:pt>
                <c:pt idx="6">
                  <c:v>1.3717459542410708E-2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D4-4A5E-BE40-E67C579732B3}"/>
            </c:ext>
          </c:extLst>
        </c:ser>
        <c:ser>
          <c:idx val="1"/>
          <c:order val="1"/>
          <c:tx>
            <c:strRef>
              <c:f>Лист7!$B$55</c:f>
              <c:strCache>
                <c:ptCount val="1"/>
                <c:pt idx="0">
                  <c:v>ПК 9th Gen Intel Core i5-9400F 2.90 GHz (16Gb ОЗУ) + NVIDIA GeForce GTX 1050 Ti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Лист7!$D$55:$J$55</c:f>
              <c:numCache>
                <c:formatCode>0.00E+00</c:formatCode>
                <c:ptCount val="7"/>
                <c:pt idx="0">
                  <c:v>3.6846130952380957E-2</c:v>
                </c:pt>
                <c:pt idx="1">
                  <c:v>2.4257893105158728E-2</c:v>
                </c:pt>
                <c:pt idx="2">
                  <c:v>2.0366255890376987E-2</c:v>
                </c:pt>
                <c:pt idx="3">
                  <c:v>1.7733592974950387E-2</c:v>
                </c:pt>
                <c:pt idx="4">
                  <c:v>1.7522053261408724E-2</c:v>
                </c:pt>
                <c:pt idx="5">
                  <c:v>1.6638931516617064E-2</c:v>
                </c:pt>
                <c:pt idx="6">
                  <c:v>1.5580718509734625E-2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D4-4A5E-BE40-E67C579732B3}"/>
            </c:ext>
          </c:extLst>
        </c:ser>
        <c:ser>
          <c:idx val="2"/>
          <c:order val="2"/>
          <c:tx>
            <c:strRef>
              <c:f>Лист7!$B$53</c:f>
              <c:strCache>
                <c:ptCount val="1"/>
                <c:pt idx="0">
                  <c:v>Ноутбук 12th Gen Intel Core i5-12450H 2.00 GHz (16Gb ОЗУ) + NVIDIA GeForce RTX 3060 Laptop GPU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Лист7!$D$53:$J$53</c:f>
              <c:numCache>
                <c:formatCode>0.00E+00</c:formatCode>
                <c:ptCount val="7"/>
                <c:pt idx="0">
                  <c:v>4.2042223462301579E-3</c:v>
                </c:pt>
                <c:pt idx="1">
                  <c:v>2.75914273313492E-3</c:v>
                </c:pt>
                <c:pt idx="2">
                  <c:v>1.9809195188492069E-3</c:v>
                </c:pt>
                <c:pt idx="3">
                  <c:v>1.5978641183035716E-3</c:v>
                </c:pt>
                <c:pt idx="4">
                  <c:v>1.4631104290674607E-3</c:v>
                </c:pt>
                <c:pt idx="5">
                  <c:v>1.3928341626364088E-3</c:v>
                </c:pt>
                <c:pt idx="6">
                  <c:v>1.3213303338913689E-3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D4-4A5E-BE40-E67C579732B3}"/>
            </c:ext>
          </c:extLst>
        </c:ser>
        <c:ser>
          <c:idx val="3"/>
          <c:order val="3"/>
          <c:tx>
            <c:strRef>
              <c:f>Лист7!$B$51</c:f>
              <c:strCache>
                <c:ptCount val="1"/>
                <c:pt idx="0">
                  <c:v>ПК 13th Gen Intel Core i5-13600K 3.50 GHz (64Gb ОЗУ) + NVIDIA GeForce RTX 3060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Лист7!$D$51:$J$51</c:f>
              <c:numCache>
                <c:formatCode>0.00E+00</c:formatCode>
                <c:ptCount val="7"/>
                <c:pt idx="0">
                  <c:v>4.8944383769132654E-3</c:v>
                </c:pt>
                <c:pt idx="1">
                  <c:v>3.1247897401147965E-3</c:v>
                </c:pt>
                <c:pt idx="2">
                  <c:v>2.2046486367984694E-3</c:v>
                </c:pt>
                <c:pt idx="3">
                  <c:v>1.8266267737563778E-3</c:v>
                </c:pt>
                <c:pt idx="4">
                  <c:v>1.6622500465029763E-3</c:v>
                </c:pt>
                <c:pt idx="5">
                  <c:v>1.4850988686490217E-3</c:v>
                </c:pt>
                <c:pt idx="6">
                  <c:v>1.4136678475100979E-3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D4-4A5E-BE40-E67C579732B3}"/>
            </c:ext>
          </c:extLst>
        </c:ser>
        <c:ser>
          <c:idx val="4"/>
          <c:order val="4"/>
          <c:tx>
            <c:strRef>
              <c:f>Лист7!$B$49</c:f>
              <c:strCache>
                <c:ptCount val="1"/>
                <c:pt idx="0">
                  <c:v>ПК AMD Ryzen 5 7500F 6-Core Processor 3.70GHz (8Gb ОЗУ).  + NVIDIA GeForce RTX 4060 Ti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Лист7!$D$49:$J$49</c:f>
              <c:numCache>
                <c:formatCode>0.00E+00</c:formatCode>
                <c:ptCount val="7"/>
                <c:pt idx="0">
                  <c:v>2.7733040091036413E-3</c:v>
                </c:pt>
                <c:pt idx="1">
                  <c:v>1.7392864255077033E-3</c:v>
                </c:pt>
                <c:pt idx="2">
                  <c:v>1.2179787618172271E-3</c:v>
                </c:pt>
                <c:pt idx="3">
                  <c:v>9.8175100118172301E-4</c:v>
                </c:pt>
                <c:pt idx="4">
                  <c:v>8.9623722535889347E-4</c:v>
                </c:pt>
                <c:pt idx="5">
                  <c:v>8.1000036244966767E-4</c:v>
                </c:pt>
                <c:pt idx="6">
                  <c:v>7.6139594753917212E-4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D4-4A5E-BE40-E67C579732B3}"/>
            </c:ext>
          </c:extLst>
        </c:ser>
        <c:ser>
          <c:idx val="5"/>
          <c:order val="5"/>
          <c:tx>
            <c:strRef>
              <c:f>Лист7!$B$47</c:f>
              <c:strCache>
                <c:ptCount val="1"/>
                <c:pt idx="0">
                  <c:v>Платформа для разработки приложений искусственного интеллекта NVIDIA Jetson Orin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Лист7!$D$47:$J$47</c:f>
              <c:numCache>
                <c:formatCode>0.00E+00</c:formatCode>
                <c:ptCount val="7"/>
                <c:pt idx="0">
                  <c:v>1.1055314825148812E-2</c:v>
                </c:pt>
                <c:pt idx="1">
                  <c:v>7.1212644159226205E-3</c:v>
                </c:pt>
                <c:pt idx="2">
                  <c:v>4.8353867885044637E-3</c:v>
                </c:pt>
                <c:pt idx="3">
                  <c:v>4.1327723911830328E-3</c:v>
                </c:pt>
                <c:pt idx="4">
                  <c:v>4.232346017020089E-3</c:v>
                </c:pt>
                <c:pt idx="5">
                  <c:v>3.9707669212704615E-3</c:v>
                </c:pt>
                <c:pt idx="6">
                  <c:v>3.7987300327845972E-3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D4-4A5E-BE40-E67C579732B3}"/>
            </c:ext>
          </c:extLst>
        </c:ser>
        <c:ser>
          <c:idx val="6"/>
          <c:order val="6"/>
          <c:tx>
            <c:strRef>
              <c:f>Лист7!$B$45</c:f>
              <c:strCache>
                <c:ptCount val="1"/>
                <c:pt idx="0">
                  <c:v>Сервер DELL POWEREDGE C4140 Intel Xeon Gold 6130 2.1 GHz 16 Core (2Tb ОЗУ) + NVIDIA Tesla V100 16GB SXM2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Лист7!$D$45:$J$45</c:f>
              <c:numCache>
                <c:formatCode>0.00E+00</c:formatCode>
                <c:ptCount val="7"/>
                <c:pt idx="0">
                  <c:v>7.0292829241071447E-4</c:v>
                </c:pt>
                <c:pt idx="1">
                  <c:v>4.5120721726190467E-4</c:v>
                </c:pt>
                <c:pt idx="2">
                  <c:v>3.2453920200892856E-4</c:v>
                </c:pt>
                <c:pt idx="3">
                  <c:v>2.8439876302083342E-4</c:v>
                </c:pt>
                <c:pt idx="4">
                  <c:v>2.8063435872395829E-4</c:v>
                </c:pt>
                <c:pt idx="5">
                  <c:v>2.6500584193638402E-4</c:v>
                </c:pt>
                <c:pt idx="6">
                  <c:v>2.2262783958798389E-4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D4-4A5E-BE40-E67C57973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483711"/>
        <c:axId val="438484543"/>
      </c:lineChart>
      <c:catAx>
        <c:axId val="43848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8484543"/>
        <c:crosses val="autoZero"/>
        <c:auto val="1"/>
        <c:lblAlgn val="ctr"/>
        <c:lblOffset val="100"/>
        <c:noMultiLvlLbl val="0"/>
      </c:catAx>
      <c:valAx>
        <c:axId val="43848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848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dash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Лист12!$C$11:$R$11</c:f>
              <c:numCache>
                <c:formatCode>General</c:formatCode>
                <c:ptCount val="16"/>
                <c:pt idx="0">
                  <c:v>3.4499999999999997</c:v>
                </c:pt>
                <c:pt idx="1">
                  <c:v>2.16</c:v>
                </c:pt>
                <c:pt idx="2">
                  <c:v>1.56</c:v>
                </c:pt>
                <c:pt idx="3">
                  <c:v>1.3</c:v>
                </c:pt>
                <c:pt idx="4">
                  <c:v>1.37</c:v>
                </c:pt>
                <c:pt idx="5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9A-4065-9B79-0BC0DC5E308D}"/>
            </c:ext>
          </c:extLst>
        </c:ser>
        <c:ser>
          <c:idx val="2"/>
          <c:order val="1"/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Лист12!$C$13:$R$13</c:f>
              <c:numCache>
                <c:formatCode>General</c:formatCode>
                <c:ptCount val="16"/>
                <c:pt idx="0">
                  <c:v>3.23</c:v>
                </c:pt>
                <c:pt idx="1">
                  <c:v>2.08</c:v>
                </c:pt>
                <c:pt idx="2">
                  <c:v>1.46</c:v>
                </c:pt>
                <c:pt idx="3">
                  <c:v>1.3</c:v>
                </c:pt>
                <c:pt idx="4">
                  <c:v>1.31</c:v>
                </c:pt>
                <c:pt idx="5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9A-4065-9B79-0BC0DC5E308D}"/>
            </c:ext>
          </c:extLst>
        </c:ser>
        <c:ser>
          <c:idx val="1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Лист12!$C$12:$R$12</c:f>
              <c:numCache>
                <c:formatCode>General</c:formatCode>
                <c:ptCount val="16"/>
                <c:pt idx="0">
                  <c:v>3.34</c:v>
                </c:pt>
                <c:pt idx="1">
                  <c:v>2.12</c:v>
                </c:pt>
                <c:pt idx="2">
                  <c:v>1.51</c:v>
                </c:pt>
                <c:pt idx="3">
                  <c:v>1.3</c:v>
                </c:pt>
                <c:pt idx="4">
                  <c:v>1.34</c:v>
                </c:pt>
                <c:pt idx="5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9A-4065-9B79-0BC0DC5E3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736294176"/>
        <c:axId val="736295008"/>
      </c:lineChart>
      <c:catAx>
        <c:axId val="7362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295008"/>
        <c:crosses val="autoZero"/>
        <c:auto val="1"/>
        <c:lblAlgn val="ctr"/>
        <c:lblOffset val="100"/>
        <c:noMultiLvlLbl val="0"/>
      </c:catAx>
      <c:valAx>
        <c:axId val="7362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2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Лист12!$C$11:$R$11</c:f>
              <c:numCache>
                <c:formatCode>General</c:formatCode>
                <c:ptCount val="16"/>
                <c:pt idx="0">
                  <c:v>3.4499999999999997</c:v>
                </c:pt>
                <c:pt idx="1">
                  <c:v>2.16</c:v>
                </c:pt>
                <c:pt idx="2">
                  <c:v>1.56</c:v>
                </c:pt>
                <c:pt idx="3">
                  <c:v>1.3</c:v>
                </c:pt>
                <c:pt idx="4">
                  <c:v>1.37</c:v>
                </c:pt>
                <c:pt idx="5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4-4D93-A3D2-67A1FDBC32E0}"/>
            </c:ext>
          </c:extLst>
        </c:ser>
        <c:ser>
          <c:idx val="1"/>
          <c:order val="1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Лист12!$C$12:$R$12</c:f>
              <c:numCache>
                <c:formatCode>General</c:formatCode>
                <c:ptCount val="16"/>
                <c:pt idx="0">
                  <c:v>3.34</c:v>
                </c:pt>
                <c:pt idx="1">
                  <c:v>2.12</c:v>
                </c:pt>
                <c:pt idx="2">
                  <c:v>1.51</c:v>
                </c:pt>
                <c:pt idx="3">
                  <c:v>1.3</c:v>
                </c:pt>
                <c:pt idx="4">
                  <c:v>1.34</c:v>
                </c:pt>
                <c:pt idx="5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14-4D93-A3D2-67A1FDBC32E0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Лист12!$C$13:$R$13</c:f>
              <c:numCache>
                <c:formatCode>General</c:formatCode>
                <c:ptCount val="16"/>
                <c:pt idx="0">
                  <c:v>3.23</c:v>
                </c:pt>
                <c:pt idx="1">
                  <c:v>2.08</c:v>
                </c:pt>
                <c:pt idx="2">
                  <c:v>1.46</c:v>
                </c:pt>
                <c:pt idx="3">
                  <c:v>1.3</c:v>
                </c:pt>
                <c:pt idx="4">
                  <c:v>1.31</c:v>
                </c:pt>
                <c:pt idx="5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14-4D93-A3D2-67A1FDBC32E0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Лист12!$C$14:$R$14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14-4D93-A3D2-67A1FDBC32E0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Лист12!$C$15:$R$15</c:f>
              <c:numCache>
                <c:formatCode>General</c:formatCode>
                <c:ptCount val="16"/>
                <c:pt idx="0">
                  <c:v>3.77</c:v>
                </c:pt>
                <c:pt idx="1">
                  <c:v>2.5100000000000002</c:v>
                </c:pt>
                <c:pt idx="2">
                  <c:v>1.8399999999999999</c:v>
                </c:pt>
                <c:pt idx="3">
                  <c:v>1.5</c:v>
                </c:pt>
                <c:pt idx="4">
                  <c:v>1.6099999999999999</c:v>
                </c:pt>
                <c:pt idx="5">
                  <c:v>1.4600000000000002</c:v>
                </c:pt>
                <c:pt idx="6">
                  <c:v>1.2799999999999998</c:v>
                </c:pt>
                <c:pt idx="7">
                  <c:v>1.1100000000000001</c:v>
                </c:pt>
                <c:pt idx="8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14-4D93-A3D2-67A1FDBC32E0}"/>
            </c:ext>
          </c:extLst>
        </c:ser>
        <c:ser>
          <c:idx val="5"/>
          <c:order val="5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Лист12!$C$16:$R$16</c:f>
              <c:numCache>
                <c:formatCode>General</c:formatCode>
                <c:ptCount val="16"/>
                <c:pt idx="0">
                  <c:v>3.6</c:v>
                </c:pt>
                <c:pt idx="1">
                  <c:v>2.31</c:v>
                </c:pt>
                <c:pt idx="2">
                  <c:v>1.66</c:v>
                </c:pt>
                <c:pt idx="3">
                  <c:v>1.46</c:v>
                </c:pt>
                <c:pt idx="4">
                  <c:v>1.44</c:v>
                </c:pt>
                <c:pt idx="5">
                  <c:v>1.36</c:v>
                </c:pt>
                <c:pt idx="6">
                  <c:v>1.1399999999999999</c:v>
                </c:pt>
                <c:pt idx="7">
                  <c:v>1.0900000000000001</c:v>
                </c:pt>
                <c:pt idx="8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14-4D93-A3D2-67A1FDBC32E0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Лист12!$C$17:$R$17</c:f>
              <c:numCache>
                <c:formatCode>General</c:formatCode>
                <c:ptCount val="16"/>
                <c:pt idx="0">
                  <c:v>3.43</c:v>
                </c:pt>
                <c:pt idx="1">
                  <c:v>2.11</c:v>
                </c:pt>
                <c:pt idx="2">
                  <c:v>1.48</c:v>
                </c:pt>
                <c:pt idx="3">
                  <c:v>1.42</c:v>
                </c:pt>
                <c:pt idx="4">
                  <c:v>1.27</c:v>
                </c:pt>
                <c:pt idx="5">
                  <c:v>1.26</c:v>
                </c:pt>
                <c:pt idx="6">
                  <c:v>0.99999999999999989</c:v>
                </c:pt>
                <c:pt idx="7">
                  <c:v>1.07</c:v>
                </c:pt>
                <c:pt idx="8">
                  <c:v>0.94000000000000006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14-4D93-A3D2-67A1FDBC32E0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Лист12!$C$18:$R$18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14-4D93-A3D2-67A1FDBC32E0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Лист12!$C$19:$R$19</c:f>
              <c:numCache>
                <c:formatCode>General</c:formatCode>
                <c:ptCount val="16"/>
                <c:pt idx="0">
                  <c:v>3.8000000000000003</c:v>
                </c:pt>
                <c:pt idx="1">
                  <c:v>2.54</c:v>
                </c:pt>
                <c:pt idx="2">
                  <c:v>1.92</c:v>
                </c:pt>
                <c:pt idx="3">
                  <c:v>1.77</c:v>
                </c:pt>
                <c:pt idx="4">
                  <c:v>1.74</c:v>
                </c:pt>
                <c:pt idx="5">
                  <c:v>1.56</c:v>
                </c:pt>
                <c:pt idx="6">
                  <c:v>1.48</c:v>
                </c:pt>
                <c:pt idx="7">
                  <c:v>1.55</c:v>
                </c:pt>
                <c:pt idx="8">
                  <c:v>1.45</c:v>
                </c:pt>
                <c:pt idx="9">
                  <c:v>1.5799999999999998</c:v>
                </c:pt>
                <c:pt idx="10">
                  <c:v>1.5799999999999998</c:v>
                </c:pt>
                <c:pt idx="11">
                  <c:v>1.54</c:v>
                </c:pt>
                <c:pt idx="12">
                  <c:v>1.46</c:v>
                </c:pt>
                <c:pt idx="13">
                  <c:v>1.7</c:v>
                </c:pt>
                <c:pt idx="14">
                  <c:v>1.5</c:v>
                </c:pt>
                <c:pt idx="1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14-4D93-A3D2-67A1FDBC32E0}"/>
            </c:ext>
          </c:extLst>
        </c:ser>
        <c:ser>
          <c:idx val="9"/>
          <c:order val="9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Лист12!$C$20:$R$20</c:f>
              <c:numCache>
                <c:formatCode>General</c:formatCode>
                <c:ptCount val="16"/>
                <c:pt idx="0">
                  <c:v>3.72</c:v>
                </c:pt>
                <c:pt idx="1">
                  <c:v>2.52</c:v>
                </c:pt>
                <c:pt idx="2">
                  <c:v>1.91</c:v>
                </c:pt>
                <c:pt idx="3">
                  <c:v>1.75</c:v>
                </c:pt>
                <c:pt idx="4">
                  <c:v>1.69</c:v>
                </c:pt>
                <c:pt idx="5">
                  <c:v>1.55</c:v>
                </c:pt>
                <c:pt idx="6">
                  <c:v>1.47</c:v>
                </c:pt>
                <c:pt idx="7">
                  <c:v>1.44</c:v>
                </c:pt>
                <c:pt idx="8">
                  <c:v>1.42</c:v>
                </c:pt>
                <c:pt idx="9">
                  <c:v>1.42</c:v>
                </c:pt>
                <c:pt idx="10">
                  <c:v>1.42</c:v>
                </c:pt>
                <c:pt idx="11">
                  <c:v>1.44</c:v>
                </c:pt>
                <c:pt idx="12">
                  <c:v>1.43</c:v>
                </c:pt>
                <c:pt idx="13">
                  <c:v>1.51</c:v>
                </c:pt>
                <c:pt idx="14">
                  <c:v>1.43</c:v>
                </c:pt>
                <c:pt idx="15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E14-4D93-A3D2-67A1FDBC32E0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Лист12!$C$21:$R$21</c:f>
              <c:numCache>
                <c:formatCode>General</c:formatCode>
                <c:ptCount val="16"/>
                <c:pt idx="0">
                  <c:v>3.64</c:v>
                </c:pt>
                <c:pt idx="1">
                  <c:v>2.5</c:v>
                </c:pt>
                <c:pt idx="2">
                  <c:v>1.9</c:v>
                </c:pt>
                <c:pt idx="3">
                  <c:v>1.73</c:v>
                </c:pt>
                <c:pt idx="4">
                  <c:v>1.64</c:v>
                </c:pt>
                <c:pt idx="5">
                  <c:v>1.54</c:v>
                </c:pt>
                <c:pt idx="6">
                  <c:v>1.46</c:v>
                </c:pt>
                <c:pt idx="7">
                  <c:v>1.3299999999999998</c:v>
                </c:pt>
                <c:pt idx="8">
                  <c:v>1.39</c:v>
                </c:pt>
                <c:pt idx="9">
                  <c:v>1.26</c:v>
                </c:pt>
                <c:pt idx="10">
                  <c:v>1.26</c:v>
                </c:pt>
                <c:pt idx="11">
                  <c:v>1.3399999999999999</c:v>
                </c:pt>
                <c:pt idx="12">
                  <c:v>1.4</c:v>
                </c:pt>
                <c:pt idx="13">
                  <c:v>1.32</c:v>
                </c:pt>
                <c:pt idx="14">
                  <c:v>1.3599999999999999</c:v>
                </c:pt>
                <c:pt idx="15">
                  <c:v>1.3800000000000001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14-4D93-A3D2-67A1FDBC3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651456"/>
        <c:axId val="667653120"/>
      </c:lineChart>
      <c:catAx>
        <c:axId val="66765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653120"/>
        <c:crosses val="autoZero"/>
        <c:auto val="1"/>
        <c:lblAlgn val="ctr"/>
        <c:lblOffset val="100"/>
        <c:noMultiLvlLbl val="0"/>
      </c:catAx>
      <c:valAx>
        <c:axId val="6676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65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Лист12!$C$11:$R$11</c:f>
              <c:numCache>
                <c:formatCode>General</c:formatCode>
                <c:ptCount val="16"/>
                <c:pt idx="0">
                  <c:v>3.4499999999999997</c:v>
                </c:pt>
                <c:pt idx="1">
                  <c:v>2.16</c:v>
                </c:pt>
                <c:pt idx="2">
                  <c:v>1.56</c:v>
                </c:pt>
                <c:pt idx="3">
                  <c:v>1.3</c:v>
                </c:pt>
                <c:pt idx="4">
                  <c:v>1.37</c:v>
                </c:pt>
                <c:pt idx="5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4-4ABE-8273-D9AB14EDE32A}"/>
            </c:ext>
          </c:extLst>
        </c:ser>
        <c:ser>
          <c:idx val="1"/>
          <c:order val="1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Лист12!$C$12:$R$12</c:f>
              <c:numCache>
                <c:formatCode>General</c:formatCode>
                <c:ptCount val="16"/>
                <c:pt idx="0">
                  <c:v>3.34</c:v>
                </c:pt>
                <c:pt idx="1">
                  <c:v>2.12</c:v>
                </c:pt>
                <c:pt idx="2">
                  <c:v>1.51</c:v>
                </c:pt>
                <c:pt idx="3">
                  <c:v>1.3</c:v>
                </c:pt>
                <c:pt idx="4">
                  <c:v>1.34</c:v>
                </c:pt>
                <c:pt idx="5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4-4ABE-8273-D9AB14EDE32A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Лист12!$C$13:$R$13</c:f>
              <c:numCache>
                <c:formatCode>General</c:formatCode>
                <c:ptCount val="16"/>
                <c:pt idx="0">
                  <c:v>3.23</c:v>
                </c:pt>
                <c:pt idx="1">
                  <c:v>2.08</c:v>
                </c:pt>
                <c:pt idx="2">
                  <c:v>1.46</c:v>
                </c:pt>
                <c:pt idx="3">
                  <c:v>1.3</c:v>
                </c:pt>
                <c:pt idx="4">
                  <c:v>1.31</c:v>
                </c:pt>
                <c:pt idx="5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C4-4ABE-8273-D9AB14EDE32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Лист12!$C$14:$R$14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C4-4ABE-8273-D9AB14EDE32A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Лист12!$C$15:$R$15</c:f>
              <c:numCache>
                <c:formatCode>General</c:formatCode>
                <c:ptCount val="16"/>
                <c:pt idx="0">
                  <c:v>3.77</c:v>
                </c:pt>
                <c:pt idx="1">
                  <c:v>2.5100000000000002</c:v>
                </c:pt>
                <c:pt idx="2">
                  <c:v>1.8399999999999999</c:v>
                </c:pt>
                <c:pt idx="3">
                  <c:v>1.5</c:v>
                </c:pt>
                <c:pt idx="4">
                  <c:v>1.6099999999999999</c:v>
                </c:pt>
                <c:pt idx="5">
                  <c:v>1.4600000000000002</c:v>
                </c:pt>
                <c:pt idx="6">
                  <c:v>1.2799999999999998</c:v>
                </c:pt>
                <c:pt idx="7">
                  <c:v>1.1100000000000001</c:v>
                </c:pt>
                <c:pt idx="8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C4-4ABE-8273-D9AB14EDE32A}"/>
            </c:ext>
          </c:extLst>
        </c:ser>
        <c:ser>
          <c:idx val="5"/>
          <c:order val="5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Лист12!$C$16:$R$16</c:f>
              <c:numCache>
                <c:formatCode>General</c:formatCode>
                <c:ptCount val="16"/>
                <c:pt idx="0">
                  <c:v>3.6</c:v>
                </c:pt>
                <c:pt idx="1">
                  <c:v>2.31</c:v>
                </c:pt>
                <c:pt idx="2">
                  <c:v>1.66</c:v>
                </c:pt>
                <c:pt idx="3">
                  <c:v>1.46</c:v>
                </c:pt>
                <c:pt idx="4">
                  <c:v>1.44</c:v>
                </c:pt>
                <c:pt idx="5">
                  <c:v>1.36</c:v>
                </c:pt>
                <c:pt idx="6">
                  <c:v>1.1399999999999999</c:v>
                </c:pt>
                <c:pt idx="7">
                  <c:v>1.0900000000000001</c:v>
                </c:pt>
                <c:pt idx="8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C4-4ABE-8273-D9AB14EDE32A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Лист12!$C$17:$R$17</c:f>
              <c:numCache>
                <c:formatCode>General</c:formatCode>
                <c:ptCount val="16"/>
                <c:pt idx="0">
                  <c:v>3.43</c:v>
                </c:pt>
                <c:pt idx="1">
                  <c:v>2.11</c:v>
                </c:pt>
                <c:pt idx="2">
                  <c:v>1.48</c:v>
                </c:pt>
                <c:pt idx="3">
                  <c:v>1.42</c:v>
                </c:pt>
                <c:pt idx="4">
                  <c:v>1.27</c:v>
                </c:pt>
                <c:pt idx="5">
                  <c:v>1.26</c:v>
                </c:pt>
                <c:pt idx="6">
                  <c:v>0.99999999999999989</c:v>
                </c:pt>
                <c:pt idx="7">
                  <c:v>1.07</c:v>
                </c:pt>
                <c:pt idx="8">
                  <c:v>0.94000000000000006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C4-4ABE-8273-D9AB14EDE32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Лист12!$C$18:$R$18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C4-4ABE-8273-D9AB14EDE32A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Лист12!$C$19:$R$19</c:f>
              <c:numCache>
                <c:formatCode>General</c:formatCode>
                <c:ptCount val="16"/>
                <c:pt idx="0">
                  <c:v>3.8000000000000003</c:v>
                </c:pt>
                <c:pt idx="1">
                  <c:v>2.54</c:v>
                </c:pt>
                <c:pt idx="2">
                  <c:v>1.92</c:v>
                </c:pt>
                <c:pt idx="3">
                  <c:v>1.77</c:v>
                </c:pt>
                <c:pt idx="4">
                  <c:v>1.74</c:v>
                </c:pt>
                <c:pt idx="5">
                  <c:v>1.56</c:v>
                </c:pt>
                <c:pt idx="6">
                  <c:v>1.48</c:v>
                </c:pt>
                <c:pt idx="7">
                  <c:v>1.55</c:v>
                </c:pt>
                <c:pt idx="8">
                  <c:v>1.45</c:v>
                </c:pt>
                <c:pt idx="9">
                  <c:v>1.5799999999999998</c:v>
                </c:pt>
                <c:pt idx="10">
                  <c:v>1.5799999999999998</c:v>
                </c:pt>
                <c:pt idx="11">
                  <c:v>1.54</c:v>
                </c:pt>
                <c:pt idx="12">
                  <c:v>1.46</c:v>
                </c:pt>
                <c:pt idx="13">
                  <c:v>1.7</c:v>
                </c:pt>
                <c:pt idx="14">
                  <c:v>1.5</c:v>
                </c:pt>
                <c:pt idx="1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C4-4ABE-8273-D9AB14EDE32A}"/>
            </c:ext>
          </c:extLst>
        </c:ser>
        <c:ser>
          <c:idx val="9"/>
          <c:order val="9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Лист12!$C$20:$R$20</c:f>
              <c:numCache>
                <c:formatCode>General</c:formatCode>
                <c:ptCount val="16"/>
                <c:pt idx="0">
                  <c:v>3.72</c:v>
                </c:pt>
                <c:pt idx="1">
                  <c:v>2.52</c:v>
                </c:pt>
                <c:pt idx="2">
                  <c:v>1.91</c:v>
                </c:pt>
                <c:pt idx="3">
                  <c:v>1.75</c:v>
                </c:pt>
                <c:pt idx="4">
                  <c:v>1.69</c:v>
                </c:pt>
                <c:pt idx="5">
                  <c:v>1.55</c:v>
                </c:pt>
                <c:pt idx="6">
                  <c:v>1.47</c:v>
                </c:pt>
                <c:pt idx="7">
                  <c:v>1.44</c:v>
                </c:pt>
                <c:pt idx="8">
                  <c:v>1.42</c:v>
                </c:pt>
                <c:pt idx="9">
                  <c:v>1.42</c:v>
                </c:pt>
                <c:pt idx="10">
                  <c:v>1.42</c:v>
                </c:pt>
                <c:pt idx="11">
                  <c:v>1.44</c:v>
                </c:pt>
                <c:pt idx="12">
                  <c:v>1.43</c:v>
                </c:pt>
                <c:pt idx="13">
                  <c:v>1.51</c:v>
                </c:pt>
                <c:pt idx="14">
                  <c:v>1.43</c:v>
                </c:pt>
                <c:pt idx="15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C4-4ABE-8273-D9AB14EDE32A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Лист12!$C$3:$R$3</c:f>
              <c:numCache>
                <c:formatCode>General</c:formatCode>
                <c:ptCount val="1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 formatCode="#,##0">
                  <c:v>1344</c:v>
                </c:pt>
                <c:pt idx="6" formatCode="#,##0">
                  <c:v>2688</c:v>
                </c:pt>
                <c:pt idx="7" formatCode="#,##0">
                  <c:v>5376</c:v>
                </c:pt>
                <c:pt idx="8" formatCode="#,##0">
                  <c:v>10752</c:v>
                </c:pt>
                <c:pt idx="9" formatCode="#,##0">
                  <c:v>21504</c:v>
                </c:pt>
                <c:pt idx="10" formatCode="#,##0">
                  <c:v>43008</c:v>
                </c:pt>
                <c:pt idx="11" formatCode="#,##0">
                  <c:v>86016</c:v>
                </c:pt>
                <c:pt idx="12" formatCode="#,##0">
                  <c:v>172032</c:v>
                </c:pt>
                <c:pt idx="13" formatCode="#,##0">
                  <c:v>344064</c:v>
                </c:pt>
                <c:pt idx="14" formatCode="#,##0">
                  <c:v>688128</c:v>
                </c:pt>
                <c:pt idx="15" formatCode="#,##0">
                  <c:v>1376256</c:v>
                </c:pt>
              </c:numCache>
            </c:numRef>
          </c:cat>
          <c:val>
            <c:numRef>
              <c:f>Лист12!$C$21:$R$21</c:f>
              <c:numCache>
                <c:formatCode>General</c:formatCode>
                <c:ptCount val="16"/>
                <c:pt idx="0">
                  <c:v>3.64</c:v>
                </c:pt>
                <c:pt idx="1">
                  <c:v>2.5</c:v>
                </c:pt>
                <c:pt idx="2">
                  <c:v>1.9</c:v>
                </c:pt>
                <c:pt idx="3">
                  <c:v>1.73</c:v>
                </c:pt>
                <c:pt idx="4">
                  <c:v>1.64</c:v>
                </c:pt>
                <c:pt idx="5">
                  <c:v>1.54</c:v>
                </c:pt>
                <c:pt idx="6">
                  <c:v>1.46</c:v>
                </c:pt>
                <c:pt idx="7">
                  <c:v>1.3299999999999998</c:v>
                </c:pt>
                <c:pt idx="8">
                  <c:v>1.39</c:v>
                </c:pt>
                <c:pt idx="9">
                  <c:v>1.26</c:v>
                </c:pt>
                <c:pt idx="10">
                  <c:v>1.26</c:v>
                </c:pt>
                <c:pt idx="11">
                  <c:v>1.3399999999999999</c:v>
                </c:pt>
                <c:pt idx="12">
                  <c:v>1.4</c:v>
                </c:pt>
                <c:pt idx="13">
                  <c:v>1.32</c:v>
                </c:pt>
                <c:pt idx="14">
                  <c:v>1.3599999999999999</c:v>
                </c:pt>
                <c:pt idx="15">
                  <c:v>1.3800000000000001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C4-4ABE-8273-D9AB14EDE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651456"/>
        <c:axId val="667653120"/>
      </c:lineChart>
      <c:catAx>
        <c:axId val="66765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653120"/>
        <c:crosses val="autoZero"/>
        <c:auto val="1"/>
        <c:lblAlgn val="ctr"/>
        <c:lblOffset val="100"/>
        <c:noMultiLvlLbl val="0"/>
      </c:catAx>
      <c:valAx>
        <c:axId val="6676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765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163286</xdr:colOff>
      <xdr:row>22</xdr:row>
      <xdr:rowOff>175532</xdr:rowOff>
    </xdr:from>
    <xdr:to>
      <xdr:col>21</xdr:col>
      <xdr:colOff>572861</xdr:colOff>
      <xdr:row>43</xdr:row>
      <xdr:rowOff>118382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68035</xdr:colOff>
      <xdr:row>44</xdr:row>
      <xdr:rowOff>108856</xdr:rowOff>
    </xdr:from>
    <xdr:to>
      <xdr:col>20</xdr:col>
      <xdr:colOff>13607</xdr:colOff>
      <xdr:row>62</xdr:row>
      <xdr:rowOff>163286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585106</xdr:colOff>
      <xdr:row>19</xdr:row>
      <xdr:rowOff>68035</xdr:rowOff>
    </xdr:from>
    <xdr:to>
      <xdr:col>33</xdr:col>
      <xdr:colOff>244929</xdr:colOff>
      <xdr:row>40</xdr:row>
      <xdr:rowOff>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1086977</xdr:colOff>
      <xdr:row>60</xdr:row>
      <xdr:rowOff>190498</xdr:rowOff>
    </xdr:from>
    <xdr:to>
      <xdr:col>13</xdr:col>
      <xdr:colOff>425823</xdr:colOff>
      <xdr:row>81</xdr:row>
      <xdr:rowOff>82921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252131</xdr:colOff>
      <xdr:row>48</xdr:row>
      <xdr:rowOff>40341</xdr:rowOff>
    </xdr:from>
    <xdr:to>
      <xdr:col>12</xdr:col>
      <xdr:colOff>509867</xdr:colOff>
      <xdr:row>62</xdr:row>
      <xdr:rowOff>116541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2419350</xdr:colOff>
      <xdr:row>28</xdr:row>
      <xdr:rowOff>38100</xdr:rowOff>
    </xdr:from>
    <xdr:to>
      <xdr:col>8</xdr:col>
      <xdr:colOff>561975</xdr:colOff>
      <xdr:row>42</xdr:row>
      <xdr:rowOff>114300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2362200</xdr:colOff>
      <xdr:row>57</xdr:row>
      <xdr:rowOff>180975</xdr:rowOff>
    </xdr:from>
    <xdr:to>
      <xdr:col>8</xdr:col>
      <xdr:colOff>504825</xdr:colOff>
      <xdr:row>72</xdr:row>
      <xdr:rowOff>66675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2</xdr:row>
      <xdr:rowOff>38100</xdr:rowOff>
    </xdr:from>
    <xdr:to>
      <xdr:col>21</xdr:col>
      <xdr:colOff>190500</xdr:colOff>
      <xdr:row>16</xdr:row>
      <xdr:rowOff>95250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</xdr:colOff>
      <xdr:row>15</xdr:row>
      <xdr:rowOff>95250</xdr:rowOff>
    </xdr:from>
    <xdr:to>
      <xdr:col>22</xdr:col>
      <xdr:colOff>361950</xdr:colOff>
      <xdr:row>29</xdr:row>
      <xdr:rowOff>104775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495299</xdr:colOff>
      <xdr:row>12</xdr:row>
      <xdr:rowOff>171450</xdr:rowOff>
    </xdr:from>
    <xdr:to>
      <xdr:col>17</xdr:col>
      <xdr:colOff>123824</xdr:colOff>
      <xdr:row>30</xdr:row>
      <xdr:rowOff>180975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40</xdr:row>
      <xdr:rowOff>276225</xdr:rowOff>
    </xdr:from>
    <xdr:to>
      <xdr:col>21</xdr:col>
      <xdr:colOff>466725</xdr:colOff>
      <xdr:row>64</xdr:row>
      <xdr:rowOff>85725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52</xdr:row>
      <xdr:rowOff>171450</xdr:rowOff>
    </xdr:from>
    <xdr:to>
      <xdr:col>21</xdr:col>
      <xdr:colOff>314325</xdr:colOff>
      <xdr:row>72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538162</xdr:colOff>
      <xdr:row>21</xdr:row>
      <xdr:rowOff>85725</xdr:rowOff>
    </xdr:from>
    <xdr:to>
      <xdr:col>15</xdr:col>
      <xdr:colOff>438150</xdr:colOff>
      <xdr:row>50</xdr:row>
      <xdr:rowOff>142875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21</xdr:row>
      <xdr:rowOff>190499</xdr:rowOff>
    </xdr:from>
    <xdr:to>
      <xdr:col>25</xdr:col>
      <xdr:colOff>398318</xdr:colOff>
      <xdr:row>42</xdr:row>
      <xdr:rowOff>138545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3"/>
  <sheetViews>
    <sheetView topLeftCell="C1" zoomScale="82" zoomScaleNormal="70" workbookViewId="0">
      <selection activeCell="Y12" sqref="Y12"/>
    </sheetView>
  </sheetViews>
  <sheetFormatPr defaultRowHeight="15" x14ac:dyDescent="0.25"/>
  <cols>
    <col min="2" max="2" width="33.28515625" bestFit="1" customWidth="1"/>
    <col min="3" max="3" width="20.5703125" customWidth="1"/>
    <col min="4" max="4" width="4.140625" bestFit="1" customWidth="1"/>
    <col min="15" max="15" width="18.7109375" customWidth="1"/>
    <col min="21" max="21" width="10.140625" bestFit="1" customWidth="1"/>
  </cols>
  <sheetData>
    <row r="1" spans="1:33" x14ac:dyDescent="0.25">
      <c r="A1">
        <v>109</v>
      </c>
      <c r="O1" t="str">
        <f ca="1">OFFSET('1050LAPTOP'!$C$1,A4-1,0)</f>
        <v>CUDA opt ant par Const</v>
      </c>
      <c r="Y1">
        <v>3</v>
      </c>
    </row>
    <row r="2" spans="1:33" x14ac:dyDescent="0.25">
      <c r="E2" s="7">
        <v>2</v>
      </c>
      <c r="F2" s="8">
        <v>4</v>
      </c>
      <c r="G2" s="7">
        <v>8</v>
      </c>
      <c r="H2" s="7">
        <v>16</v>
      </c>
      <c r="I2" s="7">
        <v>32</v>
      </c>
      <c r="J2" s="7">
        <v>64</v>
      </c>
      <c r="K2" s="7">
        <v>128</v>
      </c>
      <c r="Q2" s="7">
        <v>2</v>
      </c>
      <c r="R2" s="8">
        <v>4</v>
      </c>
      <c r="S2" s="7">
        <v>8</v>
      </c>
      <c r="T2" s="7">
        <v>16</v>
      </c>
      <c r="U2" s="7">
        <v>32</v>
      </c>
      <c r="V2" s="7">
        <v>64</v>
      </c>
      <c r="W2" s="7">
        <v>128</v>
      </c>
      <c r="Y2">
        <v>32</v>
      </c>
    </row>
    <row r="3" spans="1:33" x14ac:dyDescent="0.25">
      <c r="E3" s="16">
        <v>42</v>
      </c>
      <c r="F3" s="16">
        <v>84</v>
      </c>
      <c r="G3" s="16">
        <v>168</v>
      </c>
      <c r="H3" s="16">
        <v>336</v>
      </c>
      <c r="I3" s="16">
        <v>672</v>
      </c>
      <c r="J3" s="16">
        <v>1344</v>
      </c>
      <c r="K3" s="16">
        <v>2688</v>
      </c>
      <c r="Q3" s="16">
        <v>42</v>
      </c>
      <c r="R3" s="16">
        <v>84</v>
      </c>
      <c r="S3" s="16">
        <v>168</v>
      </c>
      <c r="T3" s="16">
        <v>336</v>
      </c>
      <c r="U3" s="16">
        <v>672</v>
      </c>
      <c r="V3" s="16">
        <v>1344</v>
      </c>
      <c r="W3" s="16">
        <v>2688</v>
      </c>
      <c r="Y3" s="18">
        <v>65</v>
      </c>
    </row>
    <row r="4" spans="1:33" ht="15" customHeight="1" x14ac:dyDescent="0.25">
      <c r="A4">
        <v>47</v>
      </c>
      <c r="B4" t="str">
        <f ca="1">OFFSET('1050LAPTOP'!$C$1,A4-1,0)</f>
        <v>CUDA opt ant par Const</v>
      </c>
      <c r="C4" s="185" t="s">
        <v>1</v>
      </c>
      <c r="D4" s="1" t="s">
        <v>0</v>
      </c>
      <c r="E4" s="13">
        <f ca="1">OFFSET('1050LAPTOP'!D$1,$A5-1,0)</f>
        <v>14722.331999999997</v>
      </c>
      <c r="F4" s="13">
        <f ca="1">OFFSET('1050LAPTOP'!E$1,$A5-1,0)</f>
        <v>27364.667999999994</v>
      </c>
      <c r="G4" s="13">
        <f ca="1">OFFSET('1050LAPTOP'!F$1,$A5-1,0)</f>
        <v>52186.786000000007</v>
      </c>
      <c r="H4" s="13">
        <f ca="1">OFFSET('1050LAPTOP'!G$1,$A5-1,0)</f>
        <v>103402.44</v>
      </c>
      <c r="I4" s="13">
        <f ca="1">OFFSET('1050LAPTOP'!H$1,$A5-1,0)</f>
        <v>207103.35999999999</v>
      </c>
      <c r="J4" s="13">
        <f ca="1">OFFSET('1050LAPTOP'!I$1,$A5-1,0)</f>
        <v>410463.68</v>
      </c>
      <c r="K4" s="13">
        <f ca="1">OFFSET('1050LAPTOP'!J$1,$A5-1,0)</f>
        <v>835652.72</v>
      </c>
      <c r="N4">
        <v>768</v>
      </c>
      <c r="O4" s="185" t="s">
        <v>49</v>
      </c>
      <c r="P4" s="1" t="s">
        <v>0</v>
      </c>
      <c r="Q4" s="13">
        <f ca="1">OFFSET('1050LAPTOP'!D$1,$A$4-1,0)</f>
        <v>26.17368571428571</v>
      </c>
      <c r="R4" s="13">
        <f ca="1">OFFSET('1050LAPTOP'!E$1,$A$4-1,0)</f>
        <v>18.161883333333325</v>
      </c>
      <c r="S4" s="13">
        <f ca="1">OFFSET('1050LAPTOP'!F$1,$A$4-1,0)</f>
        <v>14.080917857142854</v>
      </c>
      <c r="T4" s="13">
        <f ca="1">OFFSET('1050LAPTOP'!G$1,$A$4-1,0)</f>
        <v>12.342670833333333</v>
      </c>
      <c r="U4" s="13">
        <f ca="1">OFFSET('1050LAPTOP'!H$1,$A$4-1,0)</f>
        <v>11.374037202380956</v>
      </c>
      <c r="V4" s="13">
        <f ca="1">OFFSET('1050LAPTOP'!I$1,$A$4-1,0)</f>
        <v>10.799607142857141</v>
      </c>
      <c r="W4" s="13">
        <f ca="1">OFFSET('1050LAPTOP'!J$1,$A$4-1,0)</f>
        <v>0</v>
      </c>
    </row>
    <row r="5" spans="1:33" x14ac:dyDescent="0.25">
      <c r="A5">
        <v>3</v>
      </c>
      <c r="B5" t="str">
        <f ca="1">OFFSET('1050LAPTOP'!$C$1,A5-1,0)</f>
        <v>Classic ACO</v>
      </c>
      <c r="C5" s="186"/>
      <c r="D5" s="1" t="s">
        <v>16</v>
      </c>
      <c r="E5" s="1">
        <f ca="1">OFFSET('1050LAPTOP'!D$1,$A5-1+$A$1,0)</f>
        <v>1653.8280197555996</v>
      </c>
      <c r="F5" s="1">
        <f ca="1">OFFSET('1050LAPTOP'!E$1,$A5-1+$A$1,0)</f>
        <v>1627.9610968400002</v>
      </c>
      <c r="G5" s="1">
        <f ca="1">OFFSET('1050LAPTOP'!F$1,$A5-1+$A$1,0)</f>
        <v>455.93194096000059</v>
      </c>
      <c r="H5" s="1">
        <f ca="1">OFFSET('1050LAPTOP'!G$1,$A5-1+$A$1,0)</f>
        <v>504.89507500000229</v>
      </c>
      <c r="I5" s="1">
        <f ca="1">OFFSET('1050LAPTOP'!H$1,$A5-1+$A$1,0)</f>
        <v>448.4143128400006</v>
      </c>
      <c r="J5" s="1">
        <f ca="1">OFFSET('1050LAPTOP'!I$1,$A5-1+$A$1,0)</f>
        <v>922.85496200000148</v>
      </c>
      <c r="K5" s="1">
        <f ca="1">OFFSET('1050LAPTOP'!J$1,$A5-1+$A$1,0)</f>
        <v>15568.27970299996</v>
      </c>
      <c r="O5" s="186"/>
      <c r="P5" s="1" t="s">
        <v>16</v>
      </c>
      <c r="Q5" s="12">
        <f ca="1">OFFSET('1050LAPTOP'!D$1,$A$4-1+$A$1,0)</f>
        <v>0</v>
      </c>
      <c r="R5" s="12">
        <f ca="1">OFFSET('1050LAPTOP'!E$1,$A$4-1+$A$1,0)</f>
        <v>0</v>
      </c>
      <c r="S5" s="12">
        <f ca="1">OFFSET('1050LAPTOP'!F$1,$A$4-1+$A$1,0)</f>
        <v>0</v>
      </c>
      <c r="T5" s="12">
        <f ca="1">OFFSET('1050LAPTOP'!G$1,$A$4-1+$A$1,0)</f>
        <v>0</v>
      </c>
      <c r="U5" s="12">
        <f ca="1">OFFSET('1050LAPTOP'!H$1,$A$4-1+$A$1,0)</f>
        <v>0</v>
      </c>
      <c r="V5" s="12">
        <f ca="1">OFFSET('1050LAPTOP'!I$1,$A$4-1+$A$1,0)</f>
        <v>0</v>
      </c>
      <c r="W5" s="12">
        <f ca="1">OFFSET('1050LAPTOP'!J$1,$A$4-1+$A$1,0)</f>
        <v>0</v>
      </c>
      <c r="AA5">
        <f ca="1">Q5/Q$3</f>
        <v>0</v>
      </c>
      <c r="AB5">
        <f t="shared" ref="AB5:AE5" ca="1" si="0">R5/R$3</f>
        <v>0</v>
      </c>
      <c r="AC5">
        <f t="shared" ca="1" si="0"/>
        <v>0</v>
      </c>
      <c r="AD5">
        <f t="shared" ca="1" si="0"/>
        <v>0</v>
      </c>
      <c r="AE5">
        <f t="shared" ca="1" si="0"/>
        <v>0</v>
      </c>
      <c r="AF5">
        <f t="shared" ref="AF5" ca="1" si="1">V5/V$3</f>
        <v>0</v>
      </c>
      <c r="AG5">
        <f t="shared" ref="AG5" ca="1" si="2">W5/W$3</f>
        <v>0</v>
      </c>
    </row>
    <row r="6" spans="1:33" ht="15" customHeight="1" x14ac:dyDescent="0.25">
      <c r="A6">
        <v>4</v>
      </c>
      <c r="B6" t="str">
        <f ca="1">OFFSET('1050LAPTOP'!$C$1,A6-1,0)</f>
        <v>CUDA Time</v>
      </c>
      <c r="C6" s="185" t="s">
        <v>17</v>
      </c>
      <c r="D6" s="1" t="s">
        <v>0</v>
      </c>
      <c r="E6" s="13">
        <f ca="1">OFFSET('1050LAPTOP'!D$1,$A6-1,0)</f>
        <v>3230.6195999999995</v>
      </c>
      <c r="F6" s="13">
        <f ca="1">OFFSET('1050LAPTOP'!E$1,$A6-1,0)</f>
        <v>8165.2890000000007</v>
      </c>
      <c r="G6" s="13">
        <f ca="1">OFFSET('1050LAPTOP'!F$1,$A6-1,0)</f>
        <v>30570.495999999988</v>
      </c>
      <c r="H6" s="13">
        <f ca="1">OFFSET('1050LAPTOP'!G$1,$A6-1,0)</f>
        <v>118797.04</v>
      </c>
      <c r="I6" s="13">
        <f ca="1">OFFSET('1050LAPTOP'!H$1,$A6-1,0)</f>
        <v>0</v>
      </c>
      <c r="J6" s="13">
        <f ca="1">OFFSET('1050LAPTOP'!I$1,$A6-1,0)</f>
        <v>0</v>
      </c>
      <c r="K6" s="13">
        <f ca="1">OFFSET('1050LAPTOP'!J$1,$A6-1,0)</f>
        <v>0</v>
      </c>
      <c r="N6">
        <v>768</v>
      </c>
      <c r="O6" s="185" t="s">
        <v>47</v>
      </c>
      <c r="P6" s="1" t="s">
        <v>0</v>
      </c>
      <c r="Q6" s="13">
        <f ca="1">OFFSET('1050COMP'!D$1,$A$4-1,0)</f>
        <v>28.121576190476191</v>
      </c>
      <c r="R6" s="13">
        <f ca="1">OFFSET('1050COMP'!E$1,$A$4-1,0)</f>
        <v>20.16200952380952</v>
      </c>
      <c r="S6" s="13">
        <f ca="1">OFFSET('1050COMP'!F$1,$A$4-1,0)</f>
        <v>15.655455952380956</v>
      </c>
      <c r="T6" s="13">
        <f ca="1">OFFSET('1050COMP'!G$1,$A$4-1,0)</f>
        <v>11.97546785714286</v>
      </c>
      <c r="U6" s="13">
        <f ca="1">OFFSET('1050COMP'!H$1,$A$4-1,0)</f>
        <v>14.06893958333333</v>
      </c>
      <c r="V6" s="13">
        <f ca="1">OFFSET('1050COMP'!I$1,$A$4-1,0)</f>
        <v>12.370852678571431</v>
      </c>
      <c r="W6" s="13" t="e">
        <f ca="1">OFFSET('1050COMP'!J$1,$A$4-1,0)</f>
        <v>#DIV/0!</v>
      </c>
    </row>
    <row r="7" spans="1:33" x14ac:dyDescent="0.25">
      <c r="C7" s="186"/>
      <c r="D7" s="1" t="s">
        <v>16</v>
      </c>
      <c r="E7" s="1">
        <f ca="1">OFFSET('1050LAPTOP'!D$1,$A6-1+$A$1,0)</f>
        <v>1125.0840324724002</v>
      </c>
      <c r="F7" s="1">
        <f ca="1">OFFSET('1050LAPTOP'!E$1,$A6-1+$A$1,0)</f>
        <v>136.09953324000011</v>
      </c>
      <c r="G7" s="1">
        <f ca="1">OFFSET('1050LAPTOP'!F$1,$A6-1+$A$1,0)</f>
        <v>572.23754000000008</v>
      </c>
      <c r="H7" s="1">
        <f ca="1">OFFSET('1050LAPTOP'!G$1,$A6-1+$A$1,0)</f>
        <v>274.45101543999931</v>
      </c>
      <c r="I7" s="1">
        <f ca="1">OFFSET('1050LAPTOP'!H$1,$A6-1+$A$1,0)</f>
        <v>296.30705723999847</v>
      </c>
      <c r="J7" s="1">
        <f ca="1">OFFSET('1050LAPTOP'!I$1,$A6-1+$A$1,0)</f>
        <v>2317.0873350000002</v>
      </c>
      <c r="K7" s="1">
        <f ca="1">OFFSET('1050LAPTOP'!J$1,$A6-1+$A$1,0)</f>
        <v>0</v>
      </c>
      <c r="O7" s="186"/>
      <c r="P7" s="1" t="s">
        <v>16</v>
      </c>
      <c r="Q7" s="12">
        <f ca="1">OFFSET('1050COMP'!D$1,$A$4-1+$A$1,0)</f>
        <v>0</v>
      </c>
      <c r="R7" s="12">
        <f ca="1">OFFSET('1050COMP'!E$1,$A$4-1+$A$1,0)</f>
        <v>0</v>
      </c>
      <c r="S7" s="12">
        <f ca="1">OFFSET('1050COMP'!F$1,$A$4-1+$A$1,0)</f>
        <v>0</v>
      </c>
      <c r="T7" s="12">
        <f ca="1">OFFSET('1050COMP'!G$1,$A$4-1+$A$1,0)</f>
        <v>0</v>
      </c>
      <c r="U7" s="12">
        <f ca="1">OFFSET('1050COMP'!H$1,$A$4-1+$A$1,0)</f>
        <v>0</v>
      </c>
      <c r="V7" s="12">
        <f ca="1">OFFSET('1050COMP'!I$1,$A$4-1+$A$1,0)</f>
        <v>0</v>
      </c>
      <c r="W7" s="12">
        <f ca="1">OFFSET('1050COMP'!J$1,$A$4-1+$A$1,0)</f>
        <v>0</v>
      </c>
      <c r="AA7">
        <f ca="1">Q7/Q$3</f>
        <v>0</v>
      </c>
      <c r="AB7">
        <f t="shared" ref="AB7" ca="1" si="3">R7/R$3</f>
        <v>0</v>
      </c>
      <c r="AC7">
        <f t="shared" ref="AC7" ca="1" si="4">S7/S$3</f>
        <v>0</v>
      </c>
      <c r="AD7">
        <f t="shared" ref="AD7" ca="1" si="5">T7/T$3</f>
        <v>0</v>
      </c>
      <c r="AE7">
        <f t="shared" ref="AE7" ca="1" si="6">U7/U$3</f>
        <v>0</v>
      </c>
      <c r="AF7">
        <f t="shared" ref="AF7" ca="1" si="7">V7/V$3</f>
        <v>0</v>
      </c>
      <c r="AG7">
        <f t="shared" ref="AG7" ca="1" si="8">W7/W$3</f>
        <v>0</v>
      </c>
    </row>
    <row r="8" spans="1:33" ht="15" customHeight="1" x14ac:dyDescent="0.25">
      <c r="A8">
        <v>5</v>
      </c>
      <c r="B8" t="str">
        <f ca="1">OFFSET('1050LAPTOP'!$C$1,A8-1,0)</f>
        <v>CUDA ant</v>
      </c>
      <c r="C8" s="185" t="s">
        <v>18</v>
      </c>
      <c r="D8" s="1" t="s">
        <v>0</v>
      </c>
      <c r="E8" s="13">
        <f ca="1">OFFSET('1050LAPTOP'!D$1,$A8-1,0)</f>
        <v>1112.2990000000002</v>
      </c>
      <c r="F8" s="13">
        <f ca="1">OFFSET('1050LAPTOP'!E$1,$A8-1,0)</f>
        <v>1566.9033999999999</v>
      </c>
      <c r="G8" s="13">
        <f ca="1">OFFSET('1050LAPTOP'!F$1,$A8-1,0)</f>
        <v>2500.6765999999998</v>
      </c>
      <c r="H8" s="13">
        <f ca="1">OFFSET('1050LAPTOP'!G$1,$A8-1,0)</f>
        <v>5049.3438000000006</v>
      </c>
      <c r="I8" s="13">
        <f ca="1">OFFSET('1050LAPTOP'!H$1,$A8-1,0)</f>
        <v>9900.7614000000031</v>
      </c>
      <c r="J8" s="13">
        <f ca="1">OFFSET('1050LAPTOP'!I$1,$A8-1,0)</f>
        <v>19017.788000000004</v>
      </c>
      <c r="K8" s="13">
        <f ca="1">OFFSET('1050LAPTOP'!J$1,$A8-1,0)</f>
        <v>38230.252</v>
      </c>
      <c r="N8">
        <v>3840</v>
      </c>
      <c r="O8" s="185" t="s">
        <v>48</v>
      </c>
      <c r="P8" s="1" t="s">
        <v>0</v>
      </c>
      <c r="Q8" s="13">
        <f ca="1">OFFSET('3060LAPTOP'!D$1,$A$4-1,0)</f>
        <v>16.463778095238098</v>
      </c>
      <c r="R8" s="13">
        <f ca="1">OFFSET('3060LAPTOP'!E$1,$A$4-1,0)</f>
        <v>10.364808333333334</v>
      </c>
      <c r="S8" s="13">
        <f ca="1">OFFSET('3060LAPTOP'!F$1,$A$4-1,0)</f>
        <v>7.5058357142857126</v>
      </c>
      <c r="T8" s="13">
        <f ca="1">OFFSET('3060LAPTOP'!G$1,$A$4-1,0)</f>
        <v>6.0141119047619052</v>
      </c>
      <c r="U8" s="13">
        <f ca="1">OFFSET('3060LAPTOP'!H$1,$A$4-1,0)</f>
        <v>5.4443610119047623</v>
      </c>
      <c r="V8" s="13">
        <f ca="1">OFFSET('3060LAPTOP'!I$1,$A$4-1,0)</f>
        <v>5.042614732142856</v>
      </c>
      <c r="W8" s="13">
        <f ca="1">OFFSET('3060LAPTOP'!J$1,$A$4-1,0)</f>
        <v>0</v>
      </c>
    </row>
    <row r="9" spans="1:33" x14ac:dyDescent="0.25">
      <c r="C9" s="186"/>
      <c r="D9" s="1" t="s">
        <v>16</v>
      </c>
      <c r="E9" s="1">
        <f ca="1">OFFSET('1050LAPTOP'!D$1,$A8-1+$A$1,0)</f>
        <v>1160.0955963076001</v>
      </c>
      <c r="F9" s="1">
        <f ca="1">OFFSET('1050LAPTOP'!E$1,$A8-1+$A$1,0)</f>
        <v>1544.2069099999999</v>
      </c>
      <c r="G9" s="1">
        <f ca="1">OFFSET('1050LAPTOP'!F$1,$A8-1+$A$1,0)</f>
        <v>336.66431903999984</v>
      </c>
      <c r="H9" s="1">
        <f ca="1">OFFSET('1050LAPTOP'!G$1,$A8-1+$A$1,0)</f>
        <v>419.1391607600001</v>
      </c>
      <c r="I9" s="1">
        <f ca="1">OFFSET('1050LAPTOP'!H$1,$A8-1+$A$1,0)</f>
        <v>602.74156436000226</v>
      </c>
      <c r="J9" s="1">
        <f ca="1">OFFSET('1050LAPTOP'!I$1,$A8-1+$A$1,0)</f>
        <v>2990.9430700000048</v>
      </c>
      <c r="K9" s="1">
        <f ca="1">OFFSET('1050LAPTOP'!J$1,$A8-1+$A$1,0)</f>
        <v>20096.161868000017</v>
      </c>
      <c r="O9" s="186"/>
      <c r="P9" s="1" t="s">
        <v>16</v>
      </c>
      <c r="Q9" s="12">
        <f ca="1">OFFSET('3060LAPTOP'!D$1,$A$4-1+$A$1,0)</f>
        <v>0</v>
      </c>
      <c r="R9" s="12">
        <f ca="1">OFFSET('3060LAPTOP'!E$1,$A$4-1+$A$1,0)</f>
        <v>108.81129863999995</v>
      </c>
      <c r="S9" s="12">
        <f ca="1">OFFSET('3060LAPTOP'!F$1,$A$4-1+$A$1,0)</f>
        <v>317.37807800000013</v>
      </c>
      <c r="T9" s="12">
        <f ca="1">OFFSET('3060LAPTOP'!G$1,$A$4-1+$A$1,0)</f>
        <v>730.14570300000014</v>
      </c>
      <c r="U9" s="12">
        <f ca="1">OFFSET('3060LAPTOP'!H$1,$A$4-1+$A$1,0)</f>
        <v>124595.321883</v>
      </c>
      <c r="V9" s="12">
        <f ca="1">OFFSET('3060LAPTOP'!I$1,$A$4-1+$A$1,0)</f>
        <v>18364.407593999997</v>
      </c>
      <c r="W9" s="12">
        <f ca="1">OFFSET('3060LAPTOP'!J$1,$A$4-1+$A$1,0)</f>
        <v>36667.404528999934</v>
      </c>
      <c r="AA9">
        <f ca="1">Q9/Q$3</f>
        <v>0</v>
      </c>
      <c r="AB9">
        <f t="shared" ref="AB9" ca="1" si="9">R9/R$3</f>
        <v>1.2953726028571422</v>
      </c>
      <c r="AC9">
        <f t="shared" ref="AC9" ca="1" si="10">S9/S$3</f>
        <v>1.8891552261904769</v>
      </c>
      <c r="AD9">
        <f t="shared" ref="AD9" ca="1" si="11">T9/T$3</f>
        <v>2.1730526875000002</v>
      </c>
      <c r="AE9">
        <f t="shared" ref="AE9" ca="1" si="12">U9/U$3</f>
        <v>185.4097051830357</v>
      </c>
      <c r="AF9">
        <f t="shared" ref="AF9" ca="1" si="13">V9/V$3</f>
        <v>13.663993745535711</v>
      </c>
      <c r="AG9">
        <f t="shared" ref="AG9" ca="1" si="14">W9/W$3</f>
        <v>13.641147518229142</v>
      </c>
    </row>
    <row r="10" spans="1:33" x14ac:dyDescent="0.25">
      <c r="A10">
        <v>6</v>
      </c>
      <c r="B10" t="str">
        <f ca="1">OFFSET('1050LAPTOP'!$C$1,A10-1,0)</f>
        <v>CUDA ant par</v>
      </c>
      <c r="C10" s="185" t="s">
        <v>19</v>
      </c>
      <c r="D10" s="1" t="s">
        <v>0</v>
      </c>
      <c r="E10" s="13">
        <f ca="1">OFFSET('1050LAPTOP'!D$1,$A10-1,0)</f>
        <v>1105.3332</v>
      </c>
      <c r="F10" s="13">
        <f ca="1">OFFSET('1050LAPTOP'!E$1,$A10-1,0)</f>
        <v>1534.0819999999994</v>
      </c>
      <c r="G10" s="13">
        <f ca="1">OFFSET('1050LAPTOP'!F$1,$A10-1,0)</f>
        <v>2406.0229999999997</v>
      </c>
      <c r="H10" s="13">
        <f ca="1">OFFSET('1050LAPTOP'!G$1,$A10-1,0)</f>
        <v>4137.362000000001</v>
      </c>
      <c r="I10" s="13">
        <f ca="1">OFFSET('1050LAPTOP'!H$1,$A10-1,0)</f>
        <v>7671.3551999999981</v>
      </c>
      <c r="J10" s="13">
        <f ca="1">OFFSET('1050LAPTOP'!I$1,$A10-1,0)</f>
        <v>14430.712000000001</v>
      </c>
      <c r="K10" s="13">
        <f ca="1">OFFSET('1050LAPTOP'!J$1,$A10-1,0)</f>
        <v>28317.030000000006</v>
      </c>
      <c r="N10">
        <v>3584</v>
      </c>
      <c r="O10" s="185" t="s">
        <v>50</v>
      </c>
      <c r="P10" s="1" t="s">
        <v>0</v>
      </c>
      <c r="Q10" s="13">
        <f ca="1">OFFSET('3060COMP Kaf'!D$1,$A$4-1,0)</f>
        <v>17.550789047619041</v>
      </c>
      <c r="R10" s="13">
        <f ca="1">OFFSET('3060COMP Kaf'!E$1,$A$4-1,0)</f>
        <v>11.31057857142857</v>
      </c>
      <c r="S10" s="13">
        <f ca="1">OFFSET('3060COMP Kaf'!F$1,$A$4-1,0)</f>
        <v>7.7968904761904767</v>
      </c>
      <c r="T10" s="13">
        <f ca="1">OFFSET('3060COMP Kaf'!G$1,$A$4-1,0)</f>
        <v>6.2520815476190492</v>
      </c>
      <c r="U10" s="13">
        <f ca="1">OFFSET('3060COMP Kaf'!H$1,$A$4-1,0)</f>
        <v>5.9163142857142867</v>
      </c>
      <c r="V10" s="13">
        <f ca="1">OFFSET('3060COMP Kaf'!I$1,$A$4-1,0)</f>
        <v>5.2853023809523805</v>
      </c>
      <c r="W10" s="13" t="e">
        <f ca="1">OFFSET('3060COMP Kaf'!J$1,$A$4-1,0)</f>
        <v>#DIV/0!</v>
      </c>
    </row>
    <row r="11" spans="1:33" x14ac:dyDescent="0.25">
      <c r="C11" s="186"/>
      <c r="D11" s="1" t="s">
        <v>16</v>
      </c>
      <c r="E11" s="1" t="e">
        <f ca="1">OFFSET('1050LAPTOP'!D$1,$A10-1+$A$1,0)</f>
        <v>#DIV/0!</v>
      </c>
      <c r="F11" s="1">
        <f ca="1">OFFSET('1050LAPTOP'!E$1,$A10-1+$A$1,0)</f>
        <v>633.42138400000056</v>
      </c>
      <c r="G11" s="1">
        <f ca="1">OFFSET('1050LAPTOP'!F$1,$A10-1+$A$1,0)</f>
        <v>330.30754900000085</v>
      </c>
      <c r="H11" s="1">
        <f ca="1">OFFSET('1050LAPTOP'!G$1,$A10-1+$A$1,0)</f>
        <v>301.94666883999986</v>
      </c>
      <c r="I11" s="1">
        <f ca="1">OFFSET('1050LAPTOP'!H$1,$A10-1+$A$1,0)</f>
        <v>4014.3245891600054</v>
      </c>
      <c r="J11" s="1">
        <f ca="1">OFFSET('1050LAPTOP'!I$1,$A10-1+$A$1,0)</f>
        <v>5734.044065000001</v>
      </c>
      <c r="K11" s="1">
        <f ca="1">OFFSET('1050LAPTOP'!J$1,$A10-1+$A$1,0)</f>
        <v>1545.8799219999798</v>
      </c>
      <c r="O11" s="186"/>
      <c r="P11" s="1" t="s">
        <v>16</v>
      </c>
      <c r="Q11" s="12">
        <f ca="1">OFFSET('3060COMP Kaf'!D$1,$A$4-1+$A$1,0)</f>
        <v>0</v>
      </c>
      <c r="R11" s="12">
        <f ca="1">OFFSET('3060COMP Kaf'!E$1,$A$4-1+$A$1,0)</f>
        <v>39.598018211599964</v>
      </c>
      <c r="S11" s="12">
        <f ca="1">OFFSET('3060COMP Kaf'!F$1,$A$4-1+$A$1,0)</f>
        <v>39.503277960000034</v>
      </c>
      <c r="T11" s="12">
        <f ca="1">OFFSET('3060COMP Kaf'!G$1,$A$4-1+$A$1,0)</f>
        <v>71.002016039999873</v>
      </c>
      <c r="U11" s="12">
        <f ca="1">OFFSET('3060COMP Kaf'!H$1,$A$4-1+$A$1,0)</f>
        <v>202.09293184000006</v>
      </c>
      <c r="V11" s="12">
        <f ca="1">OFFSET('3060COMP Kaf'!I$1,$A$4-1+$A$1,0)</f>
        <v>499.80581799999936</v>
      </c>
      <c r="W11" s="12">
        <f ca="1">OFFSET('3060COMP Kaf'!J$1,$A$4-1+$A$1,0)</f>
        <v>727.92468600000313</v>
      </c>
      <c r="AA11">
        <f ca="1">Q11/Q$3</f>
        <v>0</v>
      </c>
      <c r="AB11">
        <f t="shared" ref="AB11" ca="1" si="15">R11/R$3</f>
        <v>0.47140497870952336</v>
      </c>
      <c r="AC11">
        <f t="shared" ref="AC11" ca="1" si="16">S11/S$3</f>
        <v>0.23513855928571448</v>
      </c>
      <c r="AD11">
        <f t="shared" ref="AD11" ca="1" si="17">T11/T$3</f>
        <v>0.21131552392857106</v>
      </c>
      <c r="AE11">
        <f t="shared" ref="AE11" ca="1" si="18">U11/U$3</f>
        <v>0.30073352952380961</v>
      </c>
      <c r="AF11">
        <f t="shared" ref="AF11" ca="1" si="19">V11/V$3</f>
        <v>0.37187932886904712</v>
      </c>
      <c r="AG11">
        <f t="shared" ref="AG11" ca="1" si="20">W11/W$3</f>
        <v>0.27080531473214403</v>
      </c>
    </row>
    <row r="12" spans="1:33" ht="15" customHeight="1" x14ac:dyDescent="0.25">
      <c r="A12">
        <v>7</v>
      </c>
      <c r="B12" t="str">
        <f ca="1">OFFSET('1050LAPTOP'!$C$1,A12-1,0)</f>
        <v>CUDA opt</v>
      </c>
      <c r="C12" s="185" t="s">
        <v>20</v>
      </c>
      <c r="D12" s="1" t="s">
        <v>0</v>
      </c>
      <c r="E12" s="13">
        <f ca="1">OFFSET('1050LAPTOP'!D$1,$A12-1,0)</f>
        <v>3244.5320000000002</v>
      </c>
      <c r="F12" s="13">
        <f ca="1">OFFSET('1050LAPTOP'!E$1,$A12-1,0)</f>
        <v>8200.7432000000026</v>
      </c>
      <c r="G12" s="13">
        <f ca="1">OFFSET('1050LAPTOP'!F$1,$A12-1,0)</f>
        <v>30655.228000000003</v>
      </c>
      <c r="H12" s="13">
        <f ca="1">OFFSET('1050LAPTOP'!G$1,$A12-1,0)</f>
        <v>119025.24</v>
      </c>
      <c r="I12" s="13">
        <f ca="1">OFFSET('1050LAPTOP'!H$1,$A12-1,0)</f>
        <v>0</v>
      </c>
      <c r="J12" s="13">
        <f ca="1">OFFSET('1050LAPTOP'!I$1,$A12-1,0)</f>
        <v>0</v>
      </c>
      <c r="K12" s="13">
        <f ca="1">OFFSET('1050LAPTOP'!J$1,$A12-1,0)</f>
        <v>0</v>
      </c>
      <c r="N12">
        <v>4352</v>
      </c>
      <c r="O12" s="185" t="s">
        <v>51</v>
      </c>
      <c r="P12" s="1" t="s">
        <v>0</v>
      </c>
      <c r="Q12" s="13">
        <f ca="1">OFFSET('4060COMP'!D$1,$A$4-1,0)</f>
        <v>12.092297619047621</v>
      </c>
      <c r="R12" s="13">
        <f ca="1">OFFSET('4060COMP'!E$1,$A$4-1,0)</f>
        <v>7.5542730952380941</v>
      </c>
      <c r="S12" s="13">
        <f ca="1">OFFSET('4060COMP'!F$1,$A$4-1,0)</f>
        <v>5.3284601190476204</v>
      </c>
      <c r="T12" s="13">
        <f ca="1">OFFSET('4060COMP'!G$1,$A$4-1,0)</f>
        <v>4.2659202380952381</v>
      </c>
      <c r="U12" s="13">
        <f ca="1">OFFSET('4060COMP'!H$1,$A$4-1,0)</f>
        <v>3.7373797619047631</v>
      </c>
      <c r="V12" s="13">
        <f ca="1">OFFSET('4060COMP'!I$1,$A$4-1,0)</f>
        <v>3.4747632440476197</v>
      </c>
      <c r="W12" s="13">
        <f ca="1">OFFSET('4060COMP'!J$1,$A$4-1,0)</f>
        <v>0</v>
      </c>
    </row>
    <row r="13" spans="1:33" x14ac:dyDescent="0.25">
      <c r="C13" s="186"/>
      <c r="D13" s="1" t="s">
        <v>16</v>
      </c>
      <c r="E13" s="1">
        <f ca="1">OFFSET('1050LAPTOP'!D$1,$A12-1+$A$1,0)</f>
        <v>322.78392200000002</v>
      </c>
      <c r="F13" s="1">
        <f ca="1">OFFSET('1050LAPTOP'!E$1,$A12-1+$A$1,0)</f>
        <v>239.33621144000031</v>
      </c>
      <c r="G13" s="1">
        <f ca="1">OFFSET('1050LAPTOP'!F$1,$A12-1+$A$1,0)</f>
        <v>363.1276663599989</v>
      </c>
      <c r="H13" s="1">
        <f ca="1">OFFSET('1050LAPTOP'!G$1,$A12-1+$A$1,0)</f>
        <v>682.78439000000014</v>
      </c>
      <c r="I13" s="1">
        <f ca="1">OFFSET('1050LAPTOP'!H$1,$A12-1+$A$1,0)</f>
        <v>1087793.1446740003</v>
      </c>
      <c r="J13" s="1">
        <f ca="1">OFFSET('1050LAPTOP'!I$1,$A12-1+$A$1,0)</f>
        <v>626616.70326600003</v>
      </c>
      <c r="K13" s="1">
        <f ca="1">OFFSET('1050LAPTOP'!J$1,$A12-1+$A$1,0)</f>
        <v>20370.716296000042</v>
      </c>
      <c r="O13" s="186"/>
      <c r="P13" s="1" t="s">
        <v>16</v>
      </c>
      <c r="Q13" s="12">
        <f ca="1">OFFSET('4060COMP'!D$1,$A$4-1+$A$1,0)</f>
        <v>0</v>
      </c>
      <c r="R13" s="12">
        <f ca="1">OFFSET('4060COMP'!E$1,$A$4-1+$A$1,0)</f>
        <v>259.53062775999996</v>
      </c>
      <c r="S13" s="12">
        <f ca="1">OFFSET('4060COMP'!F$1,$A$4-1+$A$1,0)</f>
        <v>616.71730855999976</v>
      </c>
      <c r="T13" s="12">
        <f ca="1">OFFSET('4060COMP'!G$1,$A$4-1+$A$1,0)</f>
        <v>3560.706592000005</v>
      </c>
      <c r="U13" s="12">
        <f ca="1">OFFSET('4060COMP'!H$1,$A$4-1+$A$1,0)</f>
        <v>57100.635880999995</v>
      </c>
      <c r="V13" s="12">
        <f ca="1">OFFSET('4060COMP'!I$1,$A$4-1+$A$1,0)</f>
        <v>13831.197151999995</v>
      </c>
      <c r="W13" s="12">
        <f ca="1">OFFSET('4060COMP'!J$1,$A$4-1+$A$1,0)</f>
        <v>19720658.197508004</v>
      </c>
      <c r="AA13">
        <f ca="1">Q13/Q$3</f>
        <v>0</v>
      </c>
      <c r="AB13">
        <f t="shared" ref="AB13" ca="1" si="21">R13/R$3</f>
        <v>3.0896503304761902</v>
      </c>
      <c r="AC13">
        <f t="shared" ref="AC13" ca="1" si="22">S13/S$3</f>
        <v>3.6709363604761891</v>
      </c>
      <c r="AD13">
        <f t="shared" ref="AD13" ca="1" si="23">T13/T$3</f>
        <v>10.597341047619063</v>
      </c>
      <c r="AE13">
        <f t="shared" ref="AE13" ca="1" si="24">U13/U$3</f>
        <v>84.971184346726176</v>
      </c>
      <c r="AF13">
        <f t="shared" ref="AF13" ca="1" si="25">V13/V$3</f>
        <v>10.291069309523806</v>
      </c>
      <c r="AG13">
        <f t="shared" ref="AG13" ca="1" si="26">W13/W$3</f>
        <v>7336.5543889538703</v>
      </c>
    </row>
    <row r="14" spans="1:33" ht="15" customHeight="1" x14ac:dyDescent="0.25">
      <c r="A14">
        <v>8</v>
      </c>
      <c r="B14" t="str">
        <f ca="1">OFFSET('1050LAPTOP'!$C$1,A14-1,0)</f>
        <v>CUDA opt ant</v>
      </c>
      <c r="C14" s="185" t="s">
        <v>21</v>
      </c>
      <c r="D14" s="1" t="s">
        <v>0</v>
      </c>
      <c r="E14" s="13">
        <f ca="1">OFFSET('1050LAPTOP'!D$1,$A14-1,0)</f>
        <v>1111.0204000000001</v>
      </c>
      <c r="F14" s="13">
        <f ca="1">OFFSET('1050LAPTOP'!E$1,$A14-1,0)</f>
        <v>1562.7405999999992</v>
      </c>
      <c r="G14" s="13">
        <f ca="1">OFFSET('1050LAPTOP'!F$1,$A14-1,0)</f>
        <v>2477.3717999999994</v>
      </c>
      <c r="H14" s="13">
        <f ca="1">OFFSET('1050LAPTOP'!G$1,$A14-1,0)</f>
        <v>5021.765199999998</v>
      </c>
      <c r="I14" s="13">
        <f ca="1">OFFSET('1050LAPTOP'!H$1,$A14-1,0)</f>
        <v>9885.4503999999997</v>
      </c>
      <c r="J14" s="13">
        <f ca="1">OFFSET('1050LAPTOP'!I$1,$A14-1,0)</f>
        <v>19083.762000000002</v>
      </c>
      <c r="K14" s="13">
        <f ca="1">OFFSET('1050LAPTOP'!J$1,$A14-1,0)</f>
        <v>38204.80599999999</v>
      </c>
      <c r="N14">
        <v>1024</v>
      </c>
      <c r="O14" s="185" t="s">
        <v>52</v>
      </c>
      <c r="P14" s="1" t="s">
        <v>0</v>
      </c>
      <c r="Q14" s="13">
        <f ca="1">OFFSET(JETSON!D$1,$A$4-1,0)</f>
        <v>10.50615809523809</v>
      </c>
      <c r="R14" s="13">
        <f ca="1">OFFSET(JETSON!E$1,$A$4-1,0)</f>
        <v>6.81516761904762</v>
      </c>
      <c r="S14" s="13">
        <f ca="1">OFFSET(JETSON!F$1,$A$4-1,0)</f>
        <v>4.9888017857142843</v>
      </c>
      <c r="T14" s="13">
        <f ca="1">OFFSET(JETSON!G$1,$A$4-1,0)</f>
        <v>4.2645345238095231</v>
      </c>
      <c r="U14" s="13">
        <f ca="1">OFFSET(JETSON!H$1,$A$4-1,0)</f>
        <v>4.205383035714287</v>
      </c>
      <c r="V14" s="13">
        <f ca="1">OFFSET(JETSON!I$1,$A$4-1,0)</f>
        <v>3.8691999999999998</v>
      </c>
      <c r="W14" s="13">
        <f ca="1">OFFSET(JETSON!J$1,$A$4-1,0)</f>
        <v>0</v>
      </c>
    </row>
    <row r="15" spans="1:33" x14ac:dyDescent="0.25">
      <c r="C15" s="186"/>
      <c r="D15" s="1" t="s">
        <v>16</v>
      </c>
      <c r="E15" s="1">
        <f ca="1">OFFSET('1050LAPTOP'!D$1,$A14-1+$A$1,0)</f>
        <v>263.99015024000028</v>
      </c>
      <c r="F15" s="1">
        <f ca="1">OFFSET('1050LAPTOP'!E$1,$A14-1+$A$1,0)</f>
        <v>131.70370536000007</v>
      </c>
      <c r="G15" s="1">
        <f ca="1">OFFSET('1050LAPTOP'!F$1,$A14-1+$A$1,0)</f>
        <v>346.02492083999988</v>
      </c>
      <c r="H15" s="1">
        <f ca="1">OFFSET('1050LAPTOP'!G$1,$A14-1+$A$1,0)</f>
        <v>1621.102336559997</v>
      </c>
      <c r="I15" s="1">
        <f ca="1">OFFSET('1050LAPTOP'!H$1,$A14-1+$A$1,0)</f>
        <v>530.49904300000026</v>
      </c>
      <c r="J15" s="1">
        <f ca="1">OFFSET('1050LAPTOP'!I$1,$A14-1+$A$1,0)</f>
        <v>664.23415500000442</v>
      </c>
      <c r="K15" s="1">
        <f ca="1">OFFSET('1050LAPTOP'!J$1,$A14-1+$A$1,0)</f>
        <v>753568.69238999998</v>
      </c>
      <c r="O15" s="186"/>
      <c r="P15" s="1" t="s">
        <v>16</v>
      </c>
      <c r="Q15" s="12">
        <f ca="1">OFFSET(JETSON!D$1,$A$4-1+$A$1,0)</f>
        <v>0</v>
      </c>
      <c r="R15" s="12">
        <f ca="1">OFFSET(JETSON!E$1,$A$4-1+$A$1,0)</f>
        <v>259.53062775999996</v>
      </c>
      <c r="S15" s="12">
        <f ca="1">OFFSET(JETSON!F$1,$A$4-1+$A$1,0)</f>
        <v>616.71730855999976</v>
      </c>
      <c r="T15" s="12">
        <f ca="1">OFFSET(JETSON!G$1,$A$4-1+$A$1,0)</f>
        <v>3560.706592000005</v>
      </c>
      <c r="U15" s="12">
        <f ca="1">OFFSET(JETSON!H$1,$A$4-1+$A$1,0)</f>
        <v>57100.635880999995</v>
      </c>
      <c r="V15" s="12">
        <f ca="1">OFFSET(JETSON!I$1,$A$4-1+$A$1,0)</f>
        <v>13831.197151999995</v>
      </c>
      <c r="W15" s="12">
        <f ca="1">OFFSET(JETSON!J$1,$A$4-1+$A$1,0)</f>
        <v>19720658.197508004</v>
      </c>
    </row>
    <row r="16" spans="1:33" x14ac:dyDescent="0.25">
      <c r="A16">
        <v>12</v>
      </c>
      <c r="B16" t="str">
        <f ca="1">OFFSET('1050LAPTOP'!$C$1,A16-1,0)</f>
        <v>CUDA opt_one_GPU ant local</v>
      </c>
      <c r="C16" s="185"/>
      <c r="D16" s="1" t="s">
        <v>0</v>
      </c>
      <c r="E16" s="13">
        <f ca="1">OFFSET('1050LAPTOP'!D$1,$A16-1,0)</f>
        <v>1469.1822</v>
      </c>
      <c r="F16" s="13">
        <f ca="1">OFFSET('1050LAPTOP'!E$1,$A16-1,0)</f>
        <v>2883.3024</v>
      </c>
      <c r="G16" s="13">
        <f ca="1">OFFSET('1050LAPTOP'!F$1,$A16-1,0)</f>
        <v>5688.8597999999984</v>
      </c>
      <c r="H16" s="13">
        <f ca="1">OFFSET('1050LAPTOP'!G$1,$A16-1,0)</f>
        <v>11485.505999999996</v>
      </c>
      <c r="I16" s="13">
        <f ca="1">OFFSET('1050LAPTOP'!H$1,$A16-1,0)</f>
        <v>23062.244000000002</v>
      </c>
      <c r="J16" s="13">
        <f ca="1">OFFSET('1050LAPTOP'!I$1,$A16-1,0)</f>
        <v>46032.585999999988</v>
      </c>
      <c r="K16" s="13">
        <f ca="1">OFFSET('1050LAPTOP'!J$1,$A16-1,0)</f>
        <v>92249.118000000046</v>
      </c>
      <c r="N16">
        <v>5120</v>
      </c>
      <c r="O16" s="185" t="s">
        <v>53</v>
      </c>
      <c r="P16" s="1" t="s">
        <v>0</v>
      </c>
      <c r="Q16" s="13">
        <f ca="1">OFFSET(REA!D$1,$A$4-1,0)</f>
        <v>3.3409728571428552</v>
      </c>
      <c r="R16" s="13">
        <f ca="1">OFFSET(REA!E$1,$A$4-1,0)</f>
        <v>2.1189650000000002</v>
      </c>
      <c r="S16" s="13">
        <f ca="1">OFFSET(REA!F$1,$A$4-1,0)</f>
        <v>1.5079782142857145</v>
      </c>
      <c r="T16" s="13">
        <f ca="1">OFFSET(REA!G$1,$A$4-1,0)</f>
        <v>1.2961796428571428</v>
      </c>
      <c r="U16" s="13">
        <f ca="1">OFFSET(REA!H$1,$A$4-1,0)</f>
        <v>1.3406398511904765</v>
      </c>
      <c r="V16" s="13">
        <f ca="1">OFFSET(REA!I$1,$A$4-1,0)</f>
        <v>1.2379494047619051</v>
      </c>
      <c r="W16" s="13">
        <f ca="1">OFFSET(REA!J$1,$A$4-1,0)</f>
        <v>0</v>
      </c>
    </row>
    <row r="17" spans="1:23" x14ac:dyDescent="0.25">
      <c r="C17" s="186"/>
      <c r="D17" s="1" t="s">
        <v>16</v>
      </c>
      <c r="E17" s="1">
        <f ca="1">OFFSET('1050LAPTOP'!D$1,$A16-1+$A$1,0)</f>
        <v>2</v>
      </c>
      <c r="F17" s="1">
        <f ca="1">OFFSET('1050LAPTOP'!E$1,$A16-1+$A$1,0)</f>
        <v>4</v>
      </c>
      <c r="G17" s="1">
        <f ca="1">OFFSET('1050LAPTOP'!F$1,$A16-1+$A$1,0)</f>
        <v>8</v>
      </c>
      <c r="H17" s="1">
        <f ca="1">OFFSET('1050LAPTOP'!G$1,$A16-1+$A$1,0)</f>
        <v>16</v>
      </c>
      <c r="I17" s="1">
        <f ca="1">OFFSET('1050LAPTOP'!H$1,$A16-1+$A$1,0)</f>
        <v>32</v>
      </c>
      <c r="J17" s="1">
        <f ca="1">OFFSET('1050LAPTOP'!I$1,$A16-1+$A$1,0)</f>
        <v>64</v>
      </c>
      <c r="K17" s="1">
        <f ca="1">OFFSET('1050LAPTOP'!J$1,$A16-1+$A$1,0)</f>
        <v>128</v>
      </c>
      <c r="O17" s="186"/>
      <c r="P17" s="1" t="s">
        <v>16</v>
      </c>
      <c r="Q17" s="12">
        <f ca="1">OFFSET(REA!D$1,$A$4-1+$A$1,0)</f>
        <v>0</v>
      </c>
      <c r="R17" s="12">
        <f ca="1">OFFSET(REA!E$1,$A$4-1+$A$1,0)</f>
        <v>113.63022800000029</v>
      </c>
      <c r="S17" s="12">
        <f ca="1">OFFSET(REA!F$1,$A$4-1+$A$1,0)</f>
        <v>1100.3339749600004</v>
      </c>
      <c r="T17" s="12">
        <f ca="1">OFFSET(REA!G$1,$A$4-1+$A$1,0)</f>
        <v>975.64002803999745</v>
      </c>
      <c r="U17" s="12">
        <f ca="1">OFFSET(REA!H$1,$A$4-1+$A$1,0)</f>
        <v>64976.078103000058</v>
      </c>
      <c r="V17" s="12">
        <f ca="1">OFFSET(REA!I$1,$A$4-1+$A$1,0)</f>
        <v>12178.919693999991</v>
      </c>
      <c r="W17" s="12">
        <f ca="1">OFFSET(REA!J$1,$A$4-1+$A$1,0)</f>
        <v>19055707.890131999</v>
      </c>
    </row>
    <row r="18" spans="1:23" x14ac:dyDescent="0.25">
      <c r="A18">
        <v>13</v>
      </c>
      <c r="B18" t="str">
        <f ca="1">OFFSET('1050LAPTOP'!$C$1,A18-1,0)</f>
        <v>CUDA Const</v>
      </c>
      <c r="C18" s="185"/>
      <c r="D18" s="1" t="s">
        <v>0</v>
      </c>
      <c r="E18" s="13">
        <f ca="1">OFFSET('1050LAPTOP'!D$1,$A18-1,0)</f>
        <v>3190.6729999999993</v>
      </c>
      <c r="F18" s="13">
        <f ca="1">OFFSET('1050LAPTOP'!E$1,$A18-1,0)</f>
        <v>8273.8870000000024</v>
      </c>
      <c r="G18" s="13">
        <f ca="1">OFFSET('1050LAPTOP'!F$1,$A18-1,0)</f>
        <v>30350.503999999979</v>
      </c>
      <c r="H18" s="13">
        <f ca="1">OFFSET('1050LAPTOP'!G$1,$A18-1,0)</f>
        <v>119486.92</v>
      </c>
      <c r="I18" s="13">
        <f ca="1">OFFSET('1050LAPTOP'!H$1,$A18-1,0)</f>
        <v>0</v>
      </c>
      <c r="J18" s="13">
        <f ca="1">OFFSET('1050LAPTOP'!I$1,$A18-1,0)</f>
        <v>0</v>
      </c>
      <c r="K18" s="13">
        <f ca="1">OFFSET('1050LAPTOP'!J$1,$A18-1,0)</f>
        <v>0</v>
      </c>
    </row>
    <row r="19" spans="1:23" x14ac:dyDescent="0.25">
      <c r="C19" s="186"/>
      <c r="D19" s="1" t="s">
        <v>16</v>
      </c>
      <c r="E19" s="1">
        <f ca="1">OFFSET('1050LAPTOP'!D$1,$A18-1+$A$1,0)</f>
        <v>42</v>
      </c>
      <c r="F19" s="1">
        <f ca="1">OFFSET('1050LAPTOP'!E$1,$A18-1+$A$1,0)</f>
        <v>84</v>
      </c>
      <c r="G19" s="1">
        <f ca="1">OFFSET('1050LAPTOP'!F$1,$A18-1+$A$1,0)</f>
        <v>168</v>
      </c>
      <c r="H19" s="1">
        <f ca="1">OFFSET('1050LAPTOP'!G$1,$A18-1+$A$1,0)</f>
        <v>336</v>
      </c>
      <c r="I19" s="1">
        <f ca="1">OFFSET('1050LAPTOP'!H$1,$A18-1+$A$1,0)</f>
        <v>672</v>
      </c>
      <c r="J19" s="1">
        <f ca="1">OFFSET('1050LAPTOP'!I$1,$A18-1+$A$1,0)</f>
        <v>1344</v>
      </c>
      <c r="K19" s="1">
        <f ca="1">OFFSET('1050LAPTOP'!J$1,$A18-1+$A$1,0)</f>
        <v>2688</v>
      </c>
    </row>
    <row r="20" spans="1:23" s="19" customFormat="1" x14ac:dyDescent="0.25">
      <c r="A20" s="19">
        <v>3</v>
      </c>
      <c r="B20" s="19" t="str">
        <f ca="1">OFFSET('1050LAPTOP'!$C$1,A20-1,0)</f>
        <v>Classic ACO</v>
      </c>
      <c r="C20" s="185" t="s">
        <v>1</v>
      </c>
      <c r="D20" s="20" t="s">
        <v>0</v>
      </c>
      <c r="E20" s="21">
        <f ca="1">OFFSET('1050COMP'!D$1,$A20-1,0)</f>
        <v>13775.68</v>
      </c>
      <c r="F20" s="21">
        <f ca="1">OFFSET('1050COMP'!E$1,$A20-1,0)</f>
        <v>24819.016000000011</v>
      </c>
      <c r="G20" s="21">
        <f ca="1">OFFSET('1050COMP'!F$1,$A20-1,0)</f>
        <v>47399.626000000004</v>
      </c>
      <c r="H20" s="21">
        <f ca="1">OFFSET('1050COMP'!G$1,$A20-1,0)</f>
        <v>96405.03</v>
      </c>
      <c r="I20" s="21">
        <f ca="1">OFFSET('1050COMP'!H$1,$A20-1,0)</f>
        <v>197567.46</v>
      </c>
      <c r="J20" s="21">
        <f ca="1">OFFSET('1050COMP'!I$1,$A20-1,0)</f>
        <v>376437.82</v>
      </c>
      <c r="K20" s="21">
        <f ca="1">OFFSET('1050COMP'!J$1,$A20-1,0)</f>
        <v>762594.84</v>
      </c>
    </row>
    <row r="21" spans="1:23" x14ac:dyDescent="0.25">
      <c r="C21" s="186"/>
      <c r="D21" s="1" t="s">
        <v>16</v>
      </c>
      <c r="E21" s="1">
        <f ca="1">OFFSET('1050COMP'!D$1,$A20-1+$A$1,0)</f>
        <v>167.51600903560004</v>
      </c>
      <c r="F21" s="1">
        <f ca="1">OFFSET('1050COMP'!E$1,$A20-1+$A$1,0)</f>
        <v>558.86905800000022</v>
      </c>
      <c r="G21" s="1">
        <f ca="1">OFFSET('1050COMP'!F$1,$A20-1+$A$1,0)</f>
        <v>333.57509099999993</v>
      </c>
      <c r="H21" s="1">
        <f ca="1">OFFSET('1050COMP'!G$1,$A20-1+$A$1,0)</f>
        <v>2851.737513040001</v>
      </c>
      <c r="I21" s="1">
        <f ca="1">OFFSET('1050COMP'!H$1,$A20-1+$A$1,0)</f>
        <v>42269.478490560025</v>
      </c>
      <c r="J21" s="1">
        <f ca="1">OFFSET('1050COMP'!I$1,$A20-1+$A$1,0)</f>
        <v>133384.94100100003</v>
      </c>
      <c r="K21" s="1">
        <f ca="1">OFFSET('1050COMP'!J$1,$A20-1+$A$1,0)</f>
        <v>120448.13017200015</v>
      </c>
    </row>
    <row r="22" spans="1:23" x14ac:dyDescent="0.25">
      <c r="A22">
        <v>4</v>
      </c>
      <c r="B22" t="str">
        <f ca="1">OFFSET('1050LAPTOP'!$C$1,A22-1,0)</f>
        <v>CUDA Time</v>
      </c>
      <c r="C22" s="185" t="s">
        <v>17</v>
      </c>
      <c r="D22" s="1" t="s">
        <v>0</v>
      </c>
      <c r="E22" s="13">
        <f ca="1">OFFSET('1050COMP'!D$1,$A22-1,0)</f>
        <v>3659.4321999999997</v>
      </c>
      <c r="F22" s="13">
        <f ca="1">OFFSET('1050COMP'!E$1,$A22-1,0)</f>
        <v>9339.9226000000017</v>
      </c>
      <c r="G22" s="13">
        <f ca="1">OFFSET('1050COMP'!F$1,$A22-1,0)</f>
        <v>35373.252000000008</v>
      </c>
      <c r="H22" s="13">
        <f ca="1">OFFSET('1050COMP'!G$1,$A22-1,0)</f>
        <v>133771.85999999999</v>
      </c>
      <c r="I22" s="13">
        <f ca="1">OFFSET('1050COMP'!H$1,$A22-1,0)</f>
        <v>0</v>
      </c>
      <c r="J22" s="13">
        <f ca="1">OFFSET('1050COMP'!I$1,$A22-1,0)</f>
        <v>0</v>
      </c>
      <c r="K22" s="13">
        <f ca="1">OFFSET('1050COMP'!J$1,$A22-1,0)</f>
        <v>0</v>
      </c>
    </row>
    <row r="23" spans="1:23" x14ac:dyDescent="0.25">
      <c r="C23" s="186"/>
      <c r="D23" s="1" t="s">
        <v>16</v>
      </c>
      <c r="E23" s="1">
        <f ca="1">OFFSET('1050COMP'!D$1,$A22-1+$A$1,0)</f>
        <v>175.77522985639996</v>
      </c>
      <c r="F23" s="1">
        <f ca="1">OFFSET('1050COMP'!E$1,$A22-1+$A$1,0)</f>
        <v>1101.8354940000004</v>
      </c>
      <c r="G23" s="1">
        <f ca="1">OFFSET('1050COMP'!F$1,$A22-1+$A$1,0)</f>
        <v>358.98441703999976</v>
      </c>
      <c r="H23" s="1">
        <f ca="1">OFFSET('1050COMP'!G$1,$A22-1+$A$1,0)</f>
        <v>2861.3259628400001</v>
      </c>
      <c r="I23" s="1">
        <f ca="1">OFFSET('1050COMP'!H$1,$A22-1+$A$1,0)</f>
        <v>10029.95534200001</v>
      </c>
      <c r="J23" s="1">
        <f ca="1">OFFSET('1050COMP'!I$1,$A22-1+$A$1,0)</f>
        <v>60318.786804000025</v>
      </c>
      <c r="K23" s="1">
        <f ca="1">OFFSET('1050COMP'!J$1,$A22-1+$A$1,0)</f>
        <v>0</v>
      </c>
    </row>
    <row r="24" spans="1:23" x14ac:dyDescent="0.25">
      <c r="A24">
        <v>5</v>
      </c>
      <c r="B24" t="str">
        <f ca="1">OFFSET('1050LAPTOP'!$C$1,A24-1,0)</f>
        <v>CUDA ant</v>
      </c>
      <c r="C24" s="185" t="s">
        <v>18</v>
      </c>
      <c r="D24" s="1" t="s">
        <v>0</v>
      </c>
      <c r="E24" s="13">
        <f ca="1">OFFSET('1050COMP'!D$1,$A24-1,0)</f>
        <v>1205.1710000000003</v>
      </c>
      <c r="F24" s="13">
        <f ca="1">OFFSET('1050COMP'!E$1,$A24-1,0)</f>
        <v>1720.4453999999996</v>
      </c>
      <c r="G24" s="13">
        <f ca="1">OFFSET('1050COMP'!F$1,$A24-1,0)</f>
        <v>2777.4121999999998</v>
      </c>
      <c r="H24" s="13">
        <f ca="1">OFFSET('1050COMP'!G$1,$A24-1,0)</f>
        <v>5562.0441999999994</v>
      </c>
      <c r="I24" s="13">
        <f ca="1">OFFSET('1050COMP'!H$1,$A24-1,0)</f>
        <v>9529.4333999999981</v>
      </c>
      <c r="J24" s="13">
        <f ca="1">OFFSET('1050COMP'!I$1,$A24-1,0)</f>
        <v>22207.712000000007</v>
      </c>
      <c r="K24" s="13">
        <f ca="1">OFFSET('1050COMP'!J$1,$A24-1,0)</f>
        <v>38945.372000000003</v>
      </c>
    </row>
    <row r="25" spans="1:23" x14ac:dyDescent="0.25">
      <c r="C25" s="186"/>
      <c r="D25" s="1" t="s">
        <v>16</v>
      </c>
      <c r="E25" s="1">
        <f ca="1">OFFSET('1050COMP'!D$1,$A24-1+$A$1,0)</f>
        <v>495.63241381640006</v>
      </c>
      <c r="F25" s="1">
        <f ca="1">OFFSET('1050COMP'!E$1,$A24-1+$A$1,0)</f>
        <v>96.572213160000089</v>
      </c>
      <c r="G25" s="1">
        <f ca="1">OFFSET('1050COMP'!F$1,$A24-1+$A$1,0)</f>
        <v>714.41986799999916</v>
      </c>
      <c r="H25" s="1">
        <f ca="1">OFFSET('1050COMP'!G$1,$A24-1+$A$1,0)</f>
        <v>3748.99635184</v>
      </c>
      <c r="I25" s="1">
        <f ca="1">OFFSET('1050COMP'!H$1,$A24-1+$A$1,0)</f>
        <v>20129.772560000001</v>
      </c>
      <c r="J25" s="1">
        <f ca="1">OFFSET('1050COMP'!I$1,$A24-1+$A$1,0)</f>
        <v>2800422.761194</v>
      </c>
      <c r="K25" s="1">
        <f ca="1">OFFSET('1050COMP'!J$1,$A24-1+$A$1,0)</f>
        <v>220418.78225599992</v>
      </c>
    </row>
    <row r="26" spans="1:23" x14ac:dyDescent="0.25">
      <c r="A26">
        <v>6</v>
      </c>
      <c r="B26" t="str">
        <f ca="1">OFFSET('1050LAPTOP'!$C$1,A26-1,0)</f>
        <v>CUDA ant par</v>
      </c>
      <c r="C26" s="185" t="s">
        <v>19</v>
      </c>
      <c r="D26" s="1" t="s">
        <v>0</v>
      </c>
      <c r="E26" s="13">
        <f ca="1">OFFSET('1050COMP'!D$1,$A26-1,0)</f>
        <v>1193.4461999999999</v>
      </c>
      <c r="F26" s="13">
        <f ca="1">OFFSET('1050COMP'!E$1,$A26-1,0)</f>
        <v>1718.7073999999996</v>
      </c>
      <c r="G26" s="13">
        <f ca="1">OFFSET('1050COMP'!F$1,$A26-1,0)</f>
        <v>2621.5021999999999</v>
      </c>
      <c r="H26" s="13">
        <f ca="1">OFFSET('1050COMP'!G$1,$A26-1,0)</f>
        <v>4581.1511999999984</v>
      </c>
      <c r="I26" s="13">
        <f ca="1">OFFSET('1050COMP'!H$1,$A26-1,0)</f>
        <v>7371.8841999999977</v>
      </c>
      <c r="J26" s="13">
        <f ca="1">OFFSET('1050COMP'!I$1,$A26-1,0)</f>
        <v>15329.056000000006</v>
      </c>
      <c r="K26" s="13">
        <f ca="1">OFFSET('1050COMP'!J$1,$A26-1,0)</f>
        <v>29967.086000000007</v>
      </c>
    </row>
    <row r="27" spans="1:23" x14ac:dyDescent="0.25">
      <c r="C27" s="186"/>
      <c r="D27" s="1" t="s">
        <v>16</v>
      </c>
      <c r="E27" s="1" t="e">
        <f ca="1">OFFSET('1050COMP'!D$1,$A26-1+$A$1,0)</f>
        <v>#DIV/0!</v>
      </c>
      <c r="F27" s="1">
        <f ca="1">OFFSET('1050COMP'!E$1,$A26-1+$A$1,0)</f>
        <v>440.2211454399997</v>
      </c>
      <c r="G27" s="1">
        <f ca="1">OFFSET('1050COMP'!F$1,$A26-1+$A$1,0)</f>
        <v>1116.0678930000015</v>
      </c>
      <c r="H27" s="1">
        <f ca="1">OFFSET('1050COMP'!G$1,$A26-1+$A$1,0)</f>
        <v>7097.6773539599953</v>
      </c>
      <c r="I27" s="1">
        <f ca="1">OFFSET('1050COMP'!H$1,$A26-1+$A$1,0)</f>
        <v>6993.6841080000067</v>
      </c>
      <c r="J27" s="1">
        <f ca="1">OFFSET('1050COMP'!I$1,$A26-1+$A$1,0)</f>
        <v>52919.376373999949</v>
      </c>
      <c r="K27" s="1">
        <f ca="1">OFFSET('1050COMP'!J$1,$A26-1+$A$1,0)</f>
        <v>7423274.5401530024</v>
      </c>
    </row>
    <row r="28" spans="1:23" x14ac:dyDescent="0.25">
      <c r="A28">
        <v>7</v>
      </c>
      <c r="B28" t="str">
        <f ca="1">OFFSET('1050LAPTOP'!$C$1,A28-1,0)</f>
        <v>CUDA opt</v>
      </c>
      <c r="C28" s="185" t="s">
        <v>20</v>
      </c>
      <c r="D28" s="1" t="s">
        <v>0</v>
      </c>
      <c r="E28" s="13">
        <f ca="1">OFFSET('1050COMP'!D$1,$A28-1,0)</f>
        <v>3604.9408000000003</v>
      </c>
      <c r="F28" s="13">
        <f ca="1">OFFSET('1050COMP'!E$1,$A28-1,0)</f>
        <v>9478.3753999999972</v>
      </c>
      <c r="G28" s="13">
        <f ca="1">OFFSET('1050COMP'!F$1,$A28-1,0)</f>
        <v>35015.916000000012</v>
      </c>
      <c r="H28" s="13">
        <f ca="1">OFFSET('1050COMP'!G$1,$A28-1,0)</f>
        <v>133849.20000000001</v>
      </c>
      <c r="I28" s="13">
        <f ca="1">OFFSET('1050COMP'!H$1,$A28-1,0)</f>
        <v>0</v>
      </c>
      <c r="J28" s="13">
        <f ca="1">OFFSET('1050COMP'!I$1,$A28-1,0)</f>
        <v>0</v>
      </c>
      <c r="K28" s="13">
        <f ca="1">OFFSET('1050COMP'!J$1,$A28-1,0)</f>
        <v>0</v>
      </c>
    </row>
    <row r="29" spans="1:23" x14ac:dyDescent="0.25">
      <c r="C29" s="186"/>
      <c r="D29" s="1" t="s">
        <v>16</v>
      </c>
      <c r="E29" s="1">
        <f ca="1">OFFSET('1050COMP'!D$1,$A28-1+$A$1,0)</f>
        <v>919.66778799999952</v>
      </c>
      <c r="F29" s="1">
        <f ca="1">OFFSET('1050COMP'!E$1,$A28-1+$A$1,0)</f>
        <v>1645.878142999999</v>
      </c>
      <c r="G29" s="1">
        <f ca="1">OFFSET('1050COMP'!F$1,$A28-1+$A$1,0)</f>
        <v>20295.816985960013</v>
      </c>
      <c r="H29" s="1">
        <f ca="1">OFFSET('1050COMP'!G$1,$A28-1+$A$1,0)</f>
        <v>7997.4668329999968</v>
      </c>
      <c r="I29" s="1">
        <f ca="1">OFFSET('1050COMP'!H$1,$A28-1+$A$1,0)</f>
        <v>4124999.3539469992</v>
      </c>
      <c r="J29" s="1">
        <f ca="1">OFFSET('1050COMP'!I$1,$A28-1+$A$1,0)</f>
        <v>2418842.8982990002</v>
      </c>
      <c r="K29" s="1">
        <f ca="1">OFFSET('1050COMP'!J$1,$A28-1+$A$1,0)</f>
        <v>3236315.8949239999</v>
      </c>
    </row>
    <row r="30" spans="1:23" x14ac:dyDescent="0.25">
      <c r="A30">
        <v>8</v>
      </c>
      <c r="B30" t="str">
        <f ca="1">OFFSET('1050LAPTOP'!$C$1,A30-1,0)</f>
        <v>CUDA opt ant</v>
      </c>
      <c r="C30" s="185" t="s">
        <v>21</v>
      </c>
      <c r="D30" s="1" t="s">
        <v>0</v>
      </c>
      <c r="E30" s="13">
        <f ca="1">OFFSET('1050COMP'!D$1,$A30-1,0)</f>
        <v>1181.9466</v>
      </c>
      <c r="F30" s="13">
        <f ca="1">OFFSET('1050COMP'!E$1,$A30-1,0)</f>
        <v>1592.6038000000003</v>
      </c>
      <c r="G30" s="13">
        <f ca="1">OFFSET('1050COMP'!F$1,$A30-1,0)</f>
        <v>2740.828</v>
      </c>
      <c r="H30" s="13">
        <f ca="1">OFFSET('1050COMP'!G$1,$A30-1,0)</f>
        <v>5504.5883999999969</v>
      </c>
      <c r="I30" s="13">
        <f ca="1">OFFSET('1050COMP'!H$1,$A30-1,0)</f>
        <v>11476.146400000001</v>
      </c>
      <c r="J30" s="13">
        <f ca="1">OFFSET('1050COMP'!I$1,$A30-1,0)</f>
        <v>21936.873999999996</v>
      </c>
      <c r="K30" s="13">
        <f ca="1">OFFSET('1050COMP'!J$1,$A30-1,0)</f>
        <v>42614.859999999993</v>
      </c>
    </row>
    <row r="31" spans="1:23" x14ac:dyDescent="0.25">
      <c r="C31" s="186"/>
      <c r="D31" s="1" t="s">
        <v>16</v>
      </c>
      <c r="E31" s="1">
        <f ca="1">OFFSET('1050COMP'!D$1,$A30-1+$A$1,0)</f>
        <v>273.95643429959989</v>
      </c>
      <c r="F31" s="1">
        <f ca="1">OFFSET('1050COMP'!E$1,$A30-1+$A$1,0)</f>
        <v>118.83993075999997</v>
      </c>
      <c r="G31" s="1">
        <f ca="1">OFFSET('1050COMP'!F$1,$A30-1+$A$1,0)</f>
        <v>391.80990575999988</v>
      </c>
      <c r="H31" s="1">
        <f ca="1">OFFSET('1050COMP'!G$1,$A30-1+$A$1,0)</f>
        <v>484.12665544000095</v>
      </c>
      <c r="I31" s="1">
        <f ca="1">OFFSET('1050COMP'!H$1,$A30-1+$A$1,0)</f>
        <v>55338.299999999988</v>
      </c>
      <c r="J31" s="1">
        <f ca="1">OFFSET('1050COMP'!I$1,$A30-1+$A$1,0)</f>
        <v>124228.531378</v>
      </c>
      <c r="K31" s="1">
        <f ca="1">OFFSET('1050COMP'!J$1,$A30-1+$A$1,0)</f>
        <v>225953.75803</v>
      </c>
    </row>
    <row r="32" spans="1:23" x14ac:dyDescent="0.25">
      <c r="A32">
        <v>12</v>
      </c>
      <c r="B32" t="str">
        <f ca="1">OFFSET('1050LAPTOP'!$C$1,A32-1,0)</f>
        <v>CUDA opt_one_GPU ant local</v>
      </c>
      <c r="C32" s="185"/>
      <c r="D32" s="1" t="s">
        <v>0</v>
      </c>
      <c r="E32" s="13">
        <f ca="1">OFFSET('1050COMP'!D$1,$A32-1,0)</f>
        <v>1703.0858000000005</v>
      </c>
      <c r="F32" s="13">
        <f ca="1">OFFSET('1050COMP'!E$1,$A32-1,0)</f>
        <v>3238.8465999999999</v>
      </c>
      <c r="G32" s="13">
        <f ca="1">OFFSET('1050COMP'!F$1,$A32-1,0)</f>
        <v>6387.8326000000034</v>
      </c>
      <c r="H32" s="13">
        <f ca="1">OFFSET('1050COMP'!G$1,$A32-1,0)</f>
        <v>11126.670000000006</v>
      </c>
      <c r="I32" s="13">
        <f ca="1">OFFSET('1050COMP'!H$1,$A32-1,0)</f>
        <v>24205.906000000003</v>
      </c>
      <c r="J32" s="13">
        <f ca="1">OFFSET('1050COMP'!I$1,$A32-1,0)</f>
        <v>51402.416000000012</v>
      </c>
      <c r="K32" s="13">
        <f ca="1">OFFSET('1050COMP'!J$1,$A32-1,0)</f>
        <v>189955.16</v>
      </c>
    </row>
    <row r="33" spans="1:11" x14ac:dyDescent="0.25">
      <c r="C33" s="186"/>
      <c r="D33" s="1" t="s">
        <v>16</v>
      </c>
      <c r="E33" s="1">
        <f ca="1">OFFSET('1050COMP'!D$1,$A32-1+$A$1,0)</f>
        <v>2</v>
      </c>
      <c r="F33" s="1">
        <f ca="1">OFFSET('1050COMP'!E$1,$A32-1+$A$1,0)</f>
        <v>4</v>
      </c>
      <c r="G33" s="1">
        <f ca="1">OFFSET('1050COMP'!F$1,$A32-1+$A$1,0)</f>
        <v>8</v>
      </c>
      <c r="H33" s="1">
        <f ca="1">OFFSET('1050COMP'!G$1,$A32-1+$A$1,0)</f>
        <v>16</v>
      </c>
      <c r="I33" s="1">
        <f ca="1">OFFSET('1050COMP'!H$1,$A32-1+$A$1,0)</f>
        <v>32</v>
      </c>
      <c r="J33" s="1">
        <f ca="1">OFFSET('1050COMP'!I$1,$A32-1+$A$1,0)</f>
        <v>64</v>
      </c>
      <c r="K33" s="1">
        <f ca="1">OFFSET('1050COMP'!J$1,$A32-1+$A$1,0)</f>
        <v>128</v>
      </c>
    </row>
    <row r="34" spans="1:11" x14ac:dyDescent="0.25">
      <c r="A34">
        <v>13</v>
      </c>
      <c r="B34" t="str">
        <f ca="1">OFFSET('1050LAPTOP'!$C$1,A34-1,0)</f>
        <v>CUDA Const</v>
      </c>
      <c r="C34" s="185"/>
      <c r="D34" s="1" t="s">
        <v>0</v>
      </c>
      <c r="E34" s="13">
        <f ca="1">OFFSET('1050COMP'!D$1,$A34-1,0)</f>
        <v>3582.0978000000005</v>
      </c>
      <c r="F34" s="13">
        <f ca="1">OFFSET('1050COMP'!E$1,$A34-1,0)</f>
        <v>9321.1760000000013</v>
      </c>
      <c r="G34" s="13">
        <f ca="1">OFFSET('1050COMP'!F$1,$A34-1,0)</f>
        <v>35222.210000000006</v>
      </c>
      <c r="H34" s="13">
        <f ca="1">OFFSET('1050COMP'!G$1,$A34-1,0)</f>
        <v>140931.94</v>
      </c>
      <c r="I34" s="13">
        <f ca="1">OFFSET('1050COMP'!H$1,$A34-1,0)</f>
        <v>0</v>
      </c>
      <c r="J34" s="13">
        <f ca="1">OFFSET('1050COMP'!I$1,$A34-1,0)</f>
        <v>0</v>
      </c>
      <c r="K34" s="13" t="e">
        <f ca="1">OFFSET('1050COMP'!J$1,$A34-1,0)</f>
        <v>#DIV/0!</v>
      </c>
    </row>
    <row r="35" spans="1:11" x14ac:dyDescent="0.25">
      <c r="C35" s="186"/>
      <c r="D35" s="1" t="s">
        <v>16</v>
      </c>
      <c r="E35" s="1">
        <f ca="1">OFFSET('1050COMP'!D$1,$A34-1+$A$1,0)</f>
        <v>42</v>
      </c>
      <c r="F35" s="1">
        <f ca="1">OFFSET('1050COMP'!E$1,$A34-1+$A$1,0)</f>
        <v>84</v>
      </c>
      <c r="G35" s="1">
        <f ca="1">OFFSET('1050COMP'!F$1,$A34-1+$A$1,0)</f>
        <v>168</v>
      </c>
      <c r="H35" s="1">
        <f ca="1">OFFSET('1050COMP'!G$1,$A34-1+$A$1,0)</f>
        <v>336</v>
      </c>
      <c r="I35" s="1">
        <f ca="1">OFFSET('1050COMP'!H$1,$A34-1+$A$1,0)</f>
        <v>672</v>
      </c>
      <c r="J35" s="1">
        <f ca="1">OFFSET('1050COMP'!I$1,$A34-1+$A$1,0)</f>
        <v>1344</v>
      </c>
      <c r="K35" s="1">
        <f ca="1">OFFSET('1050COMP'!J$1,$A34-1+$A$1,0)</f>
        <v>2688</v>
      </c>
    </row>
    <row r="36" spans="1:11" s="19" customFormat="1" x14ac:dyDescent="0.25">
      <c r="A36" s="19">
        <v>3</v>
      </c>
      <c r="B36" s="19" t="str">
        <f ca="1">OFFSET('1050LAPTOP'!$C$1,A36-1,0)</f>
        <v>Classic ACO</v>
      </c>
      <c r="C36" s="185" t="s">
        <v>1</v>
      </c>
      <c r="D36" s="20" t="s">
        <v>0</v>
      </c>
      <c r="E36" s="21">
        <f ca="1">OFFSET('3060LAPTOP'!D$1,$A36-1,0)</f>
        <v>6732.0454</v>
      </c>
      <c r="F36" s="21">
        <f ca="1">OFFSET('3060LAPTOP'!E$1,$A36-1,0)</f>
        <v>12795.570000000002</v>
      </c>
      <c r="G36" s="21">
        <f ca="1">OFFSET('3060LAPTOP'!F$1,$A36-1,0)</f>
        <v>24112.532000000003</v>
      </c>
      <c r="H36" s="21">
        <f ca="1">OFFSET('3060LAPTOP'!G$1,$A36-1,0)</f>
        <v>46059.343999999997</v>
      </c>
      <c r="I36" s="21">
        <f ca="1">OFFSET('3060LAPTOP'!H$1,$A36-1,0)</f>
        <v>91907.945999999982</v>
      </c>
      <c r="J36" s="21">
        <f ca="1">OFFSET('3060LAPTOP'!I$1,$A36-1,0)</f>
        <v>184408.08</v>
      </c>
      <c r="K36" s="21">
        <f ca="1">OFFSET('3060LAPTOP'!J$1,$A36-1,0)</f>
        <v>367570.34</v>
      </c>
    </row>
    <row r="37" spans="1:11" x14ac:dyDescent="0.25">
      <c r="C37" s="186"/>
      <c r="D37" s="1" t="s">
        <v>16</v>
      </c>
      <c r="E37" s="1">
        <f ca="1">OFFSET('3060LAPTOP'!D$1,$A36-1+$A$1,0)</f>
        <v>654.08437187200002</v>
      </c>
      <c r="F37" s="1">
        <f ca="1">OFFSET('3060LAPTOP'!E$1,$A36-1+$A$1,0)</f>
        <v>189.00614066559982</v>
      </c>
      <c r="G37" s="1">
        <f ca="1">OFFSET('3060LAPTOP'!F$1,$A36-1+$A$1,0)</f>
        <v>410.69644232000002</v>
      </c>
      <c r="H37" s="1">
        <f ca="1">OFFSET('3060LAPTOP'!G$1,$A36-1+$A$1,0)</f>
        <v>192.5515844400006</v>
      </c>
      <c r="I37" s="1">
        <f ca="1">OFFSET('3060LAPTOP'!H$1,$A36-1+$A$1,0)</f>
        <v>1097.4957003999989</v>
      </c>
      <c r="J37" s="1">
        <f ca="1">OFFSET('3060LAPTOP'!I$1,$A36-1+$A$1,0)</f>
        <v>1697.1608965999994</v>
      </c>
      <c r="K37" s="1">
        <f ca="1">OFFSET('3060LAPTOP'!J$1,$A36-1+$A$1,0)</f>
        <v>2883.1276190000158</v>
      </c>
    </row>
    <row r="38" spans="1:11" x14ac:dyDescent="0.25">
      <c r="A38">
        <v>4</v>
      </c>
      <c r="B38" t="str">
        <f ca="1">OFFSET('1050LAPTOP'!$C$1,A38-1,0)</f>
        <v>CUDA Time</v>
      </c>
      <c r="C38" s="185" t="s">
        <v>17</v>
      </c>
      <c r="D38" s="1" t="s">
        <v>0</v>
      </c>
      <c r="E38" s="13">
        <f ca="1">OFFSET('3060LAPTOP'!D$1,$A38-1,0)</f>
        <v>602.02755999999999</v>
      </c>
      <c r="F38" s="13">
        <f ca="1">OFFSET('3060LAPTOP'!E$1,$A38-1,0)</f>
        <v>916.12924000000021</v>
      </c>
      <c r="G38" s="13">
        <f ca="1">OFFSET('3060LAPTOP'!F$1,$A38-1,0)</f>
        <v>2494.2466000000004</v>
      </c>
      <c r="H38" s="13">
        <f ca="1">OFFSET('3060LAPTOP'!G$1,$A38-1,0)</f>
        <v>7974.9374000000007</v>
      </c>
      <c r="I38" s="13">
        <f ca="1">OFFSET('3060LAPTOP'!H$1,$A38-1,0)</f>
        <v>0</v>
      </c>
      <c r="J38" s="13">
        <f ca="1">OFFSET('3060LAPTOP'!I$1,$A38-1,0)</f>
        <v>0</v>
      </c>
      <c r="K38" s="13">
        <f ca="1">OFFSET('3060LAPTOP'!J$1,$A38-1,0)</f>
        <v>0</v>
      </c>
    </row>
    <row r="39" spans="1:11" x14ac:dyDescent="0.25">
      <c r="C39" s="186"/>
      <c r="D39" s="1" t="s">
        <v>16</v>
      </c>
      <c r="E39" s="1">
        <f ca="1">OFFSET('3060LAPTOP'!D$1,$A38-1+$A$1,0)</f>
        <v>335.21385213679991</v>
      </c>
      <c r="F39" s="1">
        <f ca="1">OFFSET('3060LAPTOP'!E$1,$A38-1+$A$1,0)</f>
        <v>217.73231059199995</v>
      </c>
      <c r="G39" s="1">
        <f ca="1">OFFSET('3060LAPTOP'!F$1,$A38-1+$A$1,0)</f>
        <v>420.80215918760035</v>
      </c>
      <c r="H39" s="1">
        <f ca="1">OFFSET('3060LAPTOP'!G$1,$A38-1+$A$1,0)</f>
        <v>620.64085299999988</v>
      </c>
      <c r="I39" s="1">
        <f ca="1">OFFSET('3060LAPTOP'!H$1,$A38-1+$A$1,0)</f>
        <v>1051.4756082000004</v>
      </c>
      <c r="J39" s="1">
        <f ca="1">OFFSET('3060LAPTOP'!I$1,$A38-1+$A$1,0)</f>
        <v>954.60624000000166</v>
      </c>
      <c r="K39" s="1">
        <f ca="1">OFFSET('3060LAPTOP'!J$1,$A38-1+$A$1,0)</f>
        <v>6787.9659060000049</v>
      </c>
    </row>
    <row r="40" spans="1:11" x14ac:dyDescent="0.25">
      <c r="A40">
        <v>5</v>
      </c>
      <c r="B40" t="str">
        <f ca="1">OFFSET('1050LAPTOP'!$C$1,A40-1,0)</f>
        <v>CUDA ant</v>
      </c>
      <c r="C40" s="185" t="s">
        <v>18</v>
      </c>
      <c r="D40" s="1" t="s">
        <v>0</v>
      </c>
      <c r="E40" s="13">
        <f ca="1">OFFSET('3060LAPTOP'!D$1,$A40-1,0)</f>
        <v>682.94254000000001</v>
      </c>
      <c r="F40" s="13">
        <f ca="1">OFFSET('3060LAPTOP'!E$1,$A40-1,0)</f>
        <v>883.29402000000016</v>
      </c>
      <c r="G40" s="13">
        <f ca="1">OFFSET('3060LAPTOP'!F$1,$A40-1,0)</f>
        <v>1272.4981999999995</v>
      </c>
      <c r="H40" s="13">
        <f ca="1">OFFSET('3060LAPTOP'!G$1,$A40-1,0)</f>
        <v>2115.9987999999994</v>
      </c>
      <c r="I40" s="13">
        <f ca="1">OFFSET('3060LAPTOP'!H$1,$A40-1,0)</f>
        <v>4199.7956000000013</v>
      </c>
      <c r="J40" s="13">
        <f ca="1">OFFSET('3060LAPTOP'!I$1,$A40-1,0)</f>
        <v>8039.922599999999</v>
      </c>
      <c r="K40" s="13">
        <f ca="1">OFFSET('3060LAPTOP'!J$1,$A40-1,0)</f>
        <v>15961.626000000007</v>
      </c>
    </row>
    <row r="41" spans="1:11" x14ac:dyDescent="0.25">
      <c r="C41" s="186"/>
      <c r="D41" s="1" t="s">
        <v>16</v>
      </c>
      <c r="E41" s="1">
        <f ca="1">OFFSET('3060LAPTOP'!D$1,$A40-1+$A$1,0)</f>
        <v>335.21385213679991</v>
      </c>
      <c r="F41" s="1">
        <f ca="1">OFFSET('3060LAPTOP'!E$1,$A40-1+$A$1,0)</f>
        <v>217.73231059199995</v>
      </c>
      <c r="G41" s="1">
        <f ca="1">OFFSET('3060LAPTOP'!F$1,$A40-1+$A$1,0)</f>
        <v>420.80215918760035</v>
      </c>
      <c r="H41" s="1">
        <f ca="1">OFFSET('3060LAPTOP'!G$1,$A40-1+$A$1,0)</f>
        <v>620.64085299999988</v>
      </c>
      <c r="I41" s="1">
        <f ca="1">OFFSET('3060LAPTOP'!H$1,$A40-1+$A$1,0)</f>
        <v>1051.4756082000004</v>
      </c>
      <c r="J41" s="1">
        <f ca="1">OFFSET('3060LAPTOP'!I$1,$A40-1+$A$1,0)</f>
        <v>954.60624000000166</v>
      </c>
      <c r="K41" s="1">
        <f ca="1">OFFSET('3060LAPTOP'!J$1,$A40-1+$A$1,0)</f>
        <v>6787.9659060000049</v>
      </c>
    </row>
    <row r="42" spans="1:11" x14ac:dyDescent="0.25">
      <c r="A42">
        <v>6</v>
      </c>
      <c r="B42" t="str">
        <f ca="1">OFFSET('1050LAPTOP'!$C$1,A42-1,0)</f>
        <v>CUDA ant par</v>
      </c>
      <c r="C42" s="185" t="s">
        <v>19</v>
      </c>
      <c r="D42" s="1" t="s">
        <v>0</v>
      </c>
      <c r="E42" s="13">
        <f ca="1">OFFSET('3060LAPTOP'!D$1,$A42-1,0)</f>
        <v>701.23329999999999</v>
      </c>
      <c r="F42" s="13">
        <f ca="1">OFFSET('3060LAPTOP'!E$1,$A42-1,0)</f>
        <v>891.24810000000002</v>
      </c>
      <c r="G42" s="13">
        <f ca="1">OFFSET('3060LAPTOP'!F$1,$A42-1,0)</f>
        <v>1267.7213999999999</v>
      </c>
      <c r="H42" s="13">
        <f ca="1">OFFSET('3060LAPTOP'!G$1,$A42-1,0)</f>
        <v>2061.9694</v>
      </c>
      <c r="I42" s="13">
        <f ca="1">OFFSET('3060LAPTOP'!H$1,$A42-1,0)</f>
        <v>3765.8012000000003</v>
      </c>
      <c r="J42" s="13">
        <f ca="1">OFFSET('3060LAPTOP'!I$1,$A42-1,0)</f>
        <v>7191.5302000000029</v>
      </c>
      <c r="K42" s="13">
        <f ca="1">OFFSET('3060LAPTOP'!J$1,$A42-1,0)</f>
        <v>13626.968000000003</v>
      </c>
    </row>
    <row r="43" spans="1:11" x14ac:dyDescent="0.25">
      <c r="C43" s="186"/>
      <c r="D43" s="1" t="s">
        <v>16</v>
      </c>
      <c r="E43" s="1" t="e">
        <f ca="1">OFFSET('3060LAPTOP'!D$1,$A42-1+$A$1,0)</f>
        <v>#DIV/0!</v>
      </c>
      <c r="F43" s="1">
        <f ca="1">OFFSET('3060LAPTOP'!E$1,$A42-1+$A$1,0)</f>
        <v>281.01495709960011</v>
      </c>
      <c r="G43" s="1">
        <f ca="1">OFFSET('3060LAPTOP'!F$1,$A42-1+$A$1,0)</f>
        <v>15147.562573989599</v>
      </c>
      <c r="H43" s="1">
        <f ca="1">OFFSET('3060LAPTOP'!G$1,$A42-1+$A$1,0)</f>
        <v>669.41195359999995</v>
      </c>
      <c r="I43" s="1">
        <f ca="1">OFFSET('3060LAPTOP'!H$1,$A42-1+$A$1,0)</f>
        <v>4131.6212937999999</v>
      </c>
      <c r="J43" s="1">
        <f ca="1">OFFSET('3060LAPTOP'!I$1,$A42-1+$A$1,0)</f>
        <v>2477.8522959999946</v>
      </c>
      <c r="K43" s="1">
        <f ca="1">OFFSET('3060LAPTOP'!J$1,$A42-1+$A$1,0)</f>
        <v>4256.3711160000003</v>
      </c>
    </row>
    <row r="44" spans="1:11" x14ac:dyDescent="0.25">
      <c r="A44">
        <v>7</v>
      </c>
      <c r="B44" t="str">
        <f ca="1">OFFSET('1050LAPTOP'!$C$1,A44-1,0)</f>
        <v>CUDA opt</v>
      </c>
      <c r="C44" s="185" t="s">
        <v>20</v>
      </c>
      <c r="D44" s="1" t="s">
        <v>0</v>
      </c>
      <c r="E44" s="13">
        <f ca="1">OFFSET('3060LAPTOP'!D$1,$A44-1,0)</f>
        <v>616.45874000000015</v>
      </c>
      <c r="F44" s="13">
        <f ca="1">OFFSET('3060LAPTOP'!E$1,$A44-1,0)</f>
        <v>926.26502000000005</v>
      </c>
      <c r="G44" s="13">
        <f ca="1">OFFSET('3060LAPTOP'!F$1,$A44-1,0)</f>
        <v>2512.3227999999999</v>
      </c>
      <c r="H44" s="13">
        <f ca="1">OFFSET('3060LAPTOP'!G$1,$A44-1,0)</f>
        <v>7989.6568000000025</v>
      </c>
      <c r="I44" s="13">
        <f ca="1">OFFSET('3060LAPTOP'!H$1,$A44-1,0)</f>
        <v>0</v>
      </c>
      <c r="J44" s="13">
        <f ca="1">OFFSET('3060LAPTOP'!I$1,$A44-1,0)</f>
        <v>0</v>
      </c>
      <c r="K44" s="13">
        <f ca="1">OFFSET('3060LAPTOP'!J$1,$A44-1,0)</f>
        <v>0</v>
      </c>
    </row>
    <row r="45" spans="1:11" x14ac:dyDescent="0.25">
      <c r="C45" s="186"/>
      <c r="D45" s="1" t="s">
        <v>16</v>
      </c>
      <c r="E45" s="1">
        <f ca="1">OFFSET('3060LAPTOP'!D$1,$A44-1+$A$1,0)</f>
        <v>333.48112948959988</v>
      </c>
      <c r="F45" s="1">
        <f ca="1">OFFSET('3060LAPTOP'!E$1,$A44-1+$A$1,0)</f>
        <v>2664.0402671600004</v>
      </c>
      <c r="G45" s="1">
        <f ca="1">OFFSET('3060LAPTOP'!F$1,$A44-1+$A$1,0)</f>
        <v>2431.1663455999992</v>
      </c>
      <c r="H45" s="1">
        <f ca="1">OFFSET('3060LAPTOP'!G$1,$A44-1+$A$1,0)</f>
        <v>14033.299997799995</v>
      </c>
      <c r="I45" s="1">
        <f ca="1">OFFSET('3060LAPTOP'!H$1,$A44-1+$A$1,0)</f>
        <v>95439.467372999949</v>
      </c>
      <c r="J45" s="1">
        <f ca="1">OFFSET('3060LAPTOP'!I$1,$A44-1+$A$1,0)</f>
        <v>54156.065988999966</v>
      </c>
      <c r="K45" s="1">
        <f ca="1">OFFSET('3060LAPTOP'!J$1,$A44-1+$A$1,0)</f>
        <v>9659.8501799999922</v>
      </c>
    </row>
    <row r="46" spans="1:11" x14ac:dyDescent="0.25">
      <c r="A46">
        <v>8</v>
      </c>
      <c r="B46" t="str">
        <f ca="1">OFFSET('1050LAPTOP'!$C$1,A46-1,0)</f>
        <v>CUDA opt ant</v>
      </c>
      <c r="C46" s="185" t="s">
        <v>21</v>
      </c>
      <c r="D46" s="1" t="s">
        <v>0</v>
      </c>
      <c r="E46" s="13">
        <f ca="1">OFFSET('3060LAPTOP'!D$1,$A46-1,0)</f>
        <v>702.30982000000006</v>
      </c>
      <c r="F46" s="13">
        <f ca="1">OFFSET('3060LAPTOP'!E$1,$A46-1,0)</f>
        <v>884.50074000000018</v>
      </c>
      <c r="G46" s="13">
        <f ca="1">OFFSET('3060LAPTOP'!F$1,$A46-1,0)</f>
        <v>1275.471</v>
      </c>
      <c r="H46" s="13">
        <f ca="1">OFFSET('3060LAPTOP'!G$1,$A46-1,0)</f>
        <v>2112.4066000000003</v>
      </c>
      <c r="I46" s="13">
        <f ca="1">OFFSET('3060LAPTOP'!H$1,$A46-1,0)</f>
        <v>4260.4547999999995</v>
      </c>
      <c r="J46" s="13">
        <f ca="1">OFFSET('3060LAPTOP'!I$1,$A46-1,0)</f>
        <v>8042.1618000000008</v>
      </c>
      <c r="K46" s="13">
        <f ca="1">OFFSET('3060LAPTOP'!J$1,$A46-1,0)</f>
        <v>15982.660000000002</v>
      </c>
    </row>
    <row r="47" spans="1:11" x14ac:dyDescent="0.25">
      <c r="C47" s="186"/>
      <c r="D47" s="1" t="s">
        <v>16</v>
      </c>
      <c r="E47" s="1">
        <f ca="1">OFFSET('3060LAPTOP'!D$1,$A46-1+$A$1,0)</f>
        <v>418.08816286119981</v>
      </c>
      <c r="F47" s="1">
        <f ca="1">OFFSET('3060LAPTOP'!E$1,$A46-1+$A$1,0)</f>
        <v>763.21304072000055</v>
      </c>
      <c r="G47" s="1">
        <f ca="1">OFFSET('3060LAPTOP'!F$1,$A46-1+$A$1,0)</f>
        <v>441.33221983999937</v>
      </c>
      <c r="H47" s="1">
        <f ca="1">OFFSET('3060LAPTOP'!G$1,$A46-1+$A$1,0)</f>
        <v>9171.0757490399956</v>
      </c>
      <c r="I47" s="1">
        <f ca="1">OFFSET('3060LAPTOP'!H$1,$A46-1+$A$1,0)</f>
        <v>7798.8305367999947</v>
      </c>
      <c r="J47" s="1">
        <f ca="1">OFFSET('3060LAPTOP'!I$1,$A46-1+$A$1,0)</f>
        <v>18213.271217000009</v>
      </c>
      <c r="K47" s="1">
        <f ca="1">OFFSET('3060LAPTOP'!J$1,$A46-1+$A$1,0)</f>
        <v>45893.656399999985</v>
      </c>
    </row>
    <row r="48" spans="1:11" x14ac:dyDescent="0.25">
      <c r="A48">
        <v>12</v>
      </c>
      <c r="B48" t="str">
        <f ca="1">OFFSET('1050LAPTOP'!$C$1,A48-1,0)</f>
        <v>CUDA opt_one_GPU ant local</v>
      </c>
      <c r="C48" s="185"/>
      <c r="D48" s="1" t="s">
        <v>0</v>
      </c>
      <c r="E48" s="13">
        <f ca="1">OFFSET('3060LAPTOP'!D$1,$A48-1,0)</f>
        <v>1052.6186</v>
      </c>
      <c r="F48" s="13">
        <f ca="1">OFFSET('3060LAPTOP'!E$1,$A48-1,0)</f>
        <v>2068.7274000000007</v>
      </c>
      <c r="G48" s="13">
        <f ca="1">OFFSET('3060LAPTOP'!F$1,$A48-1,0)</f>
        <v>4224.1412</v>
      </c>
      <c r="H48" s="13">
        <f ca="1">OFFSET('3060LAPTOP'!G$1,$A48-1,0)</f>
        <v>8412.2148000000016</v>
      </c>
      <c r="I48" s="13">
        <f ca="1">OFFSET('3060LAPTOP'!H$1,$A48-1,0)</f>
        <v>17360.922000000002</v>
      </c>
      <c r="J48" s="13">
        <f ca="1">OFFSET('3060LAPTOP'!I$1,$A48-1,0)</f>
        <v>34022.140000000007</v>
      </c>
      <c r="K48" s="13">
        <f ca="1">OFFSET('3060LAPTOP'!J$1,$A48-1,0)</f>
        <v>91296.23000000004</v>
      </c>
    </row>
    <row r="49" spans="1:11" x14ac:dyDescent="0.25">
      <c r="C49" s="186"/>
      <c r="D49" s="1" t="s">
        <v>16</v>
      </c>
      <c r="E49" s="1">
        <f ca="1">OFFSET('3060LAPTOP'!D$1,$A48-1+$A$1,0)</f>
        <v>2</v>
      </c>
      <c r="F49" s="1">
        <f ca="1">OFFSET('3060LAPTOP'!E$1,$A48-1+$A$1,0)</f>
        <v>4</v>
      </c>
      <c r="G49" s="1">
        <f ca="1">OFFSET('3060LAPTOP'!F$1,$A48-1+$A$1,0)</f>
        <v>8</v>
      </c>
      <c r="H49" s="1">
        <f ca="1">OFFSET('3060LAPTOP'!G$1,$A48-1+$A$1,0)</f>
        <v>16</v>
      </c>
      <c r="I49" s="1">
        <f ca="1">OFFSET('3060LAPTOP'!H$1,$A48-1+$A$1,0)</f>
        <v>32</v>
      </c>
      <c r="J49" s="1">
        <f ca="1">OFFSET('3060LAPTOP'!I$1,$A48-1+$A$1,0)</f>
        <v>64</v>
      </c>
      <c r="K49" s="1">
        <f ca="1">OFFSET('3060LAPTOP'!J$1,$A48-1+$A$1,0)</f>
        <v>128</v>
      </c>
    </row>
    <row r="50" spans="1:11" x14ac:dyDescent="0.25">
      <c r="A50">
        <v>13</v>
      </c>
      <c r="B50" t="str">
        <f ca="1">OFFSET('1050LAPTOP'!$C$1,A50-1,0)</f>
        <v>CUDA Const</v>
      </c>
      <c r="C50" s="185"/>
      <c r="D50" s="1" t="s">
        <v>0</v>
      </c>
      <c r="E50" s="13">
        <f ca="1">OFFSET('3060LAPTOP'!D$1,$A50-1,0)</f>
        <v>597.66330000000028</v>
      </c>
      <c r="F50" s="13">
        <f ca="1">OFFSET('3060LAPTOP'!E$1,$A50-1,0)</f>
        <v>905.70018000000016</v>
      </c>
      <c r="G50" s="13">
        <f ca="1">OFFSET('3060LAPTOP'!F$1,$A50-1,0)</f>
        <v>2478.1705999999995</v>
      </c>
      <c r="H50" s="13">
        <f ca="1">OFFSET('3060LAPTOP'!G$1,$A50-1,0)</f>
        <v>7898.8652000000002</v>
      </c>
      <c r="I50" s="13">
        <f ca="1">OFFSET('3060LAPTOP'!H$1,$A50-1,0)</f>
        <v>0</v>
      </c>
      <c r="J50" s="13">
        <f ca="1">OFFSET('3060LAPTOP'!I$1,$A50-1,0)</f>
        <v>0</v>
      </c>
      <c r="K50" s="13">
        <f ca="1">OFFSET('3060LAPTOP'!J$1,$A50-1,0)</f>
        <v>0</v>
      </c>
    </row>
    <row r="51" spans="1:11" x14ac:dyDescent="0.25">
      <c r="C51" s="186"/>
      <c r="D51" s="1" t="s">
        <v>16</v>
      </c>
      <c r="E51" s="1">
        <f ca="1">OFFSET('3060LAPTOP'!D$1,$A50-1+$A$1,0)</f>
        <v>42</v>
      </c>
      <c r="F51" s="1">
        <f ca="1">OFFSET('3060LAPTOP'!E$1,$A50-1+$A$1,0)</f>
        <v>84</v>
      </c>
      <c r="G51" s="1">
        <f ca="1">OFFSET('3060LAPTOP'!F$1,$A50-1+$A$1,0)</f>
        <v>168</v>
      </c>
      <c r="H51" s="1">
        <f ca="1">OFFSET('3060LAPTOP'!G$1,$A50-1+$A$1,0)</f>
        <v>336</v>
      </c>
      <c r="I51" s="1">
        <f ca="1">OFFSET('3060LAPTOP'!H$1,$A50-1+$A$1,0)</f>
        <v>672</v>
      </c>
      <c r="J51" s="1">
        <f ca="1">OFFSET('3060LAPTOP'!I$1,$A50-1+$A$1,0)</f>
        <v>1344</v>
      </c>
      <c r="K51" s="1">
        <f ca="1">OFFSET('3060LAPTOP'!J$1,$A50-1+$A$1,0)</f>
        <v>2688</v>
      </c>
    </row>
    <row r="52" spans="1:11" s="19" customFormat="1" x14ac:dyDescent="0.25">
      <c r="A52" s="19">
        <v>3</v>
      </c>
      <c r="B52" s="19" t="str">
        <f ca="1">OFFSET('1050LAPTOP'!$C$1,A52-1,0)</f>
        <v>Classic ACO</v>
      </c>
      <c r="C52" s="185" t="s">
        <v>1</v>
      </c>
      <c r="D52" s="20" t="s">
        <v>0</v>
      </c>
      <c r="E52" s="21">
        <f ca="1">OFFSET('3060COMP Kaf'!D$1,$A52-1,0)</f>
        <v>5875.1582000000017</v>
      </c>
      <c r="F52" s="21">
        <f ca="1">OFFSET('3060COMP Kaf'!E$1,$A52-1,0)</f>
        <v>10771.412000000002</v>
      </c>
      <c r="G52" s="21">
        <f ca="1">OFFSET('3060COMP Kaf'!F$1,$A52-1,0)</f>
        <v>26160.065957446805</v>
      </c>
      <c r="H52" s="21">
        <f ca="1">OFFSET('3060COMP Kaf'!G$1,$A52-1,0)</f>
        <v>39471.227999999996</v>
      </c>
      <c r="I52" s="21">
        <f ca="1">OFFSET('3060COMP Kaf'!H$1,$A52-1,0)</f>
        <v>77695.88400000002</v>
      </c>
      <c r="J52" s="21">
        <f ca="1">OFFSET('3060COMP Kaf'!I$1,$A52-1,0)</f>
        <v>153183.06</v>
      </c>
      <c r="K52" s="21">
        <f ca="1">OFFSET('3060COMP Kaf'!J$1,$A52-1,0)</f>
        <v>307026.62</v>
      </c>
    </row>
    <row r="53" spans="1:11" x14ac:dyDescent="0.25">
      <c r="C53" s="186"/>
      <c r="D53" s="1" t="s">
        <v>16</v>
      </c>
      <c r="E53" s="1">
        <f ca="1">OFFSET('3060COMP Kaf'!D$1,$A52-1+$A$1,0)</f>
        <v>3.1259738815999989</v>
      </c>
      <c r="F53" s="1">
        <f ca="1">OFFSET('3060COMP Kaf'!E$1,$A52-1+$A$1,0)</f>
        <v>47.55181772639996</v>
      </c>
      <c r="G53" s="1">
        <f ca="1">OFFSET('3060COMP Kaf'!F$1,$A52-1+$A$1,0)</f>
        <v>348.99936823999991</v>
      </c>
      <c r="H53" s="1">
        <f ca="1">OFFSET('3060COMP Kaf'!G$1,$A52-1+$A$1,0)</f>
        <v>147.77678735999922</v>
      </c>
      <c r="I53" s="1">
        <f ca="1">OFFSET('3060COMP Kaf'!H$1,$A52-1+$A$1,0)</f>
        <v>525.77814304000208</v>
      </c>
      <c r="J53" s="1">
        <f ca="1">OFFSET('3060COMP Kaf'!I$1,$A52-1+$A$1,0)</f>
        <v>1970.1635708399988</v>
      </c>
      <c r="K53" s="1">
        <f ca="1">OFFSET('3060COMP Kaf'!J$1,$A52-1+$A$1,0)</f>
        <v>25516.545751000012</v>
      </c>
    </row>
    <row r="54" spans="1:11" x14ac:dyDescent="0.25">
      <c r="A54">
        <v>4</v>
      </c>
      <c r="B54" t="str">
        <f ca="1">OFFSET('1050LAPTOP'!$C$1,A54-1,0)</f>
        <v>CUDA Time</v>
      </c>
      <c r="C54" s="185" t="s">
        <v>17</v>
      </c>
      <c r="D54" s="1" t="s">
        <v>0</v>
      </c>
      <c r="E54" s="13">
        <f ca="1">OFFSET('3060COMP Kaf'!D$1,$A54-1,0)</f>
        <v>659.45637999999997</v>
      </c>
      <c r="F54" s="13">
        <f ca="1">OFFSET('3060COMP Kaf'!E$1,$A54-1,0)</f>
        <v>974.61907999999994</v>
      </c>
      <c r="G54" s="13">
        <f ca="1">OFFSET('3060COMP Kaf'!F$1,$A54-1,0)</f>
        <v>2602.1698000000001</v>
      </c>
      <c r="H54" s="13">
        <f ca="1">OFFSET('3060COMP Kaf'!G$1,$A54-1,0)</f>
        <v>8768.3610000000008</v>
      </c>
      <c r="I54" s="13">
        <f ca="1">OFFSET('3060COMP Kaf'!H$1,$A54-1,0)</f>
        <v>0</v>
      </c>
      <c r="J54" s="13">
        <f ca="1">OFFSET('3060COMP Kaf'!I$1,$A54-1,0)</f>
        <v>0</v>
      </c>
      <c r="K54" s="13">
        <f ca="1">OFFSET('3060COMP Kaf'!J$1,$A54-1,0)</f>
        <v>0</v>
      </c>
    </row>
    <row r="55" spans="1:11" x14ac:dyDescent="0.25">
      <c r="C55" s="186"/>
      <c r="D55" s="1" t="s">
        <v>16</v>
      </c>
      <c r="E55" s="1">
        <f ca="1">OFFSET('3060COMP Kaf'!D$1,$A54-1+$A$1,0)</f>
        <v>3.3070899604000012</v>
      </c>
      <c r="F55" s="1">
        <f ca="1">OFFSET('3060COMP Kaf'!E$1,$A54-1+$A$1,0)</f>
        <v>29904.544968569742</v>
      </c>
      <c r="G55" s="1">
        <f ca="1">OFFSET('3060COMP Kaf'!F$1,$A54-1+$A$1,0)</f>
        <v>37.734038759999926</v>
      </c>
      <c r="H55" s="1">
        <f ca="1">OFFSET('3060COMP Kaf'!G$1,$A54-1+$A$1,0)</f>
        <v>121.97034699999998</v>
      </c>
      <c r="I55" s="1">
        <f ca="1">OFFSET('3060COMP Kaf'!H$1,$A54-1+$A$1,0)</f>
        <v>60.713590240000549</v>
      </c>
      <c r="J55" s="1">
        <f ca="1">OFFSET('3060COMP Kaf'!I$1,$A54-1+$A$1,0)</f>
        <v>2387.1480359999941</v>
      </c>
      <c r="K55" s="1">
        <f ca="1">OFFSET('3060COMP Kaf'!J$1,$A54-1+$A$1,0)</f>
        <v>0</v>
      </c>
    </row>
    <row r="56" spans="1:11" x14ac:dyDescent="0.25">
      <c r="A56">
        <v>5</v>
      </c>
      <c r="B56" t="str">
        <f ca="1">OFFSET('1050LAPTOP'!$C$1,A56-1,0)</f>
        <v>CUDA ant</v>
      </c>
      <c r="C56" s="185" t="s">
        <v>18</v>
      </c>
      <c r="D56" s="1" t="s">
        <v>0</v>
      </c>
      <c r="E56" s="13">
        <f ca="1">OFFSET('3060COMP Kaf'!D$1,$A56-1,0)</f>
        <v>736.79894000000002</v>
      </c>
      <c r="F56" s="13">
        <f ca="1">OFFSET('3060COMP Kaf'!E$1,$A56-1,0)</f>
        <v>951.97772000000032</v>
      </c>
      <c r="G56" s="13">
        <f ca="1">OFFSET('3060COMP Kaf'!F$1,$A56-1,0)</f>
        <v>1349.0593999999996</v>
      </c>
      <c r="H56" s="13">
        <f ca="1">OFFSET('3060COMP Kaf'!G$1,$A56-1,0)</f>
        <v>2210.5108</v>
      </c>
      <c r="I56" s="13">
        <f ca="1">OFFSET('3060COMP Kaf'!H$1,$A56-1,0)</f>
        <v>4436.7683999999999</v>
      </c>
      <c r="J56" s="13">
        <f ca="1">OFFSET('3060COMP Kaf'!I$1,$A56-1,0)</f>
        <v>8167.5767999999989</v>
      </c>
      <c r="K56" s="13">
        <f ca="1">OFFSET('3060COMP Kaf'!J$1,$A56-1,0)</f>
        <v>16175.518000000004</v>
      </c>
    </row>
    <row r="57" spans="1:11" x14ac:dyDescent="0.25">
      <c r="C57" s="186"/>
      <c r="D57" s="1" t="s">
        <v>16</v>
      </c>
      <c r="E57" s="1">
        <f ca="1">OFFSET('3060COMP Kaf'!D$1,$A56-1+$A$1,0)</f>
        <v>0</v>
      </c>
      <c r="F57" s="1">
        <f ca="1">OFFSET('3060COMP Kaf'!E$1,$A56-1+$A$1,0)</f>
        <v>0</v>
      </c>
      <c r="G57" s="1">
        <f ca="1">OFFSET('3060COMP Kaf'!F$1,$A56-1+$A$1,0)</f>
        <v>0</v>
      </c>
      <c r="H57" s="1">
        <f ca="1">OFFSET('3060COMP Kaf'!G$1,$A56-1+$A$1,0)</f>
        <v>0</v>
      </c>
      <c r="I57" s="1">
        <f ca="1">OFFSET('3060COMP Kaf'!H$1,$A56-1+$A$1,0)</f>
        <v>0</v>
      </c>
      <c r="J57" s="1">
        <f ca="1">OFFSET('3060COMP Kaf'!I$1,$A56-1+$A$1,0)</f>
        <v>0</v>
      </c>
      <c r="K57" s="1">
        <f ca="1">OFFSET('3060COMP Kaf'!J$1,$A56-1+$A$1,0)</f>
        <v>0</v>
      </c>
    </row>
    <row r="58" spans="1:11" x14ac:dyDescent="0.25">
      <c r="A58">
        <v>6</v>
      </c>
      <c r="B58" t="str">
        <f ca="1">OFFSET('1050LAPTOP'!$C$1,A58-1,0)</f>
        <v>CUDA ant par</v>
      </c>
      <c r="C58" s="185" t="s">
        <v>19</v>
      </c>
      <c r="D58" s="1" t="s">
        <v>0</v>
      </c>
      <c r="E58" s="13">
        <f ca="1">OFFSET('3060COMP Kaf'!D$1,$A58-1,0)</f>
        <v>739.67078000000026</v>
      </c>
      <c r="F58" s="13">
        <f ca="1">OFFSET('3060COMP Kaf'!E$1,$A58-1,0)</f>
        <v>953.97313999999994</v>
      </c>
      <c r="G58" s="13">
        <f ca="1">OFFSET('3060COMP Kaf'!F$1,$A58-1,0)</f>
        <v>1339.2325999999998</v>
      </c>
      <c r="H58" s="13">
        <f ca="1">OFFSET('3060COMP Kaf'!G$1,$A58-1,0)</f>
        <v>2207.6091999999999</v>
      </c>
      <c r="I58" s="13">
        <f ca="1">OFFSET('3060COMP Kaf'!H$1,$A58-1,0)</f>
        <v>3974.5821999999989</v>
      </c>
      <c r="J58" s="13">
        <f ca="1">OFFSET('3060COMP Kaf'!I$1,$A58-1,0)</f>
        <v>7162.1168000000025</v>
      </c>
      <c r="K58" s="13">
        <f ca="1">OFFSET('3060COMP Kaf'!J$1,$A58-1,0)</f>
        <v>13610.748</v>
      </c>
    </row>
    <row r="59" spans="1:11" x14ac:dyDescent="0.25">
      <c r="C59" s="186"/>
      <c r="D59" s="1" t="s">
        <v>16</v>
      </c>
      <c r="E59" s="1" t="e">
        <f ca="1">OFFSET('3060COMP Kaf'!D$1,$A58-1+$A$1,0)</f>
        <v>#DIV/0!</v>
      </c>
      <c r="F59" s="1">
        <f ca="1">OFFSET('3060COMP Kaf'!E$1,$A58-1+$A$1,0)</f>
        <v>8.8991868036000099</v>
      </c>
      <c r="G59" s="1">
        <f ca="1">OFFSET('3060COMP Kaf'!F$1,$A58-1+$A$1,0)</f>
        <v>43.717849640000011</v>
      </c>
      <c r="H59" s="1">
        <f ca="1">OFFSET('3060COMP Kaf'!G$1,$A58-1+$A$1,0)</f>
        <v>156.08249963999975</v>
      </c>
      <c r="I59" s="1">
        <f ca="1">OFFSET('3060COMP Kaf'!H$1,$A58-1+$A$1,0)</f>
        <v>1158.4631291600012</v>
      </c>
      <c r="J59" s="1">
        <f ca="1">OFFSET('3060COMP Kaf'!I$1,$A58-1+$A$1,0)</f>
        <v>2542.2347984400008</v>
      </c>
      <c r="K59" s="1">
        <f ca="1">OFFSET('3060COMP Kaf'!J$1,$A58-1+$A$1,0)</f>
        <v>38701.170635000017</v>
      </c>
    </row>
    <row r="60" spans="1:11" x14ac:dyDescent="0.25">
      <c r="A60">
        <v>7</v>
      </c>
      <c r="B60" t="str">
        <f ca="1">OFFSET('1050LAPTOP'!$C$1,A60-1,0)</f>
        <v>CUDA opt</v>
      </c>
      <c r="C60" s="185" t="s">
        <v>20</v>
      </c>
      <c r="D60" s="1" t="s">
        <v>0</v>
      </c>
      <c r="E60" s="13">
        <f ca="1">OFFSET('3060COMP Kaf'!D$1,$A60-1,0)</f>
        <v>660.26747999999998</v>
      </c>
      <c r="F60" s="13">
        <f ca="1">OFFSET('3060COMP Kaf'!E$1,$A60-1,0)</f>
        <v>975.45583999999985</v>
      </c>
      <c r="G60" s="13">
        <f ca="1">OFFSET('3060COMP Kaf'!F$1,$A60-1,0)</f>
        <v>2598.6857999999988</v>
      </c>
      <c r="H60" s="13">
        <f ca="1">OFFSET('3060COMP Kaf'!G$1,$A60-1,0)</f>
        <v>8764.6256000000012</v>
      </c>
      <c r="I60" s="13">
        <f ca="1">OFFSET('3060COMP Kaf'!H$1,$A60-1,0)</f>
        <v>0</v>
      </c>
      <c r="J60" s="13">
        <f ca="1">OFFSET('3060COMP Kaf'!I$1,$A60-1,0)</f>
        <v>0</v>
      </c>
      <c r="K60" s="13">
        <f ca="1">OFFSET('3060COMP Kaf'!J$1,$A60-1,0)</f>
        <v>0</v>
      </c>
    </row>
    <row r="61" spans="1:11" x14ac:dyDescent="0.25">
      <c r="C61" s="186"/>
      <c r="D61" s="1" t="s">
        <v>16</v>
      </c>
      <c r="E61" s="1">
        <f ca="1">OFFSET('3060COMP Kaf'!D$1,$A60-1+$A$1,0)</f>
        <v>40.263418040400005</v>
      </c>
      <c r="F61" s="1">
        <f ca="1">OFFSET('3060COMP Kaf'!E$1,$A60-1+$A$1,0)</f>
        <v>150.67747616000008</v>
      </c>
      <c r="G61" s="1">
        <f ca="1">OFFSET('3060COMP Kaf'!F$1,$A60-1+$A$1,0)</f>
        <v>10730.379941640002</v>
      </c>
      <c r="H61" s="1">
        <f ca="1">OFFSET('3060COMP Kaf'!G$1,$A60-1+$A$1,0)</f>
        <v>6123.9213675600058</v>
      </c>
      <c r="I61" s="1">
        <f ca="1">OFFSET('3060COMP Kaf'!H$1,$A60-1+$A$1,0)</f>
        <v>40603.020940959999</v>
      </c>
      <c r="J61" s="1">
        <f ca="1">OFFSET('3060COMP Kaf'!I$1,$A60-1+$A$1,0)</f>
        <v>5944.7663879999936</v>
      </c>
      <c r="K61" s="1">
        <f ca="1">OFFSET('3060COMP Kaf'!J$1,$A60-1+$A$1,0)</f>
        <v>2759231.0743089998</v>
      </c>
    </row>
    <row r="62" spans="1:11" x14ac:dyDescent="0.25">
      <c r="A62">
        <v>8</v>
      </c>
      <c r="B62" t="str">
        <f ca="1">OFFSET('1050LAPTOP'!$C$1,A62-1,0)</f>
        <v>CUDA opt ant</v>
      </c>
      <c r="C62" s="185" t="s">
        <v>21</v>
      </c>
      <c r="D62" s="1" t="s">
        <v>0</v>
      </c>
      <c r="E62" s="13">
        <f ca="1">OFFSET('3060COMP Kaf'!D$1,$A62-1,0)</f>
        <v>737.9814600000002</v>
      </c>
      <c r="F62" s="13">
        <f ca="1">OFFSET('3060COMP Kaf'!E$1,$A62-1,0)</f>
        <v>940.65503999999976</v>
      </c>
      <c r="G62" s="13">
        <f ca="1">OFFSET('3060COMP Kaf'!F$1,$A62-1,0)</f>
        <v>1338.6938</v>
      </c>
      <c r="H62" s="13">
        <f ca="1">OFFSET('3060COMP Kaf'!G$1,$A62-1,0)</f>
        <v>2208.9828000000002</v>
      </c>
      <c r="I62" s="13">
        <f ca="1">OFFSET('3060COMP Kaf'!H$1,$A62-1,0)</f>
        <v>4492.0946000000004</v>
      </c>
      <c r="J62" s="13">
        <f ca="1">OFFSET('3060COMP Kaf'!I$1,$A62-1,0)</f>
        <v>8202.1733999999997</v>
      </c>
      <c r="K62" s="13">
        <f ca="1">OFFSET('3060COMP Kaf'!J$1,$A62-1,0)</f>
        <v>16914.277999999998</v>
      </c>
    </row>
    <row r="63" spans="1:11" x14ac:dyDescent="0.25">
      <c r="C63" s="186"/>
      <c r="D63" s="1" t="s">
        <v>16</v>
      </c>
      <c r="E63" s="1">
        <f ca="1">OFFSET('3060COMP Kaf'!D$1,$A62-1+$A$1,0)</f>
        <v>354.86351665000012</v>
      </c>
      <c r="F63" s="1">
        <f ca="1">OFFSET('3060COMP Kaf'!E$1,$A62-1+$A$1,0)</f>
        <v>211.53417922239998</v>
      </c>
      <c r="G63" s="1">
        <f ca="1">OFFSET('3060COMP Kaf'!F$1,$A62-1+$A$1,0)</f>
        <v>131.42343203999997</v>
      </c>
      <c r="H63" s="1">
        <f ca="1">OFFSET('3060COMP Kaf'!G$1,$A62-1+$A$1,0)</f>
        <v>2265.30429624</v>
      </c>
      <c r="I63" s="1">
        <f ca="1">OFFSET('3060COMP Kaf'!H$1,$A62-1+$A$1,0)</f>
        <v>7514333.2865064796</v>
      </c>
      <c r="J63" s="1">
        <f ca="1">OFFSET('3060COMP Kaf'!I$1,$A62-1+$A$1,0)</f>
        <v>26625.248338000045</v>
      </c>
      <c r="K63" s="1">
        <f ca="1">OFFSET('3060COMP Kaf'!J$1,$A62-1+$A$1,0)</f>
        <v>115320.49434500014</v>
      </c>
    </row>
    <row r="64" spans="1:11" x14ac:dyDescent="0.25">
      <c r="A64">
        <v>12</v>
      </c>
      <c r="B64" t="str">
        <f ca="1">OFFSET('1050LAPTOP'!$C$1,A64-1,0)</f>
        <v>CUDA opt_one_GPU ant local</v>
      </c>
      <c r="C64" s="185"/>
      <c r="D64" s="1" t="s">
        <v>0</v>
      </c>
      <c r="E64" s="13">
        <f ca="1">OFFSET('3060COMP Kaf'!D$1,$A64-1,0)</f>
        <v>1075.2234000000001</v>
      </c>
      <c r="F64" s="13">
        <f ca="1">OFFSET('3060COMP Kaf'!E$1,$A64-1,0)</f>
        <v>2212.5600000000004</v>
      </c>
      <c r="G64" s="13">
        <f ca="1">OFFSET('3060COMP Kaf'!F$1,$A64-1,0)</f>
        <v>4386.9946</v>
      </c>
      <c r="H64" s="13">
        <f ca="1">OFFSET('3060COMP Kaf'!G$1,$A64-1,0)</f>
        <v>8828.2145999999993</v>
      </c>
      <c r="I64" s="13">
        <f ca="1">OFFSET('3060COMP Kaf'!H$1,$A64-1,0)</f>
        <v>18276.949999999997</v>
      </c>
      <c r="J64" s="13" t="e">
        <f ca="1">OFFSET('3060COMP Kaf'!I$1,$A64-1,0)</f>
        <v>#DIV/0!</v>
      </c>
      <c r="K64" s="13" t="e">
        <f ca="1">OFFSET('3060COMP Kaf'!J$1,$A64-1,0)</f>
        <v>#DIV/0!</v>
      </c>
    </row>
    <row r="65" spans="1:11" x14ac:dyDescent="0.25">
      <c r="C65" s="186"/>
      <c r="D65" s="1" t="s">
        <v>16</v>
      </c>
      <c r="E65" s="1">
        <f ca="1">OFFSET('3060COMP Kaf'!D$1,$A64-1+$A$1,0)</f>
        <v>2</v>
      </c>
      <c r="F65" s="1">
        <f ca="1">OFFSET('3060COMP Kaf'!E$1,$A64-1+$A$1,0)</f>
        <v>4</v>
      </c>
      <c r="G65" s="1">
        <f ca="1">OFFSET('3060COMP Kaf'!F$1,$A64-1+$A$1,0)</f>
        <v>8</v>
      </c>
      <c r="H65" s="1">
        <f ca="1">OFFSET('3060COMP Kaf'!G$1,$A64-1+$A$1,0)</f>
        <v>16</v>
      </c>
      <c r="I65" s="1">
        <f ca="1">OFFSET('3060COMP Kaf'!H$1,$A64-1+$A$1,0)</f>
        <v>32</v>
      </c>
      <c r="J65" s="1">
        <f ca="1">OFFSET('3060COMP Kaf'!I$1,$A64-1+$A$1,0)</f>
        <v>64</v>
      </c>
      <c r="K65" s="1">
        <f ca="1">OFFSET('3060COMP Kaf'!J$1,$A64-1+$A$1,0)</f>
        <v>128</v>
      </c>
    </row>
    <row r="66" spans="1:11" x14ac:dyDescent="0.25">
      <c r="A66">
        <v>13</v>
      </c>
      <c r="B66" t="str">
        <f ca="1">OFFSET('1050LAPTOP'!$C$1,A66-1,0)</f>
        <v>CUDA Const</v>
      </c>
      <c r="C66" s="185"/>
      <c r="D66" s="1" t="s">
        <v>0</v>
      </c>
      <c r="E66" s="13">
        <f ca="1">OFFSET('3060COMP Kaf'!D$1,$A66-1,0)</f>
        <v>657.61941999999999</v>
      </c>
      <c r="F66" s="13">
        <f ca="1">OFFSET('3060COMP Kaf'!E$1,$A66-1,0)</f>
        <v>995.75937999999985</v>
      </c>
      <c r="G66" s="13">
        <f ca="1">OFFSET('3060COMP Kaf'!F$1,$A66-1,0)</f>
        <v>2552.9067999999997</v>
      </c>
      <c r="H66" s="13">
        <f ca="1">OFFSET('3060COMP Kaf'!G$1,$A66-1,0)</f>
        <v>8528.4405999999981</v>
      </c>
      <c r="I66" s="13">
        <f ca="1">OFFSET('3060COMP Kaf'!H$1,$A66-1,0)</f>
        <v>0</v>
      </c>
      <c r="J66" s="13">
        <f ca="1">OFFSET('3060COMP Kaf'!I$1,$A66-1,0)</f>
        <v>0</v>
      </c>
      <c r="K66" s="13" t="e">
        <f ca="1">OFFSET('3060COMP Kaf'!J$1,$A66-1,0)</f>
        <v>#DIV/0!</v>
      </c>
    </row>
    <row r="67" spans="1:11" x14ac:dyDescent="0.25">
      <c r="C67" s="186"/>
      <c r="D67" s="1" t="s">
        <v>16</v>
      </c>
      <c r="E67" s="1">
        <f ca="1">OFFSET('3060COMP Kaf'!D$1,$A66-1+$A$1,0)</f>
        <v>42</v>
      </c>
      <c r="F67" s="1">
        <f ca="1">OFFSET('3060COMP Kaf'!E$1,$A66-1+$A$1,0)</f>
        <v>84</v>
      </c>
      <c r="G67" s="1">
        <f ca="1">OFFSET('3060COMP Kaf'!F$1,$A66-1+$A$1,0)</f>
        <v>168</v>
      </c>
      <c r="H67" s="1">
        <f ca="1">OFFSET('3060COMP Kaf'!G$1,$A66-1+$A$1,0)</f>
        <v>336</v>
      </c>
      <c r="I67" s="1">
        <f ca="1">OFFSET('3060COMP Kaf'!H$1,$A66-1+$A$1,0)</f>
        <v>672</v>
      </c>
      <c r="J67" s="1">
        <f ca="1">OFFSET('3060COMP Kaf'!I$1,$A66-1+$A$1,0)</f>
        <v>1344</v>
      </c>
      <c r="K67" s="1">
        <f ca="1">OFFSET('3060COMP Kaf'!J$1,$A66-1+$A$1,0)</f>
        <v>2688</v>
      </c>
    </row>
    <row r="68" spans="1:11" s="19" customFormat="1" x14ac:dyDescent="0.25">
      <c r="A68" s="19">
        <v>3</v>
      </c>
      <c r="B68" s="19" t="str">
        <f ca="1">OFFSET('1050LAPTOP'!$C$1,A68-1,0)</f>
        <v>Classic ACO</v>
      </c>
      <c r="C68" s="185" t="s">
        <v>1</v>
      </c>
      <c r="D68" s="20" t="s">
        <v>0</v>
      </c>
      <c r="E68" s="21">
        <f ca="1">OFFSET('4060COMP'!D$1,$A68-1,0)</f>
        <v>6288.5222000000012</v>
      </c>
      <c r="F68" s="21">
        <f ca="1">OFFSET('4060COMP'!E$1,$A68-1,0)</f>
        <v>11441.451999999997</v>
      </c>
      <c r="G68" s="21">
        <f ca="1">OFFSET('4060COMP'!F$1,$A68-1,0)</f>
        <v>21547.928</v>
      </c>
      <c r="H68" s="21">
        <f ca="1">OFFSET('4060COMP'!G$1,$A68-1,0)</f>
        <v>42583.175999999999</v>
      </c>
      <c r="I68" s="21">
        <f ca="1">OFFSET('4060COMP'!H$1,$A68-1,0)</f>
        <v>98333.397999999957</v>
      </c>
      <c r="J68" s="21">
        <f ca="1">OFFSET('4060COMP'!I$1,$A68-1,0)</f>
        <v>171610.78</v>
      </c>
      <c r="K68" s="21">
        <f ca="1">OFFSET('4060COMP'!J$1,$A68-1,0)</f>
        <v>334035.68</v>
      </c>
    </row>
    <row r="69" spans="1:11" x14ac:dyDescent="0.25">
      <c r="C69" s="186"/>
      <c r="D69" s="1" t="s">
        <v>16</v>
      </c>
      <c r="E69" s="1">
        <f ca="1">OFFSET('4060COMP'!D$1,$A68-1+$A$1,0)</f>
        <v>4.5769001040000177</v>
      </c>
      <c r="F69" s="1">
        <f ca="1">OFFSET('4060COMP'!E$1,$A68-1+$A$1,0)</f>
        <v>1.552721344800013</v>
      </c>
      <c r="G69" s="1">
        <f ca="1">OFFSET('4060COMP'!F$1,$A68-1+$A$1,0)</f>
        <v>15.300859520000044</v>
      </c>
      <c r="H69" s="1">
        <f ca="1">OFFSET('4060COMP'!G$1,$A68-1+$A$1,0)</f>
        <v>62.983884560000227</v>
      </c>
      <c r="I69" s="1">
        <f ca="1">OFFSET('4060COMP'!H$1,$A68-1+$A$1,0)</f>
        <v>21917.835586200003</v>
      </c>
      <c r="J69" s="1">
        <f ca="1">OFFSET('4060COMP'!I$1,$A68-1+$A$1,0)</f>
        <v>2119.2561008399962</v>
      </c>
      <c r="K69" s="1">
        <f ca="1">OFFSET('4060COMP'!J$1,$A68-1+$A$1,0)</f>
        <v>2202.9986849999882</v>
      </c>
    </row>
    <row r="70" spans="1:11" x14ac:dyDescent="0.25">
      <c r="A70">
        <v>4</v>
      </c>
      <c r="B70" t="str">
        <f ca="1">OFFSET('1050LAPTOP'!$C$1,A70-1,0)</f>
        <v>CUDA Time</v>
      </c>
      <c r="C70" s="185" t="s">
        <v>17</v>
      </c>
      <c r="D70" s="1" t="s">
        <v>0</v>
      </c>
      <c r="E70" s="13">
        <f ca="1">OFFSET('4060COMP'!D$1,$A70-1,0)</f>
        <v>365.0447200000001</v>
      </c>
      <c r="F70" s="13">
        <f ca="1">OFFSET('4060COMP'!E$1,$A70-1,0)</f>
        <v>531.33445999999992</v>
      </c>
      <c r="G70" s="13">
        <f ca="1">OFFSET('4060COMP'!F$1,$A70-1,0)</f>
        <v>1487.1846000000003</v>
      </c>
      <c r="H70" s="13">
        <f ca="1">OFFSET('4060COMP'!G$1,$A70-1,0)</f>
        <v>5115.2082</v>
      </c>
      <c r="I70" s="13">
        <f ca="1">OFFSET('4060COMP'!H$1,$A70-1,0)</f>
        <v>0</v>
      </c>
      <c r="J70" s="13">
        <f ca="1">OFFSET('4060COMP'!I$1,$A70-1,0)</f>
        <v>0</v>
      </c>
      <c r="K70" s="13">
        <f ca="1">OFFSET('4060COMP'!J$1,$A70-1,0)</f>
        <v>0</v>
      </c>
    </row>
    <row r="71" spans="1:11" x14ac:dyDescent="0.25">
      <c r="C71" s="186"/>
      <c r="D71" s="1" t="s">
        <v>16</v>
      </c>
      <c r="E71" s="1">
        <f ca="1">OFFSET('4060COMP'!D$1,$A70-1+$A$1,0)</f>
        <v>1.9037857011999917</v>
      </c>
      <c r="F71" s="1">
        <f ca="1">OFFSET('4060COMP'!E$1,$A70-1+$A$1,0)</f>
        <v>36.12950548959995</v>
      </c>
      <c r="G71" s="1">
        <f ca="1">OFFSET('4060COMP'!F$1,$A70-1+$A$1,0)</f>
        <v>5.0340253600000322</v>
      </c>
      <c r="H71" s="1">
        <f ca="1">OFFSET('4060COMP'!G$1,$A70-1+$A$1,0)</f>
        <v>91.038634999999815</v>
      </c>
      <c r="I71" s="1">
        <f ca="1">OFFSET('4060COMP'!H$1,$A70-1+$A$1,0)</f>
        <v>3074.0298052400026</v>
      </c>
      <c r="J71" s="1">
        <f ca="1">OFFSET('4060COMP'!I$1,$A70-1+$A$1,0)</f>
        <v>1761.7435222799954</v>
      </c>
      <c r="K71" s="1">
        <f ca="1">OFFSET('4060COMP'!J$1,$A70-1+$A$1,0)</f>
        <v>0</v>
      </c>
    </row>
    <row r="72" spans="1:11" x14ac:dyDescent="0.25">
      <c r="A72">
        <v>5</v>
      </c>
      <c r="B72" t="str">
        <f ca="1">OFFSET('1050LAPTOP'!$C$1,A72-1,0)</f>
        <v>CUDA ant</v>
      </c>
      <c r="C72" s="185" t="s">
        <v>18</v>
      </c>
      <c r="D72" s="1" t="s">
        <v>0</v>
      </c>
      <c r="E72" s="13">
        <f ca="1">OFFSET('4060COMP'!D$1,$A72-1,0)</f>
        <v>514.1083799999999</v>
      </c>
      <c r="F72" s="13">
        <f ca="1">OFFSET('4060COMP'!E$1,$A72-1,0)</f>
        <v>647.01342</v>
      </c>
      <c r="G72" s="13">
        <f ca="1">OFFSET('4060COMP'!F$1,$A72-1,0)</f>
        <v>910.92329999999993</v>
      </c>
      <c r="H72" s="13">
        <f ca="1">OFFSET('4060COMP'!G$1,$A72-1,0)</f>
        <v>1488.7644</v>
      </c>
      <c r="I72" s="13">
        <f ca="1">OFFSET('4060COMP'!H$1,$A72-1,0)</f>
        <v>2595.8094000000001</v>
      </c>
      <c r="J72" s="13">
        <f ca="1">OFFSET('4060COMP'!I$1,$A72-1,0)</f>
        <v>5079.9591999999984</v>
      </c>
      <c r="K72" s="13">
        <f ca="1">OFFSET('4060COMP'!J$1,$A72-1,0)</f>
        <v>10000.743600000002</v>
      </c>
    </row>
    <row r="73" spans="1:11" x14ac:dyDescent="0.25">
      <c r="C73" s="186"/>
      <c r="D73" s="1" t="s">
        <v>16</v>
      </c>
      <c r="E73" s="1">
        <f ca="1">OFFSET('4060COMP'!D$1,$A72-1+$A$1,0)</f>
        <v>6.0404452019999946</v>
      </c>
      <c r="F73" s="1">
        <f ca="1">OFFSET('4060COMP'!E$1,$A72-1+$A$1,0)</f>
        <v>6.5895812260000222</v>
      </c>
      <c r="G73" s="1">
        <f ca="1">OFFSET('4060COMP'!F$1,$A72-1+$A$1,0)</f>
        <v>27.433092600000133</v>
      </c>
      <c r="H73" s="1">
        <f ca="1">OFFSET('4060COMP'!G$1,$A72-1+$A$1,0)</f>
        <v>41.676763280000365</v>
      </c>
      <c r="I73" s="1">
        <f ca="1">OFFSET('4060COMP'!H$1,$A72-1+$A$1,0)</f>
        <v>20640.837780720005</v>
      </c>
      <c r="J73" s="1">
        <f ca="1">OFFSET('4060COMP'!I$1,$A72-1+$A$1,0)</f>
        <v>839.69333400000141</v>
      </c>
      <c r="K73" s="1">
        <f ca="1">OFFSET('4060COMP'!J$1,$A72-1+$A$1,0)</f>
        <v>1105.5038529999986</v>
      </c>
    </row>
    <row r="74" spans="1:11" x14ac:dyDescent="0.25">
      <c r="A74">
        <v>6</v>
      </c>
      <c r="B74" t="str">
        <f ca="1">OFFSET('1050LAPTOP'!$C$1,A74-1,0)</f>
        <v>CUDA ant par</v>
      </c>
      <c r="C74" s="185" t="s">
        <v>19</v>
      </c>
      <c r="D74" s="1" t="s">
        <v>0</v>
      </c>
      <c r="E74" s="13">
        <f ca="1">OFFSET('4060COMP'!D$1,$A74-1,0)</f>
        <v>514.1003599999998</v>
      </c>
      <c r="F74" s="13">
        <f ca="1">OFFSET('4060COMP'!E$1,$A74-1,0)</f>
        <v>641.41456000000005</v>
      </c>
      <c r="G74" s="13">
        <f ca="1">OFFSET('4060COMP'!F$1,$A74-1,0)</f>
        <v>905.82849999999985</v>
      </c>
      <c r="H74" s="13">
        <f ca="1">OFFSET('4060COMP'!G$1,$A74-1,0)</f>
        <v>1457.0965999999999</v>
      </c>
      <c r="I74" s="13">
        <f ca="1">OFFSET('4060COMP'!H$1,$A74-1,0)</f>
        <v>2584.2836000000007</v>
      </c>
      <c r="J74" s="13">
        <f ca="1">OFFSET('4060COMP'!I$1,$A74-1,0)</f>
        <v>4653.558</v>
      </c>
      <c r="K74" s="13">
        <f ca="1">OFFSET('4060COMP'!J$1,$A74-1,0)</f>
        <v>8917.1583999999984</v>
      </c>
    </row>
    <row r="75" spans="1:11" x14ac:dyDescent="0.25">
      <c r="C75" s="186"/>
      <c r="D75" s="1" t="s">
        <v>16</v>
      </c>
      <c r="E75" s="1">
        <f ca="1">OFFSET('4060COMP'!D$1,$A74-1+$A$1,0)</f>
        <v>0</v>
      </c>
      <c r="F75" s="1">
        <f ca="1">OFFSET('4060COMP'!E$1,$A74-1+$A$1,0)</f>
        <v>0</v>
      </c>
      <c r="G75" s="1">
        <f ca="1">OFFSET('4060COMP'!F$1,$A74-1+$A$1,0)</f>
        <v>0</v>
      </c>
      <c r="H75" s="1">
        <f ca="1">OFFSET('4060COMP'!G$1,$A74-1+$A$1,0)</f>
        <v>0</v>
      </c>
      <c r="I75" s="1">
        <f ca="1">OFFSET('4060COMP'!H$1,$A74-1+$A$1,0)</f>
        <v>0</v>
      </c>
      <c r="J75" s="1">
        <f ca="1">OFFSET('4060COMP'!I$1,$A74-1+$A$1,0)</f>
        <v>0</v>
      </c>
      <c r="K75" s="1">
        <f ca="1">OFFSET('4060COMP'!J$1,$A74-1+$A$1,0)</f>
        <v>0</v>
      </c>
    </row>
    <row r="76" spans="1:11" x14ac:dyDescent="0.25">
      <c r="A76">
        <v>7</v>
      </c>
      <c r="B76" t="str">
        <f ca="1">OFFSET('1050LAPTOP'!$C$1,A76-1,0)</f>
        <v>CUDA opt</v>
      </c>
      <c r="C76" s="185" t="s">
        <v>20</v>
      </c>
      <c r="D76" s="1" t="s">
        <v>0</v>
      </c>
      <c r="E76" s="13">
        <f ca="1">OFFSET('4060COMP'!D$1,$A76-1,0)</f>
        <v>366.20181999999977</v>
      </c>
      <c r="F76" s="13">
        <f ca="1">OFFSET('4060COMP'!E$1,$A76-1,0)</f>
        <v>517.09110000000021</v>
      </c>
      <c r="G76" s="13">
        <f ca="1">OFFSET('4060COMP'!F$1,$A76-1,0)</f>
        <v>1455.4449999999997</v>
      </c>
      <c r="H76" s="13">
        <f ca="1">OFFSET('4060COMP'!G$1,$A76-1,0)</f>
        <v>4970.9753999999984</v>
      </c>
      <c r="I76" s="13">
        <f ca="1">OFFSET('4060COMP'!H$1,$A76-1,0)</f>
        <v>0</v>
      </c>
      <c r="J76" s="13">
        <f ca="1">OFFSET('4060COMP'!I$1,$A76-1,0)</f>
        <v>0</v>
      </c>
      <c r="K76" s="13">
        <f ca="1">OFFSET('4060COMP'!J$1,$A76-1,0)</f>
        <v>0</v>
      </c>
    </row>
    <row r="77" spans="1:11" x14ac:dyDescent="0.25">
      <c r="C77" s="186"/>
      <c r="D77" s="1" t="s">
        <v>16</v>
      </c>
      <c r="E77" s="1">
        <f ca="1">OFFSET('4060COMP'!D$1,$A76-1+$A$1,0)</f>
        <v>133.46353411999982</v>
      </c>
      <c r="F77" s="1">
        <f ca="1">OFFSET('4060COMP'!E$1,$A76-1+$A$1,0)</f>
        <v>990.26487828000154</v>
      </c>
      <c r="G77" s="1">
        <f ca="1">OFFSET('4060COMP'!F$1,$A76-1+$A$1,0)</f>
        <v>8316.7247354399933</v>
      </c>
      <c r="H77" s="1">
        <f ca="1">OFFSET('4060COMP'!G$1,$A76-1+$A$1,0)</f>
        <v>0</v>
      </c>
      <c r="I77" s="1">
        <f ca="1">OFFSET('4060COMP'!H$1,$A76-1+$A$1,0)</f>
        <v>0</v>
      </c>
      <c r="J77" s="1">
        <f ca="1">OFFSET('4060COMP'!I$1,$A76-1+$A$1,0)</f>
        <v>0</v>
      </c>
      <c r="K77" s="1">
        <f ca="1">OFFSET('4060COMP'!J$1,$A76-1+$A$1,0)</f>
        <v>0</v>
      </c>
    </row>
    <row r="78" spans="1:11" x14ac:dyDescent="0.25">
      <c r="A78">
        <v>8</v>
      </c>
      <c r="B78" t="str">
        <f ca="1">OFFSET('1050LAPTOP'!$C$1,A78-1,0)</f>
        <v>CUDA opt ant</v>
      </c>
      <c r="C78" s="185" t="s">
        <v>21</v>
      </c>
      <c r="D78" s="1" t="s">
        <v>0</v>
      </c>
      <c r="E78" s="13">
        <f ca="1">OFFSET('4060COMP'!D$1,$A78-1,0)</f>
        <v>503.17341999999991</v>
      </c>
      <c r="F78" s="13">
        <f ca="1">OFFSET('4060COMP'!E$1,$A78-1,0)</f>
        <v>633.53136000000029</v>
      </c>
      <c r="G78" s="13">
        <f ca="1">OFFSET('4060COMP'!F$1,$A78-1,0)</f>
        <v>898.00881999999979</v>
      </c>
      <c r="H78" s="13">
        <f ca="1">OFFSET('4060COMP'!G$1,$A78-1,0)</f>
        <v>1439.8032000000001</v>
      </c>
      <c r="I78" s="13">
        <f ca="1">OFFSET('4060COMP'!H$1,$A78-1,0)</f>
        <v>2628.6049999999996</v>
      </c>
      <c r="J78" s="13">
        <f ca="1">OFFSET('4060COMP'!I$1,$A78-1,0)</f>
        <v>5035.9858000000004</v>
      </c>
      <c r="K78" s="13">
        <f ca="1">OFFSET('4060COMP'!J$1,$A78-1,0)</f>
        <v>9916.8382000000038</v>
      </c>
    </row>
    <row r="79" spans="1:11" x14ac:dyDescent="0.25">
      <c r="C79" s="186"/>
      <c r="D79" s="1" t="s">
        <v>16</v>
      </c>
      <c r="E79" s="1">
        <f ca="1">OFFSET('4060COMP'!D$1,$A78-1+$A$1,0)</f>
        <v>0</v>
      </c>
      <c r="F79" s="1">
        <f ca="1">OFFSET('4060COMP'!E$1,$A78-1+$A$1,0)</f>
        <v>0</v>
      </c>
      <c r="G79" s="1">
        <f ca="1">OFFSET('4060COMP'!F$1,$A78-1+$A$1,0)</f>
        <v>0</v>
      </c>
      <c r="H79" s="1">
        <f ca="1">OFFSET('4060COMP'!G$1,$A78-1+$A$1,0)</f>
        <v>0</v>
      </c>
      <c r="I79" s="1">
        <f ca="1">OFFSET('4060COMP'!H$1,$A78-1+$A$1,0)</f>
        <v>0</v>
      </c>
      <c r="J79" s="1">
        <f ca="1">OFFSET('4060COMP'!I$1,$A78-1+$A$1,0)</f>
        <v>0</v>
      </c>
      <c r="K79" s="1">
        <f ca="1">OFFSET('4060COMP'!J$1,$A78-1+$A$1,0)</f>
        <v>0</v>
      </c>
    </row>
    <row r="80" spans="1:11" x14ac:dyDescent="0.25">
      <c r="A80">
        <v>12</v>
      </c>
      <c r="B80" t="str">
        <f ca="1">OFFSET('1050LAPTOP'!$C$1,A80-1,0)</f>
        <v>CUDA opt_one_GPU ant local</v>
      </c>
      <c r="C80" s="185"/>
      <c r="D80" s="1" t="s">
        <v>0</v>
      </c>
      <c r="E80" s="13">
        <f ca="1">OFFSET('4060COMP'!D$1,$A80-1,0)</f>
        <v>766.14864</v>
      </c>
      <c r="F80" s="13">
        <f ca="1">OFFSET('4060COMP'!E$1,$A80-1,0)</f>
        <v>1475.5375999999999</v>
      </c>
      <c r="G80" s="13">
        <f ca="1">OFFSET('4060COMP'!F$1,$A80-1,0)</f>
        <v>2918.2626</v>
      </c>
      <c r="H80" s="13">
        <f ca="1">OFFSET('4060COMP'!G$1,$A80-1,0)</f>
        <v>5846.3363999999992</v>
      </c>
      <c r="I80" s="13">
        <f ca="1">OFFSET('4060COMP'!H$1,$A80-1,0)</f>
        <v>11758.977999999997</v>
      </c>
      <c r="J80" s="13">
        <f ca="1">OFFSET('4060COMP'!I$1,$A80-1,0)</f>
        <v>25339.913999999993</v>
      </c>
      <c r="K80" s="13">
        <f ca="1">OFFSET('4060COMP'!J$1,$A80-1,0)</f>
        <v>65515.316000000006</v>
      </c>
    </row>
    <row r="81" spans="1:11" x14ac:dyDescent="0.25">
      <c r="C81" s="186"/>
      <c r="D81" s="1" t="s">
        <v>16</v>
      </c>
      <c r="E81" s="1">
        <f ca="1">OFFSET('4060COMP'!D$1,$A80-1+$A$1,0)</f>
        <v>2</v>
      </c>
      <c r="F81" s="1">
        <f ca="1">OFFSET('4060COMP'!E$1,$A80-1+$A$1,0)</f>
        <v>4</v>
      </c>
      <c r="G81" s="1">
        <f ca="1">OFFSET('4060COMP'!F$1,$A80-1+$A$1,0)</f>
        <v>8</v>
      </c>
      <c r="H81" s="1">
        <f ca="1">OFFSET('4060COMP'!G$1,$A80-1+$A$1,0)</f>
        <v>16</v>
      </c>
      <c r="I81" s="1">
        <f ca="1">OFFSET('4060COMP'!H$1,$A80-1+$A$1,0)</f>
        <v>32</v>
      </c>
      <c r="J81" s="1">
        <f ca="1">OFFSET('4060COMP'!I$1,$A80-1+$A$1,0)</f>
        <v>64</v>
      </c>
      <c r="K81" s="1">
        <f ca="1">OFFSET('4060COMP'!J$1,$A80-1+$A$1,0)</f>
        <v>128</v>
      </c>
    </row>
    <row r="82" spans="1:11" x14ac:dyDescent="0.25">
      <c r="A82">
        <v>13</v>
      </c>
      <c r="B82" t="str">
        <f ca="1">OFFSET('1050LAPTOP'!$C$1,A82-1,0)</f>
        <v>CUDA Const</v>
      </c>
      <c r="C82" s="185"/>
      <c r="D82" s="1" t="s">
        <v>0</v>
      </c>
      <c r="E82" s="13">
        <f ca="1">OFFSET('4060COMP'!D$1,$A82-1,0)</f>
        <v>368.17468000000002</v>
      </c>
      <c r="F82" s="13">
        <f ca="1">OFFSET('4060COMP'!E$1,$A82-1,0)</f>
        <v>517.31966000000011</v>
      </c>
      <c r="G82" s="13">
        <f ca="1">OFFSET('4060COMP'!F$1,$A82-1,0)</f>
        <v>1460.7574000000004</v>
      </c>
      <c r="H82" s="13">
        <f ca="1">OFFSET('4060COMP'!G$1,$A82-1,0)</f>
        <v>4973.9278000000004</v>
      </c>
      <c r="I82" s="13">
        <f ca="1">OFFSET('4060COMP'!H$1,$A82-1,0)</f>
        <v>0</v>
      </c>
      <c r="J82" s="13">
        <f ca="1">OFFSET('4060COMP'!I$1,$A82-1,0)</f>
        <v>0</v>
      </c>
      <c r="K82" s="13">
        <f ca="1">OFFSET('4060COMP'!J$1,$A82-1,0)</f>
        <v>0</v>
      </c>
    </row>
    <row r="83" spans="1:11" x14ac:dyDescent="0.25">
      <c r="C83" s="186"/>
      <c r="D83" s="1" t="s">
        <v>16</v>
      </c>
      <c r="E83" s="1">
        <f ca="1">OFFSET('4060COMP'!D$1,$A82-1+$A$1,0)</f>
        <v>42</v>
      </c>
      <c r="F83" s="1">
        <f ca="1">OFFSET('4060COMP'!E$1,$A82-1+$A$1,0)</f>
        <v>84</v>
      </c>
      <c r="G83" s="1">
        <f ca="1">OFFSET('4060COMP'!F$1,$A82-1+$A$1,0)</f>
        <v>168</v>
      </c>
      <c r="H83" s="1">
        <f ca="1">OFFSET('4060COMP'!G$1,$A82-1+$A$1,0)</f>
        <v>336</v>
      </c>
      <c r="I83" s="1">
        <f ca="1">OFFSET('4060COMP'!H$1,$A82-1+$A$1,0)</f>
        <v>672</v>
      </c>
      <c r="J83" s="1">
        <f ca="1">OFFSET('4060COMP'!I$1,$A82-1+$A$1,0)</f>
        <v>1344</v>
      </c>
      <c r="K83" s="1">
        <f ca="1">OFFSET('4060COMP'!J$1,$A82-1+$A$1,0)</f>
        <v>2688</v>
      </c>
    </row>
  </sheetData>
  <mergeCells count="47">
    <mergeCell ref="O14:O15"/>
    <mergeCell ref="O16:O17"/>
    <mergeCell ref="C26:C27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50:C51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4:C55"/>
    <mergeCell ref="C56:C57"/>
    <mergeCell ref="C58:C59"/>
    <mergeCell ref="C60:C61"/>
    <mergeCell ref="C62:C63"/>
    <mergeCell ref="C76:C77"/>
    <mergeCell ref="C78:C79"/>
    <mergeCell ref="C80:C81"/>
    <mergeCell ref="C82:C83"/>
    <mergeCell ref="O4:O5"/>
    <mergeCell ref="O6:O7"/>
    <mergeCell ref="O8:O9"/>
    <mergeCell ref="O10:O11"/>
    <mergeCell ref="O12:O13"/>
    <mergeCell ref="C64:C65"/>
    <mergeCell ref="C66:C67"/>
    <mergeCell ref="C68:C69"/>
    <mergeCell ref="C70:C71"/>
    <mergeCell ref="C72:C73"/>
    <mergeCell ref="C74:C75"/>
    <mergeCell ref="C52:C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8"/>
  <sheetViews>
    <sheetView workbookViewId="0">
      <selection activeCell="B2" sqref="B2:J18"/>
    </sheetView>
  </sheetViews>
  <sheetFormatPr defaultRowHeight="15" x14ac:dyDescent="0.25"/>
  <cols>
    <col min="3" max="3" width="30.42578125" customWidth="1"/>
  </cols>
  <sheetData>
    <row r="1" spans="2:10" x14ac:dyDescent="0.25">
      <c r="B1" t="s">
        <v>58</v>
      </c>
    </row>
    <row r="2" spans="2:10" x14ac:dyDescent="0.25">
      <c r="B2" s="187" t="s">
        <v>54</v>
      </c>
      <c r="C2" s="187"/>
      <c r="D2" s="24">
        <v>2</v>
      </c>
      <c r="E2" s="25">
        <v>4</v>
      </c>
      <c r="F2" s="24">
        <v>8</v>
      </c>
      <c r="G2" s="24">
        <v>16</v>
      </c>
      <c r="H2" s="24">
        <v>32</v>
      </c>
      <c r="I2" s="24">
        <v>64</v>
      </c>
      <c r="J2" s="24">
        <v>128</v>
      </c>
    </row>
    <row r="3" spans="2:10" x14ac:dyDescent="0.25">
      <c r="B3" s="187" t="s">
        <v>55</v>
      </c>
      <c r="C3" s="187"/>
      <c r="D3" s="188">
        <v>42</v>
      </c>
      <c r="E3" s="188">
        <v>84</v>
      </c>
      <c r="F3" s="188">
        <v>168</v>
      </c>
      <c r="G3" s="188">
        <v>336</v>
      </c>
      <c r="H3" s="188">
        <v>672</v>
      </c>
      <c r="I3" s="188">
        <v>1344</v>
      </c>
      <c r="J3" s="188">
        <v>2688</v>
      </c>
    </row>
    <row r="4" spans="2:10" x14ac:dyDescent="0.25">
      <c r="B4" s="26" t="s">
        <v>56</v>
      </c>
      <c r="C4" s="26" t="s">
        <v>59</v>
      </c>
      <c r="D4" s="187"/>
      <c r="E4" s="187">
        <v>24819.016000000011</v>
      </c>
      <c r="F4" s="187">
        <v>47399.626000000004</v>
      </c>
      <c r="G4" s="187">
        <v>96405.03</v>
      </c>
      <c r="H4" s="187">
        <v>197567.46</v>
      </c>
      <c r="I4" s="187">
        <v>376437.82</v>
      </c>
      <c r="J4" s="187">
        <v>762594.84</v>
      </c>
    </row>
    <row r="5" spans="2:10" ht="30" x14ac:dyDescent="0.25">
      <c r="B5" s="187">
        <v>1</v>
      </c>
      <c r="C5" s="29" t="s">
        <v>60</v>
      </c>
      <c r="D5" s="27">
        <v>3.2481947619047622</v>
      </c>
      <c r="E5" s="27">
        <v>1.9694345238095239</v>
      </c>
      <c r="F5" s="27">
        <v>1.3827494047619051</v>
      </c>
      <c r="G5" s="27">
        <v>1.1119044642857143</v>
      </c>
      <c r="H5" s="27">
        <v>1.0460879166666668</v>
      </c>
      <c r="I5" s="27">
        <v>0.98114925595238078</v>
      </c>
      <c r="J5" s="27"/>
    </row>
    <row r="6" spans="2:10" x14ac:dyDescent="0.25">
      <c r="B6" s="187"/>
      <c r="C6" s="29" t="s">
        <v>61</v>
      </c>
      <c r="D6" s="27">
        <v>3.4567847619047609</v>
      </c>
      <c r="E6" s="27">
        <v>2.1487233333333329</v>
      </c>
      <c r="F6" s="27">
        <v>1.5472822619047624</v>
      </c>
      <c r="G6" s="27">
        <v>1.2777741666666669</v>
      </c>
      <c r="H6" s="27">
        <v>1.1424396130952386</v>
      </c>
      <c r="I6" s="27">
        <v>1.0914406249999997</v>
      </c>
      <c r="J6" s="27">
        <v>1.0816226190476195</v>
      </c>
    </row>
    <row r="7" spans="2:10" x14ac:dyDescent="0.25">
      <c r="B7" s="187">
        <v>2</v>
      </c>
      <c r="C7" s="29" t="s">
        <v>61</v>
      </c>
      <c r="D7" s="27">
        <v>11.320642380952384</v>
      </c>
      <c r="E7" s="27">
        <v>7.2921747619047634</v>
      </c>
      <c r="F7" s="27">
        <v>4.9514360714285708</v>
      </c>
      <c r="G7" s="27">
        <v>4.2319589285714256</v>
      </c>
      <c r="H7" s="27">
        <v>4.3339223214285711</v>
      </c>
      <c r="I7" s="27">
        <v>4.0660653273809526</v>
      </c>
      <c r="J7" s="27">
        <v>3.8898995535714276</v>
      </c>
    </row>
    <row r="8" spans="2:10" ht="30" x14ac:dyDescent="0.25">
      <c r="B8" s="187"/>
      <c r="C8" s="29" t="s">
        <v>60</v>
      </c>
      <c r="D8" s="27">
        <v>10.50615809523809</v>
      </c>
      <c r="E8" s="27">
        <v>6.81516761904762</v>
      </c>
      <c r="F8" s="27">
        <v>4.9888017857142843</v>
      </c>
      <c r="G8" s="27">
        <v>4.2645345238095231</v>
      </c>
      <c r="H8" s="27">
        <v>4.205383035714287</v>
      </c>
      <c r="I8" s="27">
        <v>3.8691999999999998</v>
      </c>
      <c r="J8" s="27"/>
    </row>
    <row r="9" spans="2:10" ht="30" x14ac:dyDescent="0.25">
      <c r="B9" s="187">
        <v>3</v>
      </c>
      <c r="C9" s="29" t="s">
        <v>64</v>
      </c>
      <c r="D9" s="27">
        <v>6.1213733333333353</v>
      </c>
      <c r="E9" s="27">
        <v>5.2558354761904758</v>
      </c>
      <c r="F9" s="27">
        <v>4.8710342857142841</v>
      </c>
      <c r="G9" s="27">
        <v>4.611967857142858</v>
      </c>
      <c r="H9" s="27">
        <v>4.6773800595238111</v>
      </c>
      <c r="I9" s="27">
        <v>4.4763162202380942</v>
      </c>
      <c r="J9" s="27">
        <v>4.4181778273809531</v>
      </c>
    </row>
    <row r="10" spans="2:10" x14ac:dyDescent="0.25">
      <c r="B10" s="187"/>
      <c r="C10" s="29" t="s">
        <v>61</v>
      </c>
      <c r="D10" s="27">
        <v>12.069419047619046</v>
      </c>
      <c r="E10" s="27">
        <v>7.5693745238095245</v>
      </c>
      <c r="F10" s="27">
        <v>5.3006435714285729</v>
      </c>
      <c r="G10" s="27">
        <v>4.2725803571428589</v>
      </c>
      <c r="H10" s="27">
        <v>3.9004244047619046</v>
      </c>
      <c r="I10" s="27">
        <v>3.5251215773809537</v>
      </c>
      <c r="J10" s="27">
        <v>3.313595163690477</v>
      </c>
    </row>
    <row r="11" spans="2:10" ht="45" x14ac:dyDescent="0.25">
      <c r="B11" s="187">
        <v>4</v>
      </c>
      <c r="C11" s="29" t="s">
        <v>65</v>
      </c>
      <c r="D11" s="27"/>
      <c r="E11" s="27">
        <v>6.6712202380952403</v>
      </c>
      <c r="F11" s="27">
        <v>6.1012404761904744</v>
      </c>
      <c r="G11" s="27">
        <v>6.0988773809523824</v>
      </c>
      <c r="H11" s="27">
        <v>6.0148678571428578</v>
      </c>
      <c r="I11" s="27">
        <v>5.7999379464285683</v>
      </c>
      <c r="J11" s="27">
        <v>5.7420870535714288</v>
      </c>
    </row>
    <row r="12" spans="2:10" x14ac:dyDescent="0.25">
      <c r="B12" s="187"/>
      <c r="C12" s="29" t="s">
        <v>62</v>
      </c>
      <c r="D12" s="27">
        <v>17.611209047619052</v>
      </c>
      <c r="E12" s="27">
        <v>11.356823095238095</v>
      </c>
      <c r="F12" s="27">
        <v>7.9716226190476176</v>
      </c>
      <c r="G12" s="27">
        <v>6.5702654761904755</v>
      </c>
      <c r="H12" s="27">
        <v>5.9145568452380939</v>
      </c>
      <c r="I12" s="27">
        <v>5.3289559523809542</v>
      </c>
      <c r="J12" s="27">
        <v>5.0635223214285716</v>
      </c>
    </row>
    <row r="13" spans="2:10" ht="30" x14ac:dyDescent="0.25">
      <c r="B13" s="187">
        <v>5</v>
      </c>
      <c r="C13" s="29" t="s">
        <v>67</v>
      </c>
      <c r="D13" s="27">
        <v>7.5174395238095242</v>
      </c>
      <c r="E13" s="27">
        <v>6.3288299999999982</v>
      </c>
      <c r="F13" s="27">
        <v>6.0188105952380946</v>
      </c>
      <c r="G13" s="27">
        <v>5.865886309523809</v>
      </c>
      <c r="H13" s="27">
        <v>5.9742803571428578</v>
      </c>
      <c r="I13" s="27">
        <v>5.9088244047619041</v>
      </c>
      <c r="J13" s="27">
        <v>5.8770699404761899</v>
      </c>
    </row>
    <row r="14" spans="2:10" ht="30" x14ac:dyDescent="0.25">
      <c r="B14" s="187"/>
      <c r="C14" s="29" t="s">
        <v>63</v>
      </c>
      <c r="D14" s="27">
        <v>16.567859999999992</v>
      </c>
      <c r="E14" s="27">
        <v>10.577260714285719</v>
      </c>
      <c r="F14" s="27">
        <v>7.5519630952380954</v>
      </c>
      <c r="G14" s="27">
        <v>6.0176732142857157</v>
      </c>
      <c r="H14" s="27">
        <v>5.4531392857142871</v>
      </c>
      <c r="I14" s="27">
        <v>5.0731602678571415</v>
      </c>
      <c r="J14" s="27">
        <v>4.8821614583333339</v>
      </c>
    </row>
    <row r="15" spans="2:10" ht="30" x14ac:dyDescent="0.25">
      <c r="B15" s="187">
        <v>6</v>
      </c>
      <c r="C15" s="29" t="s">
        <v>64</v>
      </c>
      <c r="D15" s="27">
        <v>13.942814761904762</v>
      </c>
      <c r="E15" s="27">
        <v>13.027673809523808</v>
      </c>
      <c r="F15" s="27">
        <v>12.621855952380956</v>
      </c>
      <c r="G15" s="27">
        <v>12.463423809523809</v>
      </c>
      <c r="H15" s="27">
        <v>14.070862202380951</v>
      </c>
      <c r="I15" s="27">
        <v>14.205199404761903</v>
      </c>
      <c r="J15" s="27">
        <v>14.514686755952383</v>
      </c>
    </row>
    <row r="16" spans="2:10" x14ac:dyDescent="0.25">
      <c r="B16" s="187"/>
      <c r="C16" s="29" t="s">
        <v>62</v>
      </c>
      <c r="D16" s="27">
        <v>28.415385714285712</v>
      </c>
      <c r="E16" s="27">
        <v>20.460802380952376</v>
      </c>
      <c r="F16" s="27">
        <v>15.604179761904762</v>
      </c>
      <c r="G16" s="27">
        <v>13.634378571428567</v>
      </c>
      <c r="H16" s="27">
        <v>10.97006577380952</v>
      </c>
      <c r="I16" s="27">
        <v>11.405547619047624</v>
      </c>
      <c r="J16" s="27">
        <v>11.148469494047621</v>
      </c>
    </row>
    <row r="17" spans="2:10" x14ac:dyDescent="0.25">
      <c r="B17" s="187">
        <v>7</v>
      </c>
      <c r="C17" s="29" t="s">
        <v>66</v>
      </c>
      <c r="D17" s="27">
        <v>14.710276666666671</v>
      </c>
      <c r="E17" s="27">
        <v>13.397911904761909</v>
      </c>
      <c r="F17" s="27">
        <v>12.944790476190477</v>
      </c>
      <c r="G17" s="27">
        <v>12.80457142857143</v>
      </c>
      <c r="H17" s="27">
        <v>12.803035119047619</v>
      </c>
      <c r="I17" s="27">
        <v>12.692133928571426</v>
      </c>
      <c r="J17" s="27">
        <v>12.803296130952376</v>
      </c>
    </row>
    <row r="18" spans="2:10" x14ac:dyDescent="0.25">
      <c r="B18" s="187"/>
      <c r="C18" s="29" t="s">
        <v>61</v>
      </c>
      <c r="D18" s="27">
        <v>26.263261904761904</v>
      </c>
      <c r="E18" s="27">
        <v>18.236271428571431</v>
      </c>
      <c r="F18" s="27">
        <v>14.151738095238093</v>
      </c>
      <c r="G18" s="27">
        <v>12.300307738095238</v>
      </c>
      <c r="H18" s="27">
        <v>11.403068154761904</v>
      </c>
      <c r="I18" s="27">
        <v>10.804997023809527</v>
      </c>
      <c r="J18" s="27">
        <v>10.535008928571424</v>
      </c>
    </row>
    <row r="22" spans="2:10" x14ac:dyDescent="0.25">
      <c r="B22" s="189" t="s">
        <v>54</v>
      </c>
      <c r="C22" s="190"/>
      <c r="D22" s="24">
        <v>2</v>
      </c>
      <c r="E22" s="25">
        <v>4</v>
      </c>
      <c r="F22" s="24">
        <v>8</v>
      </c>
      <c r="G22" s="24">
        <v>16</v>
      </c>
      <c r="H22" s="24">
        <v>32</v>
      </c>
      <c r="I22" s="24">
        <v>64</v>
      </c>
      <c r="J22" s="24">
        <v>128</v>
      </c>
    </row>
    <row r="23" spans="2:10" x14ac:dyDescent="0.25">
      <c r="B23" s="189" t="s">
        <v>55</v>
      </c>
      <c r="C23" s="190"/>
      <c r="D23" s="188">
        <v>42</v>
      </c>
      <c r="E23" s="188">
        <v>84</v>
      </c>
      <c r="F23" s="188">
        <v>168</v>
      </c>
      <c r="G23" s="188">
        <v>336</v>
      </c>
      <c r="H23" s="188">
        <v>672</v>
      </c>
      <c r="I23" s="188">
        <v>1344</v>
      </c>
      <c r="J23" s="188">
        <v>2688</v>
      </c>
    </row>
    <row r="24" spans="2:10" x14ac:dyDescent="0.25">
      <c r="B24" s="26" t="s">
        <v>56</v>
      </c>
      <c r="C24" s="28" t="s">
        <v>57</v>
      </c>
      <c r="D24" s="187"/>
      <c r="E24" s="187">
        <v>24819.016000000011</v>
      </c>
      <c r="F24" s="187">
        <v>47399.626000000004</v>
      </c>
      <c r="G24" s="187">
        <v>96405.03</v>
      </c>
      <c r="H24" s="187">
        <v>197567.46</v>
      </c>
      <c r="I24" s="187">
        <v>376437.82</v>
      </c>
      <c r="J24" s="187">
        <v>762594.84</v>
      </c>
    </row>
    <row r="25" spans="2:10" x14ac:dyDescent="0.25">
      <c r="B25" s="191">
        <v>1</v>
      </c>
      <c r="C25" s="17" t="s">
        <v>39</v>
      </c>
      <c r="D25" s="27">
        <v>3.2481947619047622</v>
      </c>
      <c r="E25" s="27">
        <v>1.9694345238095239</v>
      </c>
      <c r="F25" s="27">
        <v>1.3827494047619051</v>
      </c>
      <c r="G25" s="27">
        <v>1.1119044642857143</v>
      </c>
      <c r="H25" s="27">
        <v>1.0460879166666668</v>
      </c>
      <c r="I25" s="27">
        <v>0.98114925595238078</v>
      </c>
      <c r="J25" s="27"/>
    </row>
    <row r="26" spans="2:10" x14ac:dyDescent="0.25">
      <c r="B26" s="192"/>
      <c r="C26" s="17" t="s">
        <v>29</v>
      </c>
      <c r="D26" s="27">
        <v>3.4567847619047609</v>
      </c>
      <c r="E26" s="27">
        <v>2.1487233333333329</v>
      </c>
      <c r="F26" s="27">
        <v>1.5472822619047624</v>
      </c>
      <c r="G26" s="27">
        <v>1.2777741666666669</v>
      </c>
      <c r="H26" s="27">
        <v>1.1424396130952386</v>
      </c>
      <c r="I26" s="27">
        <v>1.0914406249999997</v>
      </c>
      <c r="J26" s="27">
        <v>1.0816226190476195</v>
      </c>
    </row>
    <row r="27" spans="2:10" x14ac:dyDescent="0.25">
      <c r="B27" s="191">
        <v>2</v>
      </c>
      <c r="C27" s="30" t="s">
        <v>30</v>
      </c>
      <c r="D27" s="31">
        <v>11.320642380952384</v>
      </c>
      <c r="E27" s="31">
        <v>7.2921747619047634</v>
      </c>
      <c r="F27" s="31">
        <v>4.9514360714285708</v>
      </c>
      <c r="G27" s="31">
        <v>4.2319589285714256</v>
      </c>
      <c r="H27" s="31">
        <v>4.3339223214285711</v>
      </c>
      <c r="I27" s="31">
        <v>4.0660653273809526</v>
      </c>
      <c r="J27" s="31">
        <v>3.8898995535714276</v>
      </c>
    </row>
    <row r="28" spans="2:10" x14ac:dyDescent="0.25">
      <c r="B28" s="192"/>
      <c r="C28" s="30" t="s">
        <v>40</v>
      </c>
      <c r="D28" s="31">
        <v>10.50615809523809</v>
      </c>
      <c r="E28" s="31">
        <v>6.81516761904762</v>
      </c>
      <c r="F28" s="31">
        <v>4.9888017857142843</v>
      </c>
      <c r="G28" s="31">
        <v>4.2645345238095231</v>
      </c>
      <c r="H28" s="31">
        <v>4.205383035714287</v>
      </c>
      <c r="I28" s="31">
        <v>3.8691999999999998</v>
      </c>
      <c r="J28" s="31"/>
    </row>
    <row r="29" spans="2:10" ht="30" x14ac:dyDescent="0.25">
      <c r="B29" s="191">
        <v>3</v>
      </c>
      <c r="C29" s="17" t="s">
        <v>14</v>
      </c>
      <c r="D29" s="27">
        <v>6.1213733333333353</v>
      </c>
      <c r="E29" s="27">
        <v>5.2558354761904758</v>
      </c>
      <c r="F29" s="27">
        <v>4.8710342857142841</v>
      </c>
      <c r="G29" s="27">
        <v>4.611967857142858</v>
      </c>
      <c r="H29" s="27">
        <v>4.6773800595238111</v>
      </c>
      <c r="I29" s="27">
        <v>4.4763162202380942</v>
      </c>
      <c r="J29" s="27">
        <v>4.4181778273809531</v>
      </c>
    </row>
    <row r="30" spans="2:10" x14ac:dyDescent="0.25">
      <c r="B30" s="192"/>
      <c r="C30" s="17" t="s">
        <v>30</v>
      </c>
      <c r="D30" s="27">
        <v>12.069419047619046</v>
      </c>
      <c r="E30" s="27">
        <v>7.5693745238095245</v>
      </c>
      <c r="F30" s="27">
        <v>5.3006435714285729</v>
      </c>
      <c r="G30" s="27">
        <v>4.2725803571428589</v>
      </c>
      <c r="H30" s="27">
        <v>3.9004244047619046</v>
      </c>
      <c r="I30" s="27">
        <v>3.5251215773809537</v>
      </c>
      <c r="J30" s="27">
        <v>3.313595163690477</v>
      </c>
    </row>
    <row r="31" spans="2:10" x14ac:dyDescent="0.25">
      <c r="B31" s="191">
        <v>4</v>
      </c>
      <c r="C31" s="17" t="s">
        <v>45</v>
      </c>
      <c r="D31" s="27"/>
      <c r="E31" s="27">
        <v>6.6712202380952403</v>
      </c>
      <c r="F31" s="27">
        <v>6.1012404761904744</v>
      </c>
      <c r="G31" s="27">
        <v>6.0988773809523824</v>
      </c>
      <c r="H31" s="27">
        <v>6.0148678571428578</v>
      </c>
      <c r="I31" s="27">
        <v>5.7999379464285683</v>
      </c>
      <c r="J31" s="27">
        <v>5.7420870535714288</v>
      </c>
    </row>
    <row r="32" spans="2:10" x14ac:dyDescent="0.25">
      <c r="B32" s="192"/>
      <c r="C32" s="17" t="s">
        <v>27</v>
      </c>
      <c r="D32" s="27">
        <v>17.611209047619052</v>
      </c>
      <c r="E32" s="27">
        <v>11.356823095238095</v>
      </c>
      <c r="F32" s="27">
        <v>7.9716226190476176</v>
      </c>
      <c r="G32" s="27">
        <v>6.5702654761904755</v>
      </c>
      <c r="H32" s="27">
        <v>5.9145568452380939</v>
      </c>
      <c r="I32" s="27">
        <v>5.3289559523809542</v>
      </c>
      <c r="J32" s="27">
        <v>5.0635223214285716</v>
      </c>
    </row>
    <row r="33" spans="2:10" x14ac:dyDescent="0.25">
      <c r="B33" s="191">
        <v>5</v>
      </c>
      <c r="C33" s="17" t="s">
        <v>42</v>
      </c>
      <c r="D33" s="27">
        <v>7.5174395238095242</v>
      </c>
      <c r="E33" s="27">
        <v>6.3288299999999982</v>
      </c>
      <c r="F33" s="27">
        <v>6.0188105952380946</v>
      </c>
      <c r="G33" s="27">
        <v>5.865886309523809</v>
      </c>
      <c r="H33" s="27">
        <v>5.9742803571428578</v>
      </c>
      <c r="I33" s="27">
        <v>5.9088244047619041</v>
      </c>
      <c r="J33" s="27">
        <v>5.8770699404761899</v>
      </c>
    </row>
    <row r="34" spans="2:10" x14ac:dyDescent="0.25">
      <c r="B34" s="192"/>
      <c r="C34" s="17" t="s">
        <v>41</v>
      </c>
      <c r="D34" s="27">
        <v>16.567859999999992</v>
      </c>
      <c r="E34" s="27">
        <v>10.577260714285719</v>
      </c>
      <c r="F34" s="27">
        <v>7.5519630952380954</v>
      </c>
      <c r="G34" s="27">
        <v>6.0176732142857157</v>
      </c>
      <c r="H34" s="27">
        <v>5.4531392857142871</v>
      </c>
      <c r="I34" s="27">
        <v>5.0731602678571415</v>
      </c>
      <c r="J34" s="27">
        <v>4.8821614583333339</v>
      </c>
    </row>
    <row r="35" spans="2:10" ht="30" x14ac:dyDescent="0.25">
      <c r="B35" s="191">
        <v>6</v>
      </c>
      <c r="C35" s="17" t="s">
        <v>14</v>
      </c>
      <c r="D35" s="27">
        <v>13.942814761904762</v>
      </c>
      <c r="E35" s="27">
        <v>13.027673809523808</v>
      </c>
      <c r="F35" s="27">
        <v>12.621855952380956</v>
      </c>
      <c r="G35" s="27">
        <v>12.463423809523809</v>
      </c>
      <c r="H35" s="27">
        <v>14.070862202380951</v>
      </c>
      <c r="I35" s="27">
        <v>14.205199404761903</v>
      </c>
      <c r="J35" s="27">
        <v>14.514686755952383</v>
      </c>
    </row>
    <row r="36" spans="2:10" x14ac:dyDescent="0.25">
      <c r="B36" s="192"/>
      <c r="C36" s="17" t="s">
        <v>27</v>
      </c>
      <c r="D36" s="27">
        <v>28.415385714285712</v>
      </c>
      <c r="E36" s="27">
        <v>20.460802380952376</v>
      </c>
      <c r="F36" s="27">
        <v>15.604179761904762</v>
      </c>
      <c r="G36" s="27">
        <v>13.634378571428567</v>
      </c>
      <c r="H36" s="27">
        <v>10.97006577380952</v>
      </c>
      <c r="I36" s="27">
        <v>11.405547619047624</v>
      </c>
      <c r="J36" s="27">
        <v>11.148469494047621</v>
      </c>
    </row>
    <row r="37" spans="2:10" x14ac:dyDescent="0.25">
      <c r="B37" s="187">
        <v>7</v>
      </c>
      <c r="C37" s="29" t="s">
        <v>8</v>
      </c>
      <c r="D37" s="27">
        <v>14.710276666666671</v>
      </c>
      <c r="E37" s="27">
        <v>13.397911904761909</v>
      </c>
      <c r="F37" s="27">
        <v>12.944790476190477</v>
      </c>
      <c r="G37" s="27">
        <v>12.80457142857143</v>
      </c>
      <c r="H37" s="27">
        <v>12.803035119047619</v>
      </c>
      <c r="I37" s="27">
        <v>12.692133928571426</v>
      </c>
      <c r="J37" s="27">
        <v>12.803296130952376</v>
      </c>
    </row>
    <row r="38" spans="2:10" x14ac:dyDescent="0.25">
      <c r="B38" s="187"/>
      <c r="C38" s="29" t="s">
        <v>30</v>
      </c>
      <c r="D38" s="27">
        <v>26.263261904761904</v>
      </c>
      <c r="E38" s="27">
        <v>18.236271428571431</v>
      </c>
      <c r="F38" s="27">
        <v>14.151738095238093</v>
      </c>
      <c r="G38" s="27">
        <v>12.300307738095238</v>
      </c>
      <c r="H38" s="27">
        <v>11.403068154761904</v>
      </c>
      <c r="I38" s="27">
        <v>10.804997023809527</v>
      </c>
      <c r="J38" s="27">
        <v>10.535008928571424</v>
      </c>
    </row>
  </sheetData>
  <mergeCells count="32">
    <mergeCell ref="I23:I24"/>
    <mergeCell ref="J23:J24"/>
    <mergeCell ref="B37:B38"/>
    <mergeCell ref="B22:C22"/>
    <mergeCell ref="B23:C23"/>
    <mergeCell ref="D23:D24"/>
    <mergeCell ref="B35:B36"/>
    <mergeCell ref="E23:E24"/>
    <mergeCell ref="F23:F24"/>
    <mergeCell ref="G23:G24"/>
    <mergeCell ref="H23:H24"/>
    <mergeCell ref="B25:B26"/>
    <mergeCell ref="B27:B28"/>
    <mergeCell ref="B29:B30"/>
    <mergeCell ref="B31:B32"/>
    <mergeCell ref="B33:B34"/>
    <mergeCell ref="B17:B18"/>
    <mergeCell ref="B5:B6"/>
    <mergeCell ref="B7:B8"/>
    <mergeCell ref="B9:B10"/>
    <mergeCell ref="B11:B12"/>
    <mergeCell ref="B13:B14"/>
    <mergeCell ref="B15:B16"/>
    <mergeCell ref="B2:C2"/>
    <mergeCell ref="H3:H4"/>
    <mergeCell ref="I3:I4"/>
    <mergeCell ref="J3:J4"/>
    <mergeCell ref="D3:D4"/>
    <mergeCell ref="E3:E4"/>
    <mergeCell ref="F3:F4"/>
    <mergeCell ref="G3:G4"/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"/>
  <sheetViews>
    <sheetView zoomScale="115" zoomScaleNormal="115" workbookViewId="0">
      <pane xSplit="3" ySplit="2" topLeftCell="D90" activePane="bottomRight" state="frozen"/>
      <selection pane="topRight" activeCell="D1" sqref="D1"/>
      <selection pane="bottomLeft" activeCell="A3" sqref="A3"/>
      <selection pane="bottomRight" activeCell="D100" sqref="D100:J100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23</v>
      </c>
    </row>
    <row r="2" spans="1:13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</row>
    <row r="3" spans="1:13" x14ac:dyDescent="0.25">
      <c r="A3">
        <v>1</v>
      </c>
      <c r="C3" s="1" t="s">
        <v>1</v>
      </c>
      <c r="D3" s="10">
        <v>14722.331999999997</v>
      </c>
      <c r="E3" s="10">
        <v>27364.667999999994</v>
      </c>
      <c r="F3" s="10">
        <v>52186.786000000007</v>
      </c>
      <c r="G3" s="10">
        <v>103402.44</v>
      </c>
      <c r="H3" s="10">
        <v>207103.35999999999</v>
      </c>
      <c r="I3" s="10">
        <v>410463.68</v>
      </c>
      <c r="J3" s="10">
        <v>835652.72</v>
      </c>
      <c r="K3" s="10"/>
      <c r="L3" s="10"/>
    </row>
    <row r="4" spans="1:13" x14ac:dyDescent="0.25">
      <c r="C4" s="1" t="s">
        <v>25</v>
      </c>
      <c r="D4" s="10">
        <v>3230.6195999999995</v>
      </c>
      <c r="E4" s="10">
        <v>8165.2890000000007</v>
      </c>
      <c r="F4" s="10">
        <v>30570.495999999988</v>
      </c>
      <c r="G4" s="10">
        <v>118797.04</v>
      </c>
      <c r="H4" s="10"/>
      <c r="I4" s="10"/>
      <c r="J4" s="10"/>
      <c r="K4" s="10"/>
      <c r="L4" s="10"/>
    </row>
    <row r="5" spans="1:13" x14ac:dyDescent="0.25">
      <c r="C5" s="1" t="s">
        <v>26</v>
      </c>
      <c r="D5" s="10">
        <v>1112.2990000000002</v>
      </c>
      <c r="E5" s="10">
        <v>1566.9033999999999</v>
      </c>
      <c r="F5" s="10">
        <v>2500.6765999999998</v>
      </c>
      <c r="G5" s="10">
        <v>5049.3438000000006</v>
      </c>
      <c r="H5" s="11">
        <v>9900.7614000000031</v>
      </c>
      <c r="I5" s="10">
        <v>19017.788000000004</v>
      </c>
      <c r="J5" s="10">
        <v>38230.252</v>
      </c>
      <c r="K5" s="10"/>
      <c r="L5" s="10"/>
    </row>
    <row r="6" spans="1:13" x14ac:dyDescent="0.25">
      <c r="C6" s="1" t="s">
        <v>27</v>
      </c>
      <c r="D6" s="10">
        <v>1105.3332</v>
      </c>
      <c r="E6" s="10">
        <v>1534.0819999999994</v>
      </c>
      <c r="F6" s="10">
        <v>2406.0229999999997</v>
      </c>
      <c r="G6" s="10">
        <v>4137.362000000001</v>
      </c>
      <c r="H6" s="10">
        <v>7671.3551999999981</v>
      </c>
      <c r="I6" s="10">
        <v>14430.712000000001</v>
      </c>
      <c r="J6" s="10">
        <v>28317.030000000006</v>
      </c>
      <c r="K6" s="10"/>
      <c r="L6" s="10"/>
    </row>
    <row r="7" spans="1:13" x14ac:dyDescent="0.25">
      <c r="C7" s="1" t="s">
        <v>46</v>
      </c>
      <c r="D7" s="10">
        <v>3244.5320000000002</v>
      </c>
      <c r="E7" s="10">
        <v>8200.7432000000026</v>
      </c>
      <c r="F7" s="10">
        <v>30655.228000000003</v>
      </c>
      <c r="G7" s="10">
        <v>119025.24</v>
      </c>
      <c r="H7" s="10"/>
      <c r="I7" s="10"/>
      <c r="J7" s="10"/>
      <c r="K7" s="10"/>
      <c r="L7" s="10"/>
    </row>
    <row r="8" spans="1:13" x14ac:dyDescent="0.25">
      <c r="C8" s="1" t="s">
        <v>29</v>
      </c>
      <c r="D8" s="10">
        <v>1111.0204000000001</v>
      </c>
      <c r="E8" s="10">
        <v>1562.7405999999992</v>
      </c>
      <c r="F8" s="10">
        <v>2477.3717999999994</v>
      </c>
      <c r="G8" s="10">
        <v>5021.765199999998</v>
      </c>
      <c r="H8" s="10">
        <v>9885.4503999999997</v>
      </c>
      <c r="I8" s="10">
        <v>19083.762000000002</v>
      </c>
      <c r="J8" s="10">
        <v>38204.80599999999</v>
      </c>
      <c r="K8" s="10"/>
      <c r="L8" s="10"/>
    </row>
    <row r="9" spans="1:13" x14ac:dyDescent="0.25">
      <c r="C9" s="1" t="s">
        <v>30</v>
      </c>
      <c r="D9" s="10">
        <v>1103.057</v>
      </c>
      <c r="E9" s="10">
        <v>1531.8468000000003</v>
      </c>
      <c r="F9" s="10">
        <v>2377.4919999999997</v>
      </c>
      <c r="G9" s="10">
        <v>4132.9034000000001</v>
      </c>
      <c r="H9" s="10">
        <v>7662.8617999999997</v>
      </c>
      <c r="I9" s="10">
        <v>14521.916000000005</v>
      </c>
      <c r="J9" s="10">
        <v>28318.103999999988</v>
      </c>
      <c r="K9" s="10"/>
      <c r="L9" s="9"/>
    </row>
    <row r="10" spans="1:13" x14ac:dyDescent="0.25">
      <c r="C10" s="1" t="s">
        <v>31</v>
      </c>
      <c r="D10" s="10">
        <v>5423.7867999999989</v>
      </c>
      <c r="E10" s="10">
        <v>10850.081399999999</v>
      </c>
      <c r="F10" s="10">
        <v>22314.345999999998</v>
      </c>
      <c r="G10" s="10">
        <v>168792.9</v>
      </c>
      <c r="H10" s="10"/>
      <c r="I10" s="10"/>
      <c r="J10" s="10"/>
      <c r="K10" s="10"/>
      <c r="L10" s="10"/>
    </row>
    <row r="11" spans="1:13" x14ac:dyDescent="0.25">
      <c r="C11" s="1" t="s">
        <v>32</v>
      </c>
      <c r="D11" s="10">
        <v>25581.911999999997</v>
      </c>
      <c r="E11" s="10">
        <v>50984.615999999995</v>
      </c>
      <c r="F11" s="10">
        <v>100711.2</v>
      </c>
      <c r="G11" s="10">
        <v>204126.84</v>
      </c>
      <c r="H11" s="10">
        <v>410280.3</v>
      </c>
      <c r="I11" s="10">
        <v>818514.44</v>
      </c>
      <c r="J11" s="10">
        <v>1641214.8</v>
      </c>
      <c r="K11" s="10"/>
      <c r="L11" s="10"/>
    </row>
    <row r="12" spans="1:13" x14ac:dyDescent="0.25">
      <c r="C12" s="1" t="s">
        <v>33</v>
      </c>
      <c r="D12" s="10">
        <v>1469.1822</v>
      </c>
      <c r="E12" s="10">
        <v>2883.3024</v>
      </c>
      <c r="F12" s="10">
        <v>5688.8597999999984</v>
      </c>
      <c r="G12" s="10">
        <v>11485.505999999996</v>
      </c>
      <c r="H12" s="10">
        <v>23062.244000000002</v>
      </c>
      <c r="I12" s="10">
        <v>46032.585999999988</v>
      </c>
      <c r="J12" s="10">
        <v>92249.118000000046</v>
      </c>
      <c r="K12" s="10"/>
      <c r="L12" s="10"/>
    </row>
    <row r="13" spans="1:13" x14ac:dyDescent="0.25">
      <c r="C13" s="1" t="s">
        <v>34</v>
      </c>
      <c r="D13" s="10">
        <v>3190.6729999999993</v>
      </c>
      <c r="E13" s="10">
        <v>8273.8870000000024</v>
      </c>
      <c r="F13" s="10">
        <v>30350.503999999979</v>
      </c>
      <c r="G13" s="10">
        <v>119486.92</v>
      </c>
      <c r="H13" s="10"/>
      <c r="I13" s="10"/>
      <c r="J13" s="10"/>
      <c r="K13" s="10"/>
      <c r="L13" s="10"/>
    </row>
    <row r="14" spans="1:13" x14ac:dyDescent="0.25">
      <c r="C14" s="1" t="s">
        <v>35</v>
      </c>
      <c r="D14" s="10">
        <v>1105.2298000000001</v>
      </c>
      <c r="E14" s="10">
        <v>1555.8039999999999</v>
      </c>
      <c r="F14" s="10">
        <v>2462.9948000000004</v>
      </c>
      <c r="G14" s="10">
        <v>5043.8376000000007</v>
      </c>
      <c r="H14" s="10">
        <v>9881.8037999999997</v>
      </c>
      <c r="I14" s="10">
        <v>19149.419999999995</v>
      </c>
      <c r="J14" s="10"/>
      <c r="K14" s="10"/>
      <c r="L14" s="10"/>
    </row>
    <row r="15" spans="1:13" x14ac:dyDescent="0.25">
      <c r="C15" s="1" t="s">
        <v>36</v>
      </c>
      <c r="D15" s="10">
        <v>1098.4587999999997</v>
      </c>
      <c r="E15" s="10">
        <v>1531.6032</v>
      </c>
      <c r="F15" s="10">
        <v>2369.2894000000001</v>
      </c>
      <c r="G15" s="10">
        <v>4146.0518000000002</v>
      </c>
      <c r="H15" s="10">
        <v>7643.7787999999991</v>
      </c>
      <c r="I15" s="10">
        <v>14518.129999999997</v>
      </c>
      <c r="J15" s="10"/>
      <c r="K15" s="10"/>
      <c r="L15" s="10"/>
    </row>
    <row r="16" spans="1:13" x14ac:dyDescent="0.25">
      <c r="C16" s="1" t="s">
        <v>38</v>
      </c>
      <c r="D16" s="10">
        <v>3214.2402000000002</v>
      </c>
      <c r="E16" s="10">
        <v>8200.2900000000009</v>
      </c>
      <c r="F16" s="10">
        <v>30600.757999999998</v>
      </c>
      <c r="G16" s="10">
        <v>119547.66</v>
      </c>
      <c r="H16" s="10"/>
      <c r="I16" s="10"/>
      <c r="J16" s="10"/>
      <c r="K16" s="10"/>
      <c r="L16" s="10"/>
    </row>
    <row r="17" spans="3:12" x14ac:dyDescent="0.25">
      <c r="C17" s="1" t="s">
        <v>39</v>
      </c>
      <c r="D17" s="10">
        <v>1101.6596</v>
      </c>
      <c r="E17" s="10">
        <v>1552.5855999999999</v>
      </c>
      <c r="F17" s="10">
        <v>2461.9250000000002</v>
      </c>
      <c r="G17" s="10">
        <v>5022.8434000000007</v>
      </c>
      <c r="H17" s="10">
        <v>9877.6114000000016</v>
      </c>
      <c r="I17" s="10">
        <v>19134.142000000003</v>
      </c>
      <c r="J17" s="10"/>
      <c r="K17" s="10"/>
      <c r="L17" s="10"/>
    </row>
    <row r="18" spans="3:12" x14ac:dyDescent="0.25">
      <c r="C18" s="1" t="s">
        <v>40</v>
      </c>
      <c r="D18" s="10">
        <v>1099.2947999999999</v>
      </c>
      <c r="E18" s="10">
        <v>1525.5981999999992</v>
      </c>
      <c r="F18" s="10">
        <v>2365.5941999999995</v>
      </c>
      <c r="G18" s="10">
        <v>4147.1373999999996</v>
      </c>
      <c r="H18" s="10">
        <v>7643.3530000000019</v>
      </c>
      <c r="I18" s="10">
        <v>14514.671999999999</v>
      </c>
      <c r="J18" s="10"/>
      <c r="K18" s="10"/>
      <c r="L18" s="10"/>
    </row>
    <row r="19" spans="3:12" x14ac:dyDescent="0.25">
      <c r="C19" s="1" t="s">
        <v>41</v>
      </c>
      <c r="D19" s="10">
        <v>1104.2956000000001</v>
      </c>
      <c r="E19" s="10">
        <v>1545.4241999999999</v>
      </c>
      <c r="F19" s="10">
        <v>2415.4076000000005</v>
      </c>
      <c r="G19" s="10">
        <v>4158.5217999999986</v>
      </c>
      <c r="H19" s="10">
        <v>7708.6513999999988</v>
      </c>
      <c r="I19" s="10">
        <v>14499.326000000001</v>
      </c>
      <c r="J19" s="10">
        <v>28467.78799999999</v>
      </c>
      <c r="K19" s="10"/>
      <c r="L19" s="10"/>
    </row>
    <row r="20" spans="3:12" x14ac:dyDescent="0.25">
      <c r="C20" s="1" t="s">
        <v>43</v>
      </c>
      <c r="D20" s="10">
        <v>1104.1309999999999</v>
      </c>
      <c r="E20" s="10">
        <v>1543.8896000000002</v>
      </c>
      <c r="F20" s="10">
        <v>2386.450800000001</v>
      </c>
      <c r="G20" s="10">
        <v>4153.6433999999999</v>
      </c>
      <c r="H20" s="10">
        <v>7707.595400000002</v>
      </c>
      <c r="I20" s="10">
        <v>14593.085999999996</v>
      </c>
      <c r="J20" s="10">
        <v>28466.537999999997</v>
      </c>
      <c r="K20" s="10"/>
      <c r="L20" s="10"/>
    </row>
    <row r="21" spans="3:12" x14ac:dyDescent="0.25">
      <c r="C21" s="1" t="s">
        <v>8</v>
      </c>
      <c r="D21" s="10">
        <v>617.83162000000016</v>
      </c>
      <c r="E21" s="10">
        <v>1125.4246000000003</v>
      </c>
      <c r="F21" s="10">
        <v>2174.7248</v>
      </c>
      <c r="G21" s="10">
        <v>4302.3360000000002</v>
      </c>
      <c r="H21" s="10">
        <v>8603.6396000000004</v>
      </c>
      <c r="I21" s="10">
        <v>17058.227999999996</v>
      </c>
      <c r="J21" s="10">
        <v>34415.259999999987</v>
      </c>
      <c r="K21" s="10"/>
      <c r="L21" s="10"/>
    </row>
    <row r="22" spans="3:12" x14ac:dyDescent="0.25">
      <c r="C22" s="1" t="s">
        <v>37</v>
      </c>
      <c r="D22" s="10">
        <v>605.95326000000011</v>
      </c>
      <c r="E22" s="10">
        <v>1100.7723999999998</v>
      </c>
      <c r="F22" s="10">
        <v>2148.4440000000004</v>
      </c>
      <c r="G22" s="10">
        <v>4327.3866000000007</v>
      </c>
      <c r="H22" s="10">
        <v>8631.0025999999998</v>
      </c>
      <c r="I22" s="10">
        <v>17150.22</v>
      </c>
      <c r="J22" s="10"/>
      <c r="K22" s="10"/>
      <c r="L22" s="10"/>
    </row>
    <row r="23" spans="3:12" x14ac:dyDescent="0.25">
      <c r="C23" s="1" t="s">
        <v>42</v>
      </c>
      <c r="D23" s="10">
        <v>614.67082000000005</v>
      </c>
      <c r="E23" s="10">
        <v>1128.6160000000004</v>
      </c>
      <c r="F23" s="10">
        <v>2188.4863999999998</v>
      </c>
      <c r="G23" s="10">
        <v>4322.1867999999995</v>
      </c>
      <c r="H23" s="10">
        <v>8653.2057999999979</v>
      </c>
      <c r="I23" s="10">
        <v>17085.643999999997</v>
      </c>
      <c r="J23" s="10">
        <v>34593.732000000004</v>
      </c>
      <c r="K23" s="10"/>
      <c r="L23" s="10"/>
    </row>
    <row r="24" spans="3:12" x14ac:dyDescent="0.25">
      <c r="C24" s="1" t="s">
        <v>10</v>
      </c>
      <c r="D24" s="10">
        <v>0</v>
      </c>
      <c r="E24" s="10">
        <v>1138.9009999999998</v>
      </c>
      <c r="F24" s="10">
        <v>2203.5749999999998</v>
      </c>
      <c r="G24" s="10">
        <v>4345.2345999999998</v>
      </c>
      <c r="H24" s="10">
        <v>8611.4827999999961</v>
      </c>
      <c r="I24" s="10">
        <v>17137.144</v>
      </c>
      <c r="J24" s="10">
        <v>34192.435999999994</v>
      </c>
      <c r="K24" s="10"/>
      <c r="L24" s="10"/>
    </row>
    <row r="25" spans="3:12" x14ac:dyDescent="0.25">
      <c r="C25" s="1" t="s">
        <v>9</v>
      </c>
      <c r="D25" s="10">
        <v>1512.2120000000002</v>
      </c>
      <c r="E25" s="10">
        <v>2659.6365999999998</v>
      </c>
      <c r="F25" s="10">
        <v>5207.7542000000012</v>
      </c>
      <c r="G25" s="10">
        <v>10304.526000000002</v>
      </c>
      <c r="H25" s="10">
        <v>20485.600000000002</v>
      </c>
      <c r="I25" s="10">
        <v>30668.097999999998</v>
      </c>
      <c r="J25" s="10">
        <v>53579.620000000017</v>
      </c>
      <c r="K25" s="10"/>
      <c r="L25" s="10"/>
    </row>
    <row r="26" spans="3:12" x14ac:dyDescent="0.25">
      <c r="C26" s="1" t="s">
        <v>13</v>
      </c>
      <c r="D26" s="10">
        <v>1017.3776000000001</v>
      </c>
      <c r="E26" s="10">
        <v>1889.2707999999998</v>
      </c>
      <c r="F26" s="10">
        <v>3627.0554000000002</v>
      </c>
      <c r="G26" s="10">
        <v>7084.2337999999991</v>
      </c>
      <c r="H26" s="10">
        <v>14040.434000000001</v>
      </c>
      <c r="I26" s="10">
        <v>27472.933999999997</v>
      </c>
      <c r="J26" s="10">
        <v>52973.284000000007</v>
      </c>
      <c r="K26" s="10"/>
      <c r="L26" s="10"/>
    </row>
    <row r="27" spans="3:12" x14ac:dyDescent="0.25">
      <c r="C27" s="1" t="s">
        <v>14</v>
      </c>
      <c r="D27" s="10">
        <v>627.14737999999988</v>
      </c>
      <c r="E27" s="10">
        <v>1153.4844000000005</v>
      </c>
      <c r="F27" s="10">
        <v>2244.2572000000005</v>
      </c>
      <c r="G27" s="10">
        <v>4419.3770000000004</v>
      </c>
      <c r="H27" s="10">
        <v>8817.8194000000003</v>
      </c>
      <c r="I27" s="10">
        <v>17479.466</v>
      </c>
      <c r="J27" s="10">
        <v>35108.803999999996</v>
      </c>
      <c r="K27" s="10"/>
      <c r="L27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350.5317142857142</v>
      </c>
      <c r="E32" s="5">
        <f t="shared" ref="E32:L32" si="0">E3/E$2</f>
        <v>325.76985714285706</v>
      </c>
      <c r="F32" s="5">
        <f t="shared" si="0"/>
        <v>310.63563095238101</v>
      </c>
      <c r="G32" s="5">
        <f t="shared" si="0"/>
        <v>307.74535714285713</v>
      </c>
      <c r="H32" s="5">
        <f t="shared" si="0"/>
        <v>308.18952380952379</v>
      </c>
      <c r="I32" s="5">
        <f t="shared" si="0"/>
        <v>305.40452380952382</v>
      </c>
      <c r="J32" s="5">
        <f t="shared" si="0"/>
        <v>310.88270833333331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25</v>
      </c>
      <c r="D33" s="5">
        <f t="shared" ref="D33:L33" si="1">D4/D$2</f>
        <v>76.919514285714271</v>
      </c>
      <c r="E33" s="5">
        <f t="shared" si="1"/>
        <v>97.20582142857144</v>
      </c>
      <c r="F33" s="5">
        <f t="shared" si="1"/>
        <v>181.96723809523803</v>
      </c>
      <c r="G33" s="5">
        <f t="shared" si="1"/>
        <v>353.56261904761902</v>
      </c>
      <c r="H33" s="5">
        <f t="shared" si="1"/>
        <v>0</v>
      </c>
      <c r="I33" s="5">
        <f t="shared" si="1"/>
        <v>0</v>
      </c>
      <c r="J33" s="5">
        <f t="shared" si="1"/>
        <v>0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26</v>
      </c>
      <c r="D34" s="5">
        <f t="shared" ref="D34:L34" si="2">D5/D$2</f>
        <v>26.483309523809528</v>
      </c>
      <c r="E34" s="5">
        <f t="shared" si="2"/>
        <v>18.653611904761902</v>
      </c>
      <c r="F34" s="5">
        <f t="shared" si="2"/>
        <v>14.884979761904761</v>
      </c>
      <c r="G34" s="5">
        <f t="shared" si="2"/>
        <v>15.02780892857143</v>
      </c>
      <c r="H34" s="5">
        <f t="shared" si="2"/>
        <v>14.733275892857147</v>
      </c>
      <c r="I34" s="5">
        <f t="shared" si="2"/>
        <v>14.150139880952384</v>
      </c>
      <c r="J34" s="5">
        <f t="shared" si="2"/>
        <v>14.222563988095239</v>
      </c>
      <c r="K34" s="5">
        <f t="shared" si="2"/>
        <v>0</v>
      </c>
      <c r="L34" s="5">
        <f t="shared" si="2"/>
        <v>0</v>
      </c>
    </row>
    <row r="35" spans="3:12" x14ac:dyDescent="0.25">
      <c r="C35" s="1" t="s">
        <v>27</v>
      </c>
      <c r="D35" s="5">
        <f t="shared" ref="D35:L35" si="3">D6/D$2</f>
        <v>26.317457142857144</v>
      </c>
      <c r="E35" s="5">
        <f t="shared" si="3"/>
        <v>18.262880952380947</v>
      </c>
      <c r="F35" s="5">
        <f t="shared" si="3"/>
        <v>14.321565476190475</v>
      </c>
      <c r="G35" s="5">
        <f t="shared" si="3"/>
        <v>12.313577380952385</v>
      </c>
      <c r="H35" s="5">
        <f t="shared" si="3"/>
        <v>11.415707142857141</v>
      </c>
      <c r="I35" s="5">
        <f t="shared" si="3"/>
        <v>10.737136904761906</v>
      </c>
      <c r="J35" s="5">
        <f t="shared" si="3"/>
        <v>10.534609375000002</v>
      </c>
      <c r="K35" s="5">
        <f t="shared" si="3"/>
        <v>0</v>
      </c>
      <c r="L35" s="5">
        <f t="shared" si="3"/>
        <v>0</v>
      </c>
    </row>
    <row r="36" spans="3:12" x14ac:dyDescent="0.25">
      <c r="C36" s="1" t="s">
        <v>46</v>
      </c>
      <c r="D36" s="5">
        <f t="shared" ref="D36:L36" si="4">D7/D$2</f>
        <v>77.250761904761902</v>
      </c>
      <c r="E36" s="5">
        <f t="shared" si="4"/>
        <v>97.627895238095263</v>
      </c>
      <c r="F36" s="5">
        <f t="shared" si="4"/>
        <v>182.47159523809526</v>
      </c>
      <c r="G36" s="5">
        <f t="shared" si="4"/>
        <v>354.24178571428575</v>
      </c>
      <c r="H36" s="5">
        <f t="shared" si="4"/>
        <v>0</v>
      </c>
      <c r="I36" s="5">
        <f t="shared" si="4"/>
        <v>0</v>
      </c>
      <c r="J36" s="5">
        <f t="shared" si="4"/>
        <v>0</v>
      </c>
      <c r="K36" s="5">
        <f t="shared" si="4"/>
        <v>0</v>
      </c>
      <c r="L36" s="5">
        <f t="shared" si="4"/>
        <v>0</v>
      </c>
    </row>
    <row r="37" spans="3:12" x14ac:dyDescent="0.25">
      <c r="C37" s="1" t="s">
        <v>29</v>
      </c>
      <c r="D37" s="5">
        <f t="shared" ref="D37:L37" si="5">D8/D$2</f>
        <v>26.452866666666669</v>
      </c>
      <c r="E37" s="5">
        <f t="shared" si="5"/>
        <v>18.604054761904752</v>
      </c>
      <c r="F37" s="5">
        <f t="shared" si="5"/>
        <v>14.746260714285711</v>
      </c>
      <c r="G37" s="5">
        <f t="shared" si="5"/>
        <v>14.945729761904756</v>
      </c>
      <c r="H37" s="5">
        <f t="shared" si="5"/>
        <v>14.710491666666666</v>
      </c>
      <c r="I37" s="5">
        <f t="shared" si="5"/>
        <v>14.199227678571431</v>
      </c>
      <c r="J37" s="5">
        <f t="shared" si="5"/>
        <v>14.213097470238091</v>
      </c>
      <c r="K37" s="5">
        <f t="shared" si="5"/>
        <v>0</v>
      </c>
      <c r="L37" s="5">
        <f t="shared" si="5"/>
        <v>0</v>
      </c>
    </row>
    <row r="38" spans="3:12" x14ac:dyDescent="0.25">
      <c r="C38" s="1" t="s">
        <v>30</v>
      </c>
      <c r="D38" s="5">
        <f t="shared" ref="D38:L38" si="6">D9/D$2</f>
        <v>26.263261904761904</v>
      </c>
      <c r="E38" s="5">
        <f t="shared" si="6"/>
        <v>18.236271428571431</v>
      </c>
      <c r="F38" s="5">
        <f t="shared" si="6"/>
        <v>14.151738095238093</v>
      </c>
      <c r="G38" s="5">
        <f t="shared" si="6"/>
        <v>12.300307738095238</v>
      </c>
      <c r="H38" s="5">
        <f t="shared" si="6"/>
        <v>11.403068154761904</v>
      </c>
      <c r="I38" s="5">
        <f t="shared" si="6"/>
        <v>10.804997023809527</v>
      </c>
      <c r="J38" s="5">
        <f t="shared" si="6"/>
        <v>10.535008928571424</v>
      </c>
      <c r="K38" s="5">
        <f t="shared" si="6"/>
        <v>0</v>
      </c>
      <c r="L38" s="5">
        <f t="shared" si="6"/>
        <v>0</v>
      </c>
    </row>
    <row r="39" spans="3:12" x14ac:dyDescent="0.25">
      <c r="C39" s="1" t="s">
        <v>31</v>
      </c>
      <c r="D39" s="5">
        <f t="shared" ref="D39:L39" si="7">D10/D$2</f>
        <v>129.13778095238092</v>
      </c>
      <c r="E39" s="5">
        <f t="shared" si="7"/>
        <v>129.16763571428569</v>
      </c>
      <c r="F39" s="5">
        <f t="shared" si="7"/>
        <v>132.82348809523808</v>
      </c>
      <c r="G39" s="5">
        <f t="shared" si="7"/>
        <v>502.35982142857142</v>
      </c>
      <c r="H39" s="5">
        <f t="shared" si="7"/>
        <v>0</v>
      </c>
      <c r="I39" s="5">
        <f t="shared" si="7"/>
        <v>0</v>
      </c>
      <c r="J39" s="5">
        <f t="shared" si="7"/>
        <v>0</v>
      </c>
      <c r="K39" s="5">
        <f t="shared" si="7"/>
        <v>0</v>
      </c>
      <c r="L39" s="5">
        <f t="shared" si="7"/>
        <v>0</v>
      </c>
    </row>
    <row r="40" spans="3:12" x14ac:dyDescent="0.25">
      <c r="C40" s="1" t="s">
        <v>32</v>
      </c>
      <c r="D40" s="5">
        <f t="shared" ref="D40:L40" si="8">D11/D$2</f>
        <v>609.09314285714277</v>
      </c>
      <c r="E40" s="5">
        <f t="shared" si="8"/>
        <v>606.9597142857142</v>
      </c>
      <c r="F40" s="5">
        <f t="shared" si="8"/>
        <v>599.47142857142853</v>
      </c>
      <c r="G40" s="5">
        <f t="shared" si="8"/>
        <v>607.52035714285716</v>
      </c>
      <c r="H40" s="5">
        <f t="shared" si="8"/>
        <v>610.53616071428564</v>
      </c>
      <c r="I40" s="5">
        <f t="shared" si="8"/>
        <v>609.01372023809517</v>
      </c>
      <c r="J40" s="5">
        <f t="shared" si="8"/>
        <v>610.57098214285713</v>
      </c>
      <c r="K40" s="5">
        <f t="shared" si="8"/>
        <v>0</v>
      </c>
      <c r="L40" s="5">
        <f t="shared" si="8"/>
        <v>0</v>
      </c>
    </row>
    <row r="41" spans="3:12" x14ac:dyDescent="0.25">
      <c r="C41" s="1" t="s">
        <v>33</v>
      </c>
      <c r="D41" s="5">
        <f t="shared" ref="D41:L41" si="9">D12/D$2</f>
        <v>34.980528571428572</v>
      </c>
      <c r="E41" s="5">
        <f t="shared" si="9"/>
        <v>34.325028571428575</v>
      </c>
      <c r="F41" s="5">
        <f t="shared" si="9"/>
        <v>33.862260714285704</v>
      </c>
      <c r="G41" s="5">
        <f t="shared" si="9"/>
        <v>34.183053571428559</v>
      </c>
      <c r="H41" s="5">
        <f t="shared" si="9"/>
        <v>34.31881547619048</v>
      </c>
      <c r="I41" s="5">
        <f t="shared" si="9"/>
        <v>34.250436011904753</v>
      </c>
      <c r="J41" s="5">
        <f t="shared" si="9"/>
        <v>34.318868303571449</v>
      </c>
      <c r="K41" s="5">
        <f t="shared" si="9"/>
        <v>0</v>
      </c>
      <c r="L41" s="5">
        <f t="shared" si="9"/>
        <v>0</v>
      </c>
    </row>
    <row r="42" spans="3:12" x14ac:dyDescent="0.25">
      <c r="C42" s="1" t="s">
        <v>34</v>
      </c>
      <c r="D42" s="5">
        <f t="shared" ref="D42:L42" si="10">D13/D$2</f>
        <v>75.96840476190475</v>
      </c>
      <c r="E42" s="5">
        <f t="shared" si="10"/>
        <v>98.498654761904788</v>
      </c>
      <c r="F42" s="5">
        <f t="shared" si="10"/>
        <v>180.65776190476177</v>
      </c>
      <c r="G42" s="5">
        <f t="shared" si="10"/>
        <v>355.61583333333334</v>
      </c>
      <c r="H42" s="5">
        <f t="shared" si="10"/>
        <v>0</v>
      </c>
      <c r="I42" s="5">
        <f t="shared" si="10"/>
        <v>0</v>
      </c>
      <c r="J42" s="5">
        <f t="shared" si="10"/>
        <v>0</v>
      </c>
      <c r="K42" s="5">
        <f t="shared" si="10"/>
        <v>0</v>
      </c>
      <c r="L42" s="5">
        <f t="shared" si="10"/>
        <v>0</v>
      </c>
    </row>
    <row r="43" spans="3:12" x14ac:dyDescent="0.25">
      <c r="C43" s="1" t="s">
        <v>35</v>
      </c>
      <c r="D43" s="5">
        <f t="shared" ref="D43:L43" si="11">D14/D$2</f>
        <v>26.314995238095239</v>
      </c>
      <c r="E43" s="5">
        <f t="shared" si="11"/>
        <v>18.521476190476189</v>
      </c>
      <c r="F43" s="5">
        <f t="shared" si="11"/>
        <v>14.660683333333335</v>
      </c>
      <c r="G43" s="5">
        <f t="shared" si="11"/>
        <v>15.011421428571431</v>
      </c>
      <c r="H43" s="5">
        <f t="shared" si="11"/>
        <v>14.705065178571427</v>
      </c>
      <c r="I43" s="5">
        <f t="shared" si="11"/>
        <v>14.248080357142854</v>
      </c>
      <c r="J43" s="5">
        <f t="shared" si="11"/>
        <v>0</v>
      </c>
      <c r="K43" s="5">
        <f t="shared" si="11"/>
        <v>0</v>
      </c>
      <c r="L43" s="5">
        <f t="shared" si="11"/>
        <v>0</v>
      </c>
    </row>
    <row r="44" spans="3:12" x14ac:dyDescent="0.25">
      <c r="C44" s="1" t="s">
        <v>36</v>
      </c>
      <c r="D44" s="5">
        <f t="shared" ref="D44:L44" si="12">D15/D$2</f>
        <v>26.153780952380945</v>
      </c>
      <c r="E44" s="5">
        <f t="shared" si="12"/>
        <v>18.233371428571427</v>
      </c>
      <c r="F44" s="5">
        <f t="shared" si="12"/>
        <v>14.102913095238096</v>
      </c>
      <c r="G44" s="5">
        <f t="shared" si="12"/>
        <v>12.339439880952382</v>
      </c>
      <c r="H44" s="5">
        <f t="shared" si="12"/>
        <v>11.374670833333331</v>
      </c>
      <c r="I44" s="5">
        <f t="shared" si="12"/>
        <v>10.802180059523808</v>
      </c>
      <c r="J44" s="5">
        <f t="shared" si="12"/>
        <v>0</v>
      </c>
      <c r="K44" s="5">
        <f t="shared" si="12"/>
        <v>0</v>
      </c>
      <c r="L44" s="5">
        <f t="shared" si="12"/>
        <v>0</v>
      </c>
    </row>
    <row r="45" spans="3:12" x14ac:dyDescent="0.25">
      <c r="C45" s="1" t="s">
        <v>38</v>
      </c>
      <c r="D45" s="5">
        <f t="shared" ref="D45:L45" si="13">D16/D$2</f>
        <v>76.529528571428571</v>
      </c>
      <c r="E45" s="5">
        <f t="shared" si="13"/>
        <v>97.622500000000016</v>
      </c>
      <c r="F45" s="5">
        <f t="shared" si="13"/>
        <v>182.14736904761904</v>
      </c>
      <c r="G45" s="5">
        <f t="shared" si="13"/>
        <v>355.79660714285717</v>
      </c>
      <c r="H45" s="5">
        <f t="shared" si="13"/>
        <v>0</v>
      </c>
      <c r="I45" s="5">
        <f t="shared" si="13"/>
        <v>0</v>
      </c>
      <c r="J45" s="5">
        <f t="shared" si="13"/>
        <v>0</v>
      </c>
      <c r="K45" s="5">
        <f t="shared" si="13"/>
        <v>0</v>
      </c>
      <c r="L45" s="5">
        <f t="shared" si="13"/>
        <v>0</v>
      </c>
    </row>
    <row r="46" spans="3:12" x14ac:dyDescent="0.25">
      <c r="C46" s="1" t="s">
        <v>39</v>
      </c>
      <c r="D46" s="5">
        <f t="shared" ref="D46:L46" si="14">D17/D$2</f>
        <v>26.229990476190476</v>
      </c>
      <c r="E46" s="5">
        <f t="shared" si="14"/>
        <v>18.483161904761904</v>
      </c>
      <c r="F46" s="5">
        <f t="shared" si="14"/>
        <v>14.654315476190478</v>
      </c>
      <c r="G46" s="5">
        <f t="shared" si="14"/>
        <v>14.948938690476192</v>
      </c>
      <c r="H46" s="5">
        <f t="shared" si="14"/>
        <v>14.698826488095241</v>
      </c>
      <c r="I46" s="5">
        <f t="shared" si="14"/>
        <v>14.236712797619051</v>
      </c>
      <c r="J46" s="5">
        <f t="shared" si="14"/>
        <v>0</v>
      </c>
      <c r="K46" s="5">
        <f t="shared" si="14"/>
        <v>0</v>
      </c>
      <c r="L46" s="5">
        <f t="shared" si="14"/>
        <v>0</v>
      </c>
    </row>
    <row r="47" spans="3:12" x14ac:dyDescent="0.25">
      <c r="C47" s="1" t="s">
        <v>40</v>
      </c>
      <c r="D47" s="5">
        <f t="shared" ref="D47:L47" si="15">D18/D$2</f>
        <v>26.17368571428571</v>
      </c>
      <c r="E47" s="5">
        <f t="shared" si="15"/>
        <v>18.161883333333325</v>
      </c>
      <c r="F47" s="5">
        <f t="shared" si="15"/>
        <v>14.080917857142854</v>
      </c>
      <c r="G47" s="5">
        <f t="shared" si="15"/>
        <v>12.342670833333333</v>
      </c>
      <c r="H47" s="5">
        <f t="shared" si="15"/>
        <v>11.374037202380956</v>
      </c>
      <c r="I47" s="5">
        <f t="shared" si="15"/>
        <v>10.799607142857141</v>
      </c>
      <c r="J47" s="5">
        <f t="shared" si="15"/>
        <v>0</v>
      </c>
      <c r="K47" s="5">
        <f t="shared" si="15"/>
        <v>0</v>
      </c>
      <c r="L47" s="5">
        <f t="shared" si="15"/>
        <v>0</v>
      </c>
    </row>
    <row r="48" spans="3:12" x14ac:dyDescent="0.25">
      <c r="C48" s="1" t="s">
        <v>41</v>
      </c>
      <c r="D48" s="5">
        <f t="shared" ref="D48:L48" si="16">D19/D$2</f>
        <v>26.292752380952386</v>
      </c>
      <c r="E48" s="5">
        <f t="shared" si="16"/>
        <v>18.397907142857143</v>
      </c>
      <c r="F48" s="5">
        <f t="shared" si="16"/>
        <v>14.377426190476193</v>
      </c>
      <c r="G48" s="5">
        <f t="shared" si="16"/>
        <v>12.376552976190473</v>
      </c>
      <c r="H48" s="5">
        <f t="shared" si="16"/>
        <v>11.471207440476189</v>
      </c>
      <c r="I48" s="5">
        <f t="shared" si="16"/>
        <v>10.788188988095239</v>
      </c>
      <c r="J48" s="5">
        <f t="shared" si="16"/>
        <v>10.590694940476187</v>
      </c>
      <c r="K48" s="5">
        <f t="shared" si="16"/>
        <v>0</v>
      </c>
      <c r="L48" s="5">
        <f t="shared" si="16"/>
        <v>0</v>
      </c>
    </row>
    <row r="49" spans="3:12" x14ac:dyDescent="0.25">
      <c r="C49" s="1" t="s">
        <v>43</v>
      </c>
      <c r="D49" s="5">
        <f t="shared" ref="D49:L49" si="17">D20/D$2</f>
        <v>26.288833333333329</v>
      </c>
      <c r="E49" s="5">
        <f t="shared" si="17"/>
        <v>18.379638095238096</v>
      </c>
      <c r="F49" s="5">
        <f t="shared" si="17"/>
        <v>14.205064285714291</v>
      </c>
      <c r="G49" s="5">
        <f t="shared" si="17"/>
        <v>12.362033928571428</v>
      </c>
      <c r="H49" s="5">
        <f t="shared" si="17"/>
        <v>11.469636011904765</v>
      </c>
      <c r="I49" s="5">
        <f t="shared" si="17"/>
        <v>10.85795089285714</v>
      </c>
      <c r="J49" s="5">
        <f t="shared" si="17"/>
        <v>10.590229910714285</v>
      </c>
      <c r="K49" s="5">
        <f t="shared" si="17"/>
        <v>0</v>
      </c>
      <c r="L49" s="5">
        <f t="shared" si="17"/>
        <v>0</v>
      </c>
    </row>
    <row r="50" spans="3:12" x14ac:dyDescent="0.25">
      <c r="C50" s="1" t="s">
        <v>8</v>
      </c>
      <c r="D50" s="5">
        <f t="shared" ref="D50:L50" si="18">D21/D$2</f>
        <v>14.710276666666671</v>
      </c>
      <c r="E50" s="5">
        <f t="shared" si="18"/>
        <v>13.397911904761909</v>
      </c>
      <c r="F50" s="5">
        <f t="shared" si="18"/>
        <v>12.944790476190477</v>
      </c>
      <c r="G50" s="5">
        <f t="shared" si="18"/>
        <v>12.80457142857143</v>
      </c>
      <c r="H50" s="5">
        <f t="shared" si="18"/>
        <v>12.803035119047619</v>
      </c>
      <c r="I50" s="5">
        <f t="shared" si="18"/>
        <v>12.692133928571426</v>
      </c>
      <c r="J50" s="5">
        <f t="shared" si="18"/>
        <v>12.803296130952376</v>
      </c>
      <c r="K50" s="5">
        <f t="shared" si="18"/>
        <v>0</v>
      </c>
      <c r="L50" s="5">
        <f t="shared" si="18"/>
        <v>0</v>
      </c>
    </row>
    <row r="51" spans="3:12" x14ac:dyDescent="0.25">
      <c r="C51" s="1" t="s">
        <v>37</v>
      </c>
      <c r="D51" s="5">
        <f t="shared" ref="D51:L51" si="19">D22/D$2</f>
        <v>14.427458571428573</v>
      </c>
      <c r="E51" s="5">
        <f t="shared" si="19"/>
        <v>13.104433333333331</v>
      </c>
      <c r="F51" s="5">
        <f t="shared" si="19"/>
        <v>12.788357142857146</v>
      </c>
      <c r="G51" s="5">
        <f t="shared" si="19"/>
        <v>12.879126785714288</v>
      </c>
      <c r="H51" s="5">
        <f t="shared" si="19"/>
        <v>12.843753869047619</v>
      </c>
      <c r="I51" s="5">
        <f t="shared" si="19"/>
        <v>12.760580357142858</v>
      </c>
      <c r="J51" s="5">
        <f t="shared" si="19"/>
        <v>0</v>
      </c>
      <c r="K51" s="5">
        <f t="shared" si="19"/>
        <v>0</v>
      </c>
      <c r="L51" s="5">
        <f t="shared" si="19"/>
        <v>0</v>
      </c>
    </row>
    <row r="52" spans="3:12" x14ac:dyDescent="0.25">
      <c r="C52" s="1" t="s">
        <v>42</v>
      </c>
      <c r="D52" s="5">
        <f t="shared" ref="D52:L52" si="20">D23/D$2</f>
        <v>14.635019523809525</v>
      </c>
      <c r="E52" s="5">
        <f t="shared" si="20"/>
        <v>13.435904761904768</v>
      </c>
      <c r="F52" s="5">
        <f t="shared" si="20"/>
        <v>13.02670476190476</v>
      </c>
      <c r="G52" s="5">
        <f t="shared" si="20"/>
        <v>12.863651190476189</v>
      </c>
      <c r="H52" s="5">
        <f t="shared" si="20"/>
        <v>12.876794345238093</v>
      </c>
      <c r="I52" s="5">
        <f t="shared" si="20"/>
        <v>12.712532738095236</v>
      </c>
      <c r="J52" s="5">
        <f t="shared" si="20"/>
        <v>12.869691964285716</v>
      </c>
      <c r="K52" s="5">
        <f t="shared" si="20"/>
        <v>0</v>
      </c>
      <c r="L52" s="5">
        <f t="shared" si="20"/>
        <v>0</v>
      </c>
    </row>
    <row r="53" spans="3:12" x14ac:dyDescent="0.25">
      <c r="C53" s="1" t="s">
        <v>10</v>
      </c>
      <c r="D53" s="5">
        <f t="shared" ref="D53:L53" si="21">D24/D$2</f>
        <v>0</v>
      </c>
      <c r="E53" s="5">
        <f t="shared" si="21"/>
        <v>13.558345238095237</v>
      </c>
      <c r="F53" s="5">
        <f t="shared" si="21"/>
        <v>13.116517857142856</v>
      </c>
      <c r="G53" s="5">
        <f t="shared" si="21"/>
        <v>12.932245833333333</v>
      </c>
      <c r="H53" s="5">
        <f t="shared" si="21"/>
        <v>12.814706547619043</v>
      </c>
      <c r="I53" s="5">
        <f t="shared" si="21"/>
        <v>12.75085119047619</v>
      </c>
      <c r="J53" s="5">
        <f t="shared" si="21"/>
        <v>12.720400297619046</v>
      </c>
      <c r="K53" s="5">
        <f t="shared" si="21"/>
        <v>0</v>
      </c>
      <c r="L53" s="5">
        <f t="shared" si="21"/>
        <v>0</v>
      </c>
    </row>
    <row r="54" spans="3:12" x14ac:dyDescent="0.25">
      <c r="C54" s="1" t="s">
        <v>9</v>
      </c>
      <c r="D54" s="5">
        <f t="shared" ref="D54:L54" si="22">D25/D$2</f>
        <v>36.005047619047623</v>
      </c>
      <c r="E54" s="5">
        <f t="shared" si="22"/>
        <v>31.662340476190472</v>
      </c>
      <c r="F54" s="5">
        <f t="shared" si="22"/>
        <v>30.998536904761913</v>
      </c>
      <c r="G54" s="5">
        <f t="shared" si="22"/>
        <v>30.668232142857146</v>
      </c>
      <c r="H54" s="5">
        <f t="shared" si="22"/>
        <v>30.484523809523814</v>
      </c>
      <c r="I54" s="5">
        <f t="shared" si="22"/>
        <v>22.818525297619047</v>
      </c>
      <c r="J54" s="5">
        <f t="shared" si="22"/>
        <v>19.9328943452381</v>
      </c>
      <c r="K54" s="5">
        <f t="shared" si="22"/>
        <v>0</v>
      </c>
      <c r="L54" s="5">
        <f t="shared" si="22"/>
        <v>0</v>
      </c>
    </row>
    <row r="55" spans="3:12" x14ac:dyDescent="0.25">
      <c r="C55" s="1" t="s">
        <v>13</v>
      </c>
      <c r="D55" s="5">
        <f t="shared" ref="D55:L55" si="23">D26/D$2</f>
        <v>24.223276190476195</v>
      </c>
      <c r="E55" s="5">
        <f t="shared" si="23"/>
        <v>22.491319047619044</v>
      </c>
      <c r="F55" s="5">
        <f t="shared" si="23"/>
        <v>21.589615476190477</v>
      </c>
      <c r="G55" s="5">
        <f t="shared" si="23"/>
        <v>21.084029166666664</v>
      </c>
      <c r="H55" s="5">
        <f t="shared" si="23"/>
        <v>20.893502976190479</v>
      </c>
      <c r="I55" s="5">
        <f t="shared" si="23"/>
        <v>20.44117113095238</v>
      </c>
      <c r="J55" s="5">
        <f t="shared" si="23"/>
        <v>19.707322916666669</v>
      </c>
      <c r="K55" s="5">
        <f t="shared" si="23"/>
        <v>0</v>
      </c>
      <c r="L55" s="5">
        <f t="shared" si="23"/>
        <v>0</v>
      </c>
    </row>
    <row r="56" spans="3:12" x14ac:dyDescent="0.25">
      <c r="C56" s="1" t="s">
        <v>14</v>
      </c>
      <c r="D56" s="5">
        <f t="shared" ref="D56:L56" si="24">D27/D$2</f>
        <v>14.932080476190473</v>
      </c>
      <c r="E56" s="5">
        <f t="shared" si="24"/>
        <v>13.73195714285715</v>
      </c>
      <c r="F56" s="5">
        <f t="shared" si="24"/>
        <v>13.358673809523813</v>
      </c>
      <c r="G56" s="5">
        <f t="shared" si="24"/>
        <v>13.152907738095239</v>
      </c>
      <c r="H56" s="5">
        <f t="shared" si="24"/>
        <v>13.12175505952381</v>
      </c>
      <c r="I56" s="5">
        <f t="shared" si="24"/>
        <v>13.005555059523809</v>
      </c>
      <c r="J56" s="5">
        <f t="shared" si="24"/>
        <v>13.06131101190476</v>
      </c>
      <c r="K56" s="5">
        <f t="shared" si="24"/>
        <v>0</v>
      </c>
      <c r="L56" s="5">
        <f t="shared" si="24"/>
        <v>0</v>
      </c>
    </row>
    <row r="57" spans="3:12" x14ac:dyDescent="0.25">
      <c r="C57" s="22"/>
      <c r="D57" s="23"/>
      <c r="E57" s="23"/>
      <c r="F57" s="23"/>
      <c r="G57" s="23"/>
      <c r="H57" s="23"/>
      <c r="I57" s="23"/>
      <c r="J57" s="23"/>
      <c r="K57" s="23"/>
      <c r="L57" s="23"/>
    </row>
    <row r="60" spans="3:12" x14ac:dyDescent="0.25">
      <c r="C60" s="1">
        <v>50</v>
      </c>
      <c r="D60" s="2">
        <v>2</v>
      </c>
      <c r="E60" s="3">
        <v>4</v>
      </c>
      <c r="F60" s="2">
        <v>8</v>
      </c>
      <c r="G60" s="2">
        <v>16</v>
      </c>
      <c r="H60" s="2">
        <v>32</v>
      </c>
      <c r="I60" s="2">
        <v>64</v>
      </c>
      <c r="J60" s="2">
        <v>128</v>
      </c>
      <c r="K60" s="2">
        <v>256</v>
      </c>
      <c r="L60" s="2">
        <v>512</v>
      </c>
    </row>
    <row r="61" spans="3:12" x14ac:dyDescent="0.25">
      <c r="C61" s="1"/>
      <c r="D61" s="4">
        <v>42</v>
      </c>
      <c r="E61" s="4">
        <v>84</v>
      </c>
      <c r="F61" s="4">
        <v>168</v>
      </c>
      <c r="G61" s="4">
        <v>336</v>
      </c>
      <c r="H61" s="4">
        <v>672</v>
      </c>
      <c r="I61" s="4">
        <v>1344</v>
      </c>
      <c r="J61" s="4">
        <v>2688</v>
      </c>
      <c r="K61" s="4">
        <v>5376</v>
      </c>
      <c r="L61" s="4">
        <v>10752</v>
      </c>
    </row>
    <row r="62" spans="3:12" x14ac:dyDescent="0.25">
      <c r="C62" s="1" t="s">
        <v>1</v>
      </c>
      <c r="D62" s="12">
        <f t="shared" ref="D62:L62" si="25">D$3/D3</f>
        <v>1</v>
      </c>
      <c r="E62" s="12">
        <f t="shared" si="25"/>
        <v>1</v>
      </c>
      <c r="F62" s="12">
        <f t="shared" si="25"/>
        <v>1</v>
      </c>
      <c r="G62" s="12">
        <f t="shared" si="25"/>
        <v>1</v>
      </c>
      <c r="H62" s="12">
        <f t="shared" si="25"/>
        <v>1</v>
      </c>
      <c r="I62" s="12">
        <f t="shared" si="25"/>
        <v>1</v>
      </c>
      <c r="J62" s="12">
        <f t="shared" si="25"/>
        <v>1</v>
      </c>
      <c r="K62" s="12" t="e">
        <f t="shared" si="25"/>
        <v>#DIV/0!</v>
      </c>
      <c r="L62" s="12" t="e">
        <f t="shared" si="25"/>
        <v>#DIV/0!</v>
      </c>
    </row>
    <row r="63" spans="3:12" x14ac:dyDescent="0.25">
      <c r="C63" s="1" t="s">
        <v>25</v>
      </c>
      <c r="D63" s="12">
        <f t="shared" ref="D63:L63" si="26">D$3/D4</f>
        <v>4.55712334562695</v>
      </c>
      <c r="E63" s="12">
        <f t="shared" si="26"/>
        <v>3.3513410241817518</v>
      </c>
      <c r="F63" s="12">
        <f t="shared" si="26"/>
        <v>1.7070964762887728</v>
      </c>
      <c r="G63" s="12">
        <f t="shared" si="26"/>
        <v>0.8704125961387591</v>
      </c>
      <c r="H63" s="12" t="e">
        <f t="shared" si="26"/>
        <v>#DIV/0!</v>
      </c>
      <c r="I63" s="12" t="e">
        <f t="shared" si="26"/>
        <v>#DIV/0!</v>
      </c>
      <c r="J63" s="12" t="e">
        <f t="shared" si="26"/>
        <v>#DIV/0!</v>
      </c>
      <c r="K63" s="12" t="e">
        <f t="shared" si="26"/>
        <v>#DIV/0!</v>
      </c>
      <c r="L63" s="12" t="e">
        <f t="shared" si="26"/>
        <v>#DIV/0!</v>
      </c>
    </row>
    <row r="64" spans="3:12" x14ac:dyDescent="0.25">
      <c r="C64" s="1" t="s">
        <v>26</v>
      </c>
      <c r="D64" s="12">
        <f t="shared" ref="D64:L64" si="27">D$3/D5</f>
        <v>13.235948247728349</v>
      </c>
      <c r="E64" s="12">
        <f t="shared" si="27"/>
        <v>17.464170414079128</v>
      </c>
      <c r="F64" s="12">
        <f t="shared" si="27"/>
        <v>20.869066395870625</v>
      </c>
      <c r="G64" s="12">
        <f t="shared" si="27"/>
        <v>20.478391667447955</v>
      </c>
      <c r="H64" s="12">
        <f t="shared" si="27"/>
        <v>20.917922534725452</v>
      </c>
      <c r="I64" s="12">
        <f t="shared" si="27"/>
        <v>21.583145211209626</v>
      </c>
      <c r="J64" s="12">
        <f t="shared" si="27"/>
        <v>21.85841516294478</v>
      </c>
      <c r="K64" s="12" t="e">
        <f t="shared" si="27"/>
        <v>#DIV/0!</v>
      </c>
      <c r="L64" s="12" t="e">
        <f t="shared" si="27"/>
        <v>#DIV/0!</v>
      </c>
    </row>
    <row r="65" spans="3:12" x14ac:dyDescent="0.25">
      <c r="C65" s="1" t="s">
        <v>27</v>
      </c>
      <c r="D65" s="12">
        <f t="shared" ref="D65:L65" si="28">D$3/D6</f>
        <v>13.319361075918099</v>
      </c>
      <c r="E65" s="12">
        <f t="shared" si="28"/>
        <v>17.837813102559057</v>
      </c>
      <c r="F65" s="12">
        <f t="shared" si="28"/>
        <v>21.690061150703887</v>
      </c>
      <c r="G65" s="12">
        <f t="shared" si="28"/>
        <v>24.992359866020905</v>
      </c>
      <c r="H65" s="12">
        <f t="shared" si="28"/>
        <v>26.996971799715393</v>
      </c>
      <c r="I65" s="12">
        <f t="shared" si="28"/>
        <v>28.443758007227913</v>
      </c>
      <c r="J65" s="12">
        <f t="shared" si="28"/>
        <v>29.510606161733762</v>
      </c>
      <c r="K65" s="12" t="e">
        <f t="shared" si="28"/>
        <v>#DIV/0!</v>
      </c>
      <c r="L65" s="12" t="e">
        <f t="shared" si="28"/>
        <v>#DIV/0!</v>
      </c>
    </row>
    <row r="66" spans="3:12" x14ac:dyDescent="0.25">
      <c r="C66" s="1" t="s">
        <v>46</v>
      </c>
      <c r="D66" s="12">
        <f t="shared" ref="D66:L66" si="29">D$3/D7</f>
        <v>4.5375826159211856</v>
      </c>
      <c r="E66" s="12">
        <f t="shared" si="29"/>
        <v>3.3368522013955983</v>
      </c>
      <c r="F66" s="12">
        <f t="shared" si="29"/>
        <v>1.7023780087363891</v>
      </c>
      <c r="G66" s="12">
        <f t="shared" si="29"/>
        <v>0.86874380593561495</v>
      </c>
      <c r="H66" s="12" t="e">
        <f t="shared" si="29"/>
        <v>#DIV/0!</v>
      </c>
      <c r="I66" s="12" t="e">
        <f t="shared" si="29"/>
        <v>#DIV/0!</v>
      </c>
      <c r="J66" s="12" t="e">
        <f t="shared" si="29"/>
        <v>#DIV/0!</v>
      </c>
      <c r="K66" s="12" t="e">
        <f t="shared" si="29"/>
        <v>#DIV/0!</v>
      </c>
      <c r="L66" s="12" t="e">
        <f t="shared" si="29"/>
        <v>#DIV/0!</v>
      </c>
    </row>
    <row r="67" spans="3:12" x14ac:dyDescent="0.25">
      <c r="C67" s="1" t="s">
        <v>29</v>
      </c>
      <c r="D67" s="12">
        <f t="shared" ref="D67:L67" si="30">D$3/D8</f>
        <v>13.251180626386335</v>
      </c>
      <c r="E67" s="12">
        <f t="shared" si="30"/>
        <v>17.51069115373339</v>
      </c>
      <c r="F67" s="12">
        <f t="shared" si="30"/>
        <v>21.065383080569504</v>
      </c>
      <c r="G67" s="12">
        <f t="shared" si="30"/>
        <v>20.590855183750932</v>
      </c>
      <c r="H67" s="12">
        <f t="shared" si="30"/>
        <v>20.950321090073952</v>
      </c>
      <c r="I67" s="12">
        <f t="shared" si="30"/>
        <v>21.508530655538458</v>
      </c>
      <c r="J67" s="12">
        <f t="shared" si="30"/>
        <v>21.87297378240843</v>
      </c>
      <c r="K67" s="12" t="e">
        <f t="shared" si="30"/>
        <v>#DIV/0!</v>
      </c>
      <c r="L67" s="12" t="e">
        <f t="shared" si="30"/>
        <v>#DIV/0!</v>
      </c>
    </row>
    <row r="68" spans="3:12" x14ac:dyDescent="0.25">
      <c r="C68" s="1" t="s">
        <v>30</v>
      </c>
      <c r="D68" s="12">
        <f t="shared" ref="D68:L68" si="31">D$3/D9</f>
        <v>13.346846083203312</v>
      </c>
      <c r="E68" s="12">
        <f t="shared" si="31"/>
        <v>17.863841214408641</v>
      </c>
      <c r="F68" s="12">
        <f t="shared" si="31"/>
        <v>21.950351883413283</v>
      </c>
      <c r="G68" s="12">
        <f t="shared" si="31"/>
        <v>25.019321767840012</v>
      </c>
      <c r="H68" s="12">
        <f t="shared" si="31"/>
        <v>27.026894834512088</v>
      </c>
      <c r="I68" s="12">
        <f t="shared" si="31"/>
        <v>28.265118735020906</v>
      </c>
      <c r="J68" s="12">
        <f t="shared" si="31"/>
        <v>29.509486934577268</v>
      </c>
      <c r="K68" s="12" t="e">
        <f t="shared" si="31"/>
        <v>#DIV/0!</v>
      </c>
      <c r="L68" s="12" t="e">
        <f t="shared" si="31"/>
        <v>#DIV/0!</v>
      </c>
    </row>
    <row r="69" spans="3:12" x14ac:dyDescent="0.25">
      <c r="C69" s="1" t="s">
        <v>31</v>
      </c>
      <c r="D69" s="12">
        <f t="shared" ref="D69:L69" si="32">D$3/D10</f>
        <v>2.714400942160927</v>
      </c>
      <c r="E69" s="12">
        <f t="shared" si="32"/>
        <v>2.5220702952514253</v>
      </c>
      <c r="F69" s="12">
        <f t="shared" si="32"/>
        <v>2.338710083638571</v>
      </c>
      <c r="G69" s="12">
        <f t="shared" si="32"/>
        <v>0.61259946360303075</v>
      </c>
      <c r="H69" s="12" t="e">
        <f t="shared" si="32"/>
        <v>#DIV/0!</v>
      </c>
      <c r="I69" s="12" t="e">
        <f t="shared" si="32"/>
        <v>#DIV/0!</v>
      </c>
      <c r="J69" s="12" t="e">
        <f t="shared" si="32"/>
        <v>#DIV/0!</v>
      </c>
      <c r="K69" s="12" t="e">
        <f t="shared" si="32"/>
        <v>#DIV/0!</v>
      </c>
      <c r="L69" s="12" t="e">
        <f t="shared" si="32"/>
        <v>#DIV/0!</v>
      </c>
    </row>
    <row r="70" spans="3:12" x14ac:dyDescent="0.25">
      <c r="C70" s="1" t="s">
        <v>32</v>
      </c>
      <c r="D70" s="12">
        <f t="shared" ref="D70:L70" si="33">D$3/D11</f>
        <v>0.57549771885697987</v>
      </c>
      <c r="E70" s="12">
        <f t="shared" si="33"/>
        <v>0.53672401886875043</v>
      </c>
      <c r="F70" s="12">
        <f t="shared" si="33"/>
        <v>0.51818254573473466</v>
      </c>
      <c r="G70" s="12">
        <f t="shared" si="33"/>
        <v>0.50655974491154621</v>
      </c>
      <c r="H70" s="12">
        <f t="shared" si="33"/>
        <v>0.50478504573580552</v>
      </c>
      <c r="I70" s="12">
        <f t="shared" si="33"/>
        <v>0.50147396300057945</v>
      </c>
      <c r="J70" s="12">
        <f t="shared" si="33"/>
        <v>0.50916718518502269</v>
      </c>
      <c r="K70" s="12" t="e">
        <f t="shared" si="33"/>
        <v>#DIV/0!</v>
      </c>
      <c r="L70" s="12" t="e">
        <f t="shared" si="33"/>
        <v>#DIV/0!</v>
      </c>
    </row>
    <row r="71" spans="3:12" x14ac:dyDescent="0.25">
      <c r="C71" s="1" t="s">
        <v>33</v>
      </c>
      <c r="D71" s="12">
        <f t="shared" ref="D71:L71" si="34">D$3/D12</f>
        <v>10.020766655081989</v>
      </c>
      <c r="E71" s="12">
        <f t="shared" si="34"/>
        <v>9.490738120288734</v>
      </c>
      <c r="F71" s="12">
        <f t="shared" si="34"/>
        <v>9.1735053832755771</v>
      </c>
      <c r="G71" s="12">
        <f t="shared" si="34"/>
        <v>9.0028632608785397</v>
      </c>
      <c r="H71" s="12">
        <f t="shared" si="34"/>
        <v>8.9801911730705815</v>
      </c>
      <c r="I71" s="12">
        <f t="shared" si="34"/>
        <v>8.9168068897975896</v>
      </c>
      <c r="J71" s="12">
        <f t="shared" si="34"/>
        <v>9.0586526800180316</v>
      </c>
      <c r="K71" s="12" t="e">
        <f t="shared" si="34"/>
        <v>#DIV/0!</v>
      </c>
      <c r="L71" s="12" t="e">
        <f t="shared" si="34"/>
        <v>#DIV/0!</v>
      </c>
    </row>
    <row r="72" spans="3:12" x14ac:dyDescent="0.25">
      <c r="C72" s="1" t="s">
        <v>34</v>
      </c>
      <c r="D72" s="12">
        <f t="shared" ref="D72:L72" si="35">D$3/D13</f>
        <v>4.6141776358780735</v>
      </c>
      <c r="E72" s="12">
        <f t="shared" si="35"/>
        <v>3.3073533636608752</v>
      </c>
      <c r="F72" s="12">
        <f t="shared" si="35"/>
        <v>1.7194701610226981</v>
      </c>
      <c r="G72" s="12">
        <f t="shared" si="35"/>
        <v>0.86538710680633502</v>
      </c>
      <c r="H72" s="12" t="e">
        <f t="shared" si="35"/>
        <v>#DIV/0!</v>
      </c>
      <c r="I72" s="12" t="e">
        <f t="shared" si="35"/>
        <v>#DIV/0!</v>
      </c>
      <c r="J72" s="12" t="e">
        <f t="shared" si="35"/>
        <v>#DIV/0!</v>
      </c>
      <c r="K72" s="12" t="e">
        <f t="shared" si="35"/>
        <v>#DIV/0!</v>
      </c>
      <c r="L72" s="12" t="e">
        <f t="shared" si="35"/>
        <v>#DIV/0!</v>
      </c>
    </row>
    <row r="73" spans="3:12" x14ac:dyDescent="0.25">
      <c r="C73" s="1" t="s">
        <v>35</v>
      </c>
      <c r="D73" s="12">
        <f t="shared" ref="D73:L73" si="36">D$3/D14</f>
        <v>13.320607171467866</v>
      </c>
      <c r="E73" s="12">
        <f t="shared" si="36"/>
        <v>17.588763108977734</v>
      </c>
      <c r="F73" s="12">
        <f t="shared" si="36"/>
        <v>21.188345992447893</v>
      </c>
      <c r="G73" s="12">
        <f t="shared" si="36"/>
        <v>20.500747288136317</v>
      </c>
      <c r="H73" s="12">
        <f t="shared" si="36"/>
        <v>20.958052213098988</v>
      </c>
      <c r="I73" s="12">
        <f t="shared" si="36"/>
        <v>21.434783925570596</v>
      </c>
      <c r="J73" s="12" t="e">
        <f t="shared" si="36"/>
        <v>#DIV/0!</v>
      </c>
      <c r="K73" s="12" t="e">
        <f t="shared" si="36"/>
        <v>#DIV/0!</v>
      </c>
      <c r="L73" s="12" t="e">
        <f t="shared" si="36"/>
        <v>#DIV/0!</v>
      </c>
    </row>
    <row r="74" spans="3:12" x14ac:dyDescent="0.25">
      <c r="C74" s="1" t="s">
        <v>36</v>
      </c>
      <c r="D74" s="12">
        <f t="shared" ref="D74:L74" si="37">D$3/D15</f>
        <v>13.40271660621227</v>
      </c>
      <c r="E74" s="12">
        <f t="shared" si="37"/>
        <v>17.866682440987322</v>
      </c>
      <c r="F74" s="12">
        <f t="shared" si="37"/>
        <v>22.026345114277724</v>
      </c>
      <c r="G74" s="12">
        <f t="shared" si="37"/>
        <v>24.939977836263406</v>
      </c>
      <c r="H74" s="12">
        <f t="shared" si="37"/>
        <v>27.094368560220502</v>
      </c>
      <c r="I74" s="12">
        <f t="shared" si="37"/>
        <v>28.272489638817124</v>
      </c>
      <c r="J74" s="12" t="e">
        <f t="shared" si="37"/>
        <v>#DIV/0!</v>
      </c>
      <c r="K74" s="12" t="e">
        <f t="shared" si="37"/>
        <v>#DIV/0!</v>
      </c>
      <c r="L74" s="12" t="e">
        <f t="shared" si="37"/>
        <v>#DIV/0!</v>
      </c>
    </row>
    <row r="75" spans="3:12" x14ac:dyDescent="0.25">
      <c r="C75" s="1" t="s">
        <v>38</v>
      </c>
      <c r="D75" s="12">
        <f t="shared" ref="D75:L75" si="38">D$3/D16</f>
        <v>4.5803459243649547</v>
      </c>
      <c r="E75" s="12">
        <f t="shared" si="38"/>
        <v>3.3370366169976906</v>
      </c>
      <c r="F75" s="12">
        <f t="shared" si="38"/>
        <v>1.7054082777949491</v>
      </c>
      <c r="G75" s="12">
        <f t="shared" si="38"/>
        <v>0.86494741929704022</v>
      </c>
      <c r="H75" s="12" t="e">
        <f t="shared" si="38"/>
        <v>#DIV/0!</v>
      </c>
      <c r="I75" s="12" t="e">
        <f t="shared" si="38"/>
        <v>#DIV/0!</v>
      </c>
      <c r="J75" s="12" t="e">
        <f t="shared" si="38"/>
        <v>#DIV/0!</v>
      </c>
      <c r="K75" s="12" t="e">
        <f t="shared" si="38"/>
        <v>#DIV/0!</v>
      </c>
      <c r="L75" s="12" t="e">
        <f t="shared" si="38"/>
        <v>#DIV/0!</v>
      </c>
    </row>
    <row r="76" spans="3:12" x14ac:dyDescent="0.25">
      <c r="C76" s="1" t="s">
        <v>39</v>
      </c>
      <c r="D76" s="12">
        <f t="shared" ref="D76:L76" si="39">D$3/D17</f>
        <v>13.36377588866833</v>
      </c>
      <c r="E76" s="12">
        <f t="shared" si="39"/>
        <v>17.625223369326623</v>
      </c>
      <c r="F76" s="12">
        <f t="shared" si="39"/>
        <v>21.19755313423439</v>
      </c>
      <c r="G76" s="12">
        <f t="shared" si="39"/>
        <v>20.58643516538859</v>
      </c>
      <c r="H76" s="12">
        <f t="shared" si="39"/>
        <v>20.966947535514503</v>
      </c>
      <c r="I76" s="12">
        <f t="shared" si="39"/>
        <v>21.451898914516256</v>
      </c>
      <c r="J76" s="12" t="e">
        <f t="shared" si="39"/>
        <v>#DIV/0!</v>
      </c>
      <c r="K76" s="12" t="e">
        <f t="shared" si="39"/>
        <v>#DIV/0!</v>
      </c>
      <c r="L76" s="12" t="e">
        <f t="shared" si="39"/>
        <v>#DIV/0!</v>
      </c>
    </row>
    <row r="77" spans="3:12" x14ac:dyDescent="0.25">
      <c r="C77" s="1" t="s">
        <v>40</v>
      </c>
      <c r="D77" s="12">
        <f t="shared" ref="D77:L77" si="40">D$3/D18</f>
        <v>13.392524007208984</v>
      </c>
      <c r="E77" s="12">
        <f t="shared" si="40"/>
        <v>17.937008578012225</v>
      </c>
      <c r="F77" s="12">
        <f t="shared" si="40"/>
        <v>22.06075158621881</v>
      </c>
      <c r="G77" s="12">
        <f t="shared" si="40"/>
        <v>24.933449275155439</v>
      </c>
      <c r="H77" s="12">
        <f t="shared" si="40"/>
        <v>27.095877947806407</v>
      </c>
      <c r="I77" s="12">
        <f t="shared" si="40"/>
        <v>28.279225324554357</v>
      </c>
      <c r="J77" s="12" t="e">
        <f t="shared" si="40"/>
        <v>#DIV/0!</v>
      </c>
      <c r="K77" s="12" t="e">
        <f t="shared" si="40"/>
        <v>#DIV/0!</v>
      </c>
      <c r="L77" s="12" t="e">
        <f t="shared" si="40"/>
        <v>#DIV/0!</v>
      </c>
    </row>
    <row r="78" spans="3:12" x14ac:dyDescent="0.25">
      <c r="C78" s="1" t="s">
        <v>41</v>
      </c>
      <c r="D78" s="12">
        <f t="shared" ref="D78:L78" si="41">D$3/D19</f>
        <v>13.331875994072597</v>
      </c>
      <c r="E78" s="12">
        <f t="shared" si="41"/>
        <v>17.70689756249449</v>
      </c>
      <c r="F78" s="12">
        <f t="shared" si="41"/>
        <v>21.605788604788689</v>
      </c>
      <c r="G78" s="12">
        <f t="shared" si="41"/>
        <v>24.86519128022848</v>
      </c>
      <c r="H78" s="12">
        <f t="shared" si="41"/>
        <v>26.866354340527064</v>
      </c>
      <c r="I78" s="12">
        <f t="shared" si="41"/>
        <v>28.30915588765988</v>
      </c>
      <c r="J78" s="12">
        <f t="shared" si="41"/>
        <v>29.354325668014681</v>
      </c>
      <c r="K78" s="12" t="e">
        <f t="shared" si="41"/>
        <v>#DIV/0!</v>
      </c>
      <c r="L78" s="12" t="e">
        <f t="shared" si="41"/>
        <v>#DIV/0!</v>
      </c>
    </row>
    <row r="79" spans="3:12" x14ac:dyDescent="0.25">
      <c r="C79" s="1" t="s">
        <v>43</v>
      </c>
      <c r="D79" s="12">
        <f t="shared" ref="D79:L79" si="42">D$3/D20</f>
        <v>13.333863463665089</v>
      </c>
      <c r="E79" s="12">
        <f t="shared" si="42"/>
        <v>17.724497917467669</v>
      </c>
      <c r="F79" s="12">
        <f t="shared" si="42"/>
        <v>21.867949676565711</v>
      </c>
      <c r="G79" s="12">
        <f t="shared" si="42"/>
        <v>24.894395123086397</v>
      </c>
      <c r="H79" s="12">
        <f t="shared" si="42"/>
        <v>26.870035238227466</v>
      </c>
      <c r="I79" s="12">
        <f t="shared" si="42"/>
        <v>28.127270681472041</v>
      </c>
      <c r="J79" s="12">
        <f t="shared" si="42"/>
        <v>29.355614651841403</v>
      </c>
      <c r="K79" s="12" t="e">
        <f t="shared" si="42"/>
        <v>#DIV/0!</v>
      </c>
      <c r="L79" s="12" t="e">
        <f t="shared" si="42"/>
        <v>#DIV/0!</v>
      </c>
    </row>
    <row r="80" spans="3:12" x14ac:dyDescent="0.25">
      <c r="C80" s="1" t="s">
        <v>8</v>
      </c>
      <c r="D80" s="12">
        <f t="shared" ref="D80:L80" si="43">D$3/D21</f>
        <v>23.82903613771013</v>
      </c>
      <c r="E80" s="12">
        <f t="shared" si="43"/>
        <v>24.314972322446113</v>
      </c>
      <c r="F80" s="12">
        <f t="shared" si="43"/>
        <v>23.996960902823201</v>
      </c>
      <c r="G80" s="12">
        <f t="shared" si="43"/>
        <v>24.034022447340234</v>
      </c>
      <c r="H80" s="12">
        <f t="shared" si="43"/>
        <v>24.07159872201062</v>
      </c>
      <c r="I80" s="12">
        <f t="shared" si="43"/>
        <v>24.062504030313118</v>
      </c>
      <c r="J80" s="12">
        <f t="shared" si="43"/>
        <v>24.281458864468853</v>
      </c>
      <c r="K80" s="12" t="e">
        <f t="shared" si="43"/>
        <v>#DIV/0!</v>
      </c>
      <c r="L80" s="12" t="e">
        <f t="shared" si="43"/>
        <v>#DIV/0!</v>
      </c>
    </row>
    <row r="81" spans="3:12" x14ac:dyDescent="0.25">
      <c r="C81" s="1" t="s">
        <v>37</v>
      </c>
      <c r="D81" s="12">
        <f t="shared" ref="D81:L81" si="44">D$3/D22</f>
        <v>24.29615115858935</v>
      </c>
      <c r="E81" s="12">
        <f t="shared" si="44"/>
        <v>24.859515009642319</v>
      </c>
      <c r="F81" s="12">
        <f t="shared" si="44"/>
        <v>24.290503266550115</v>
      </c>
      <c r="G81" s="12">
        <f t="shared" si="44"/>
        <v>23.894893051616879</v>
      </c>
      <c r="H81" s="12">
        <f t="shared" si="44"/>
        <v>23.995284163163152</v>
      </c>
      <c r="I81" s="12">
        <f t="shared" si="44"/>
        <v>23.933435256224115</v>
      </c>
      <c r="J81" s="12" t="e">
        <f t="shared" si="44"/>
        <v>#DIV/0!</v>
      </c>
      <c r="K81" s="12" t="e">
        <f t="shared" si="44"/>
        <v>#DIV/0!</v>
      </c>
      <c r="L81" s="12" t="e">
        <f t="shared" si="44"/>
        <v>#DIV/0!</v>
      </c>
    </row>
    <row r="82" spans="3:12" x14ac:dyDescent="0.25">
      <c r="C82" s="1" t="s">
        <v>42</v>
      </c>
      <c r="D82" s="12">
        <f t="shared" ref="D82:L82" si="45">D$3/D23</f>
        <v>23.951571346757596</v>
      </c>
      <c r="E82" s="12">
        <f t="shared" si="45"/>
        <v>24.246216605116341</v>
      </c>
      <c r="F82" s="12">
        <f t="shared" si="45"/>
        <v>23.846063653856845</v>
      </c>
      <c r="G82" s="12">
        <f t="shared" si="45"/>
        <v>23.923639764944916</v>
      </c>
      <c r="H82" s="12">
        <f t="shared" si="45"/>
        <v>23.933714832022144</v>
      </c>
      <c r="I82" s="12">
        <f t="shared" si="45"/>
        <v>24.023892807318241</v>
      </c>
      <c r="J82" s="12">
        <f t="shared" si="45"/>
        <v>24.156188756969033</v>
      </c>
      <c r="K82" s="12" t="e">
        <f t="shared" si="45"/>
        <v>#DIV/0!</v>
      </c>
      <c r="L82" s="12" t="e">
        <f t="shared" si="45"/>
        <v>#DIV/0!</v>
      </c>
    </row>
    <row r="83" spans="3:12" x14ac:dyDescent="0.25">
      <c r="C83" s="1" t="s">
        <v>10</v>
      </c>
      <c r="D83" s="12" t="e">
        <f t="shared" ref="D83:L83" si="46">D$3/D24</f>
        <v>#DIV/0!</v>
      </c>
      <c r="E83" s="12">
        <f t="shared" si="46"/>
        <v>24.027257856477426</v>
      </c>
      <c r="F83" s="12">
        <f t="shared" si="46"/>
        <v>23.682781843141264</v>
      </c>
      <c r="G83" s="12">
        <f t="shared" si="46"/>
        <v>23.796745059518766</v>
      </c>
      <c r="H83" s="12">
        <f t="shared" si="46"/>
        <v>24.049674697138116</v>
      </c>
      <c r="I83" s="12">
        <f t="shared" si="46"/>
        <v>23.951696968876494</v>
      </c>
      <c r="J83" s="12">
        <f t="shared" si="46"/>
        <v>24.43969537590127</v>
      </c>
      <c r="K83" s="12" t="e">
        <f t="shared" si="46"/>
        <v>#DIV/0!</v>
      </c>
      <c r="L83" s="12" t="e">
        <f t="shared" si="46"/>
        <v>#DIV/0!</v>
      </c>
    </row>
    <row r="84" spans="3:12" x14ac:dyDescent="0.25">
      <c r="C84" s="1" t="s">
        <v>9</v>
      </c>
      <c r="D84" s="12">
        <f t="shared" ref="D84:L84" si="47">D$3/D25</f>
        <v>9.7356270152597624</v>
      </c>
      <c r="E84" s="12">
        <f t="shared" si="47"/>
        <v>10.288874803422392</v>
      </c>
      <c r="F84" s="12">
        <f t="shared" si="47"/>
        <v>10.02097718052822</v>
      </c>
      <c r="G84" s="12">
        <f t="shared" si="47"/>
        <v>10.034662438621629</v>
      </c>
      <c r="H84" s="12">
        <f t="shared" si="47"/>
        <v>10.109704377709219</v>
      </c>
      <c r="I84" s="12">
        <f t="shared" si="47"/>
        <v>13.384060530913917</v>
      </c>
      <c r="J84" s="12">
        <f t="shared" si="47"/>
        <v>15.596465969710119</v>
      </c>
      <c r="K84" s="12" t="e">
        <f t="shared" si="47"/>
        <v>#DIV/0!</v>
      </c>
      <c r="L84" s="12" t="e">
        <f t="shared" si="47"/>
        <v>#DIV/0!</v>
      </c>
    </row>
    <row r="85" spans="3:12" x14ac:dyDescent="0.25">
      <c r="C85" s="1" t="s">
        <v>13</v>
      </c>
      <c r="D85" s="12">
        <f t="shared" ref="D85:L85" si="48">D$3/D26</f>
        <v>14.470863128891372</v>
      </c>
      <c r="E85" s="12">
        <f t="shared" si="48"/>
        <v>14.484248631800162</v>
      </c>
      <c r="F85" s="12">
        <f t="shared" si="48"/>
        <v>14.388196551946795</v>
      </c>
      <c r="G85" s="12">
        <f t="shared" si="48"/>
        <v>14.596135999915759</v>
      </c>
      <c r="H85" s="12">
        <f t="shared" si="48"/>
        <v>14.750495604338154</v>
      </c>
      <c r="I85" s="12">
        <f t="shared" si="48"/>
        <v>14.940656866135958</v>
      </c>
      <c r="J85" s="12">
        <f t="shared" si="48"/>
        <v>15.774984235449701</v>
      </c>
      <c r="K85" s="12" t="e">
        <f t="shared" si="48"/>
        <v>#DIV/0!</v>
      </c>
      <c r="L85" s="12" t="e">
        <f t="shared" si="48"/>
        <v>#DIV/0!</v>
      </c>
    </row>
    <row r="86" spans="3:12" x14ac:dyDescent="0.25">
      <c r="C86" s="1" t="s">
        <v>14</v>
      </c>
      <c r="D86" s="12">
        <f t="shared" ref="D86:L86" si="49">D$3/D27</f>
        <v>23.475075348317645</v>
      </c>
      <c r="E86" s="12">
        <f t="shared" si="49"/>
        <v>23.723483386511322</v>
      </c>
      <c r="F86" s="12">
        <f t="shared" si="49"/>
        <v>23.253478255522584</v>
      </c>
      <c r="G86" s="12">
        <f t="shared" si="49"/>
        <v>23.397515079614163</v>
      </c>
      <c r="H86" s="12">
        <f t="shared" si="49"/>
        <v>23.486913329161627</v>
      </c>
      <c r="I86" s="12">
        <f t="shared" si="49"/>
        <v>23.48262126543225</v>
      </c>
      <c r="J86" s="12">
        <f t="shared" si="49"/>
        <v>23.801799685343884</v>
      </c>
      <c r="K86" s="12" t="e">
        <f t="shared" si="49"/>
        <v>#DIV/0!</v>
      </c>
      <c r="L86" s="12" t="e">
        <f t="shared" si="49"/>
        <v>#DIV/0!</v>
      </c>
    </row>
    <row r="91" spans="3:12" x14ac:dyDescent="0.25">
      <c r="C91" t="s">
        <v>3</v>
      </c>
    </row>
    <row r="92" spans="3:12" x14ac:dyDescent="0.25">
      <c r="C92" s="1">
        <v>50</v>
      </c>
      <c r="D92" s="2">
        <v>2</v>
      </c>
      <c r="E92" s="3">
        <v>4</v>
      </c>
      <c r="F92" s="2">
        <v>8</v>
      </c>
      <c r="G92" s="2">
        <v>16</v>
      </c>
      <c r="H92" s="2">
        <v>32</v>
      </c>
      <c r="I92" s="2">
        <v>64</v>
      </c>
      <c r="J92" s="2">
        <v>128</v>
      </c>
      <c r="K92" s="2">
        <v>256</v>
      </c>
      <c r="L92" s="2">
        <v>512</v>
      </c>
    </row>
    <row r="93" spans="3:12" x14ac:dyDescent="0.25">
      <c r="C93" s="1"/>
      <c r="D93" s="4">
        <v>42</v>
      </c>
      <c r="E93" s="4">
        <v>84</v>
      </c>
      <c r="F93" s="4">
        <v>168</v>
      </c>
      <c r="G93" s="4">
        <v>336</v>
      </c>
      <c r="H93" s="4">
        <v>672</v>
      </c>
      <c r="I93" s="4">
        <v>1344</v>
      </c>
      <c r="J93" s="4">
        <v>2688</v>
      </c>
      <c r="K93" s="4">
        <v>5376</v>
      </c>
      <c r="L93" s="4">
        <v>10752</v>
      </c>
    </row>
    <row r="94" spans="3:12" x14ac:dyDescent="0.25">
      <c r="C94" s="1" t="s">
        <v>1</v>
      </c>
      <c r="D94" s="1">
        <v>6802.043307999993</v>
      </c>
      <c r="E94" s="1">
        <v>33907.929224000007</v>
      </c>
      <c r="F94" s="1">
        <v>75921.3639460001</v>
      </c>
      <c r="G94" s="1">
        <v>343506.18500100006</v>
      </c>
      <c r="H94" s="1">
        <v>177061789.79750001</v>
      </c>
      <c r="I94" s="1">
        <v>4403729.1214319998</v>
      </c>
      <c r="J94" s="1">
        <v>80012173.96206899</v>
      </c>
      <c r="K94" s="1"/>
      <c r="L94" s="1"/>
    </row>
    <row r="95" spans="3:12" x14ac:dyDescent="0.25">
      <c r="C95" s="1" t="s">
        <v>25</v>
      </c>
      <c r="D95" s="1">
        <v>1204.4725978399988</v>
      </c>
      <c r="E95" s="1">
        <v>218.33099899999962</v>
      </c>
      <c r="F95" s="1">
        <v>257247.520972</v>
      </c>
      <c r="G95" s="1">
        <v>348390.19872100005</v>
      </c>
      <c r="H95" s="1"/>
      <c r="I95" s="1"/>
      <c r="J95" s="1"/>
      <c r="K95" s="1"/>
      <c r="L95" s="1"/>
    </row>
    <row r="96" spans="3:12" x14ac:dyDescent="0.25">
      <c r="C96" s="1" t="s">
        <v>26</v>
      </c>
      <c r="D96" s="1">
        <v>223.96212799999978</v>
      </c>
      <c r="E96" s="1">
        <v>97.412524440000055</v>
      </c>
      <c r="F96" s="1">
        <v>19.196068439999895</v>
      </c>
      <c r="G96" s="1">
        <v>1516.4671095600029</v>
      </c>
      <c r="H96" s="1">
        <v>3379.0402050399994</v>
      </c>
      <c r="I96" s="1">
        <v>1445.5508539999907</v>
      </c>
      <c r="J96" s="1">
        <v>10.375172000002548</v>
      </c>
      <c r="K96" s="1"/>
      <c r="L96" s="1"/>
    </row>
    <row r="97" spans="3:12" x14ac:dyDescent="0.25">
      <c r="C97" s="1" t="s">
        <v>27</v>
      </c>
      <c r="D97" s="1">
        <v>109.5420017600001</v>
      </c>
      <c r="E97" s="1">
        <v>40.138340999999926</v>
      </c>
      <c r="F97" s="1">
        <v>92.500806000000352</v>
      </c>
      <c r="G97" s="1">
        <v>56.711097000000017</v>
      </c>
      <c r="H97" s="1">
        <v>232.46314796000019</v>
      </c>
      <c r="I97" s="1">
        <v>13.788428000000462</v>
      </c>
      <c r="J97" s="1">
        <v>12.57156000000159</v>
      </c>
      <c r="K97" s="1"/>
      <c r="L97" s="1"/>
    </row>
    <row r="98" spans="3:12" x14ac:dyDescent="0.25">
      <c r="C98" s="1" t="s">
        <v>46</v>
      </c>
      <c r="D98" s="1">
        <v>106.07498799999983</v>
      </c>
      <c r="E98" s="1">
        <v>151.23885376000115</v>
      </c>
      <c r="F98" s="1">
        <v>147158.70841600001</v>
      </c>
      <c r="G98" s="1">
        <v>26.502400000000009</v>
      </c>
      <c r="H98" s="1"/>
      <c r="I98" s="1"/>
      <c r="J98" s="1"/>
      <c r="K98" s="1"/>
      <c r="L98" s="1"/>
    </row>
    <row r="99" spans="3:12" x14ac:dyDescent="0.25">
      <c r="C99" s="1" t="s">
        <v>29</v>
      </c>
      <c r="D99" s="1">
        <v>289.36416984000022</v>
      </c>
      <c r="E99" s="1">
        <v>92.056593639999861</v>
      </c>
      <c r="F99" s="1">
        <v>273.1038307599996</v>
      </c>
      <c r="G99" s="1">
        <v>700.00763795999819</v>
      </c>
      <c r="H99" s="1">
        <v>2999.2652168400023</v>
      </c>
      <c r="I99" s="1">
        <v>9108.4415919999828</v>
      </c>
      <c r="J99" s="1">
        <v>7.0771540000002924</v>
      </c>
      <c r="K99" s="1"/>
      <c r="L99" s="1"/>
    </row>
    <row r="100" spans="3:12" x14ac:dyDescent="0.25">
      <c r="C100" s="1" t="s">
        <v>30</v>
      </c>
      <c r="D100" s="1">
        <v>178.3604850000001</v>
      </c>
      <c r="E100" s="1">
        <v>46.82063275999981</v>
      </c>
      <c r="F100" s="1">
        <v>154.13996100000008</v>
      </c>
      <c r="G100" s="1">
        <v>38.356706440000636</v>
      </c>
      <c r="H100" s="1">
        <v>165.54120576000102</v>
      </c>
      <c r="I100" s="1">
        <v>135.27087700000197</v>
      </c>
      <c r="J100" s="1">
        <v>43.721664000000906</v>
      </c>
      <c r="K100" s="1"/>
      <c r="L100" s="1"/>
    </row>
    <row r="101" spans="3:12" x14ac:dyDescent="0.25">
      <c r="C101" s="1" t="s">
        <v>31</v>
      </c>
      <c r="D101" s="1">
        <v>1257391.9463377625</v>
      </c>
      <c r="E101" s="1">
        <v>5648986.9815720702</v>
      </c>
      <c r="F101" s="1">
        <v>558185.32408399973</v>
      </c>
      <c r="G101" s="1">
        <v>1694.8899999999983</v>
      </c>
      <c r="H101" s="1"/>
      <c r="I101" s="1"/>
      <c r="J101" s="1"/>
      <c r="K101" s="1"/>
      <c r="L101" s="1"/>
    </row>
    <row r="102" spans="3:12" x14ac:dyDescent="0.25">
      <c r="C102" s="1" t="s">
        <v>32</v>
      </c>
      <c r="D102" s="1">
        <v>9.2714560000014306</v>
      </c>
      <c r="E102" s="1">
        <v>72072.412144000089</v>
      </c>
      <c r="F102" s="1">
        <v>7135.4800000000014</v>
      </c>
      <c r="G102" s="1">
        <v>158.17439999999991</v>
      </c>
      <c r="H102" s="1">
        <v>329.20999999999992</v>
      </c>
      <c r="I102" s="1">
        <v>9520.8063999999904</v>
      </c>
      <c r="J102" s="1">
        <v>1127536.9600000004</v>
      </c>
      <c r="K102" s="1"/>
      <c r="L102" s="1"/>
    </row>
    <row r="103" spans="3:12" x14ac:dyDescent="0.25">
      <c r="C103" s="1" t="s">
        <v>33</v>
      </c>
      <c r="D103" s="1">
        <v>0.47096115999998817</v>
      </c>
      <c r="E103" s="1">
        <v>6.6359222399999087</v>
      </c>
      <c r="F103" s="1">
        <v>29.21137795999989</v>
      </c>
      <c r="G103" s="1">
        <v>37.677763999999989</v>
      </c>
      <c r="H103" s="1">
        <v>585.18246399998088</v>
      </c>
      <c r="I103" s="1">
        <v>4848.3692039999723</v>
      </c>
      <c r="J103" s="1">
        <v>10737.815075999819</v>
      </c>
      <c r="K103" s="1"/>
      <c r="L103" s="1"/>
    </row>
    <row r="104" spans="3:12" x14ac:dyDescent="0.25">
      <c r="C104" s="1" t="s">
        <v>34</v>
      </c>
      <c r="D104" s="1">
        <v>412.62692500000026</v>
      </c>
      <c r="E104" s="1">
        <v>212.99271100000405</v>
      </c>
      <c r="F104" s="1">
        <v>437018.93871500005</v>
      </c>
      <c r="G104" s="1">
        <v>1695.8976480000008</v>
      </c>
      <c r="H104" s="1"/>
      <c r="I104" s="1"/>
      <c r="J104" s="1"/>
      <c r="K104" s="1"/>
      <c r="L104" s="1"/>
    </row>
    <row r="105" spans="3:12" x14ac:dyDescent="0.25">
      <c r="C105" s="1" t="s">
        <v>35</v>
      </c>
      <c r="D105" s="1">
        <v>90.546411959999759</v>
      </c>
      <c r="E105" s="1">
        <v>198.9072239999999</v>
      </c>
      <c r="F105" s="1">
        <v>89.381751959999605</v>
      </c>
      <c r="G105" s="1">
        <v>37.103234239999956</v>
      </c>
      <c r="H105" s="1">
        <v>33.167292559997605</v>
      </c>
      <c r="I105" s="1">
        <v>15.506873000000056</v>
      </c>
      <c r="J105" s="1"/>
      <c r="K105" s="1"/>
      <c r="L105" s="1"/>
    </row>
    <row r="106" spans="3:12" x14ac:dyDescent="0.25">
      <c r="C106" s="1" t="s">
        <v>36</v>
      </c>
      <c r="D106" s="1">
        <v>11.160347560000027</v>
      </c>
      <c r="E106" s="1">
        <v>239.0093077600001</v>
      </c>
      <c r="F106" s="1">
        <v>119.00381863999979</v>
      </c>
      <c r="G106" s="1">
        <v>44.753102759999209</v>
      </c>
      <c r="H106" s="1">
        <v>51.436712560000323</v>
      </c>
      <c r="I106" s="1">
        <v>29.930643000000746</v>
      </c>
      <c r="J106" s="1"/>
      <c r="K106" s="1"/>
      <c r="L106" s="1"/>
    </row>
    <row r="107" spans="3:12" x14ac:dyDescent="0.25">
      <c r="C107" s="1" t="s">
        <v>38</v>
      </c>
      <c r="D107" s="1">
        <v>148.25462196000007</v>
      </c>
      <c r="E107" s="1">
        <v>192.22049000000058</v>
      </c>
      <c r="F107" s="1">
        <v>693540.52362200012</v>
      </c>
      <c r="G107" s="1">
        <v>398.16509699999983</v>
      </c>
      <c r="H107" s="1"/>
      <c r="I107" s="1"/>
      <c r="J107" s="1"/>
      <c r="K107" s="1"/>
      <c r="L107" s="1"/>
    </row>
    <row r="108" spans="3:12" x14ac:dyDescent="0.25">
      <c r="C108" s="1" t="s">
        <v>39</v>
      </c>
      <c r="D108" s="1">
        <v>17.738322840000034</v>
      </c>
      <c r="E108" s="1">
        <v>82.303956640000408</v>
      </c>
      <c r="F108" s="1">
        <v>118.37352999999976</v>
      </c>
      <c r="G108" s="1">
        <v>48.992691440000939</v>
      </c>
      <c r="H108" s="1">
        <v>24.791589039999614</v>
      </c>
      <c r="I108" s="1">
        <v>21.135352000002356</v>
      </c>
      <c r="J108" s="1"/>
      <c r="K108" s="1"/>
      <c r="L108" s="1"/>
    </row>
    <row r="109" spans="3:12" x14ac:dyDescent="0.25">
      <c r="C109" s="1" t="s">
        <v>40</v>
      </c>
      <c r="D109" s="1">
        <v>138.83203356000001</v>
      </c>
      <c r="E109" s="1">
        <v>1246.5237855600005</v>
      </c>
      <c r="F109" s="1">
        <v>632.43053444000054</v>
      </c>
      <c r="G109" s="1">
        <v>48.628829160000102</v>
      </c>
      <c r="H109" s="1">
        <v>147024.39368124004</v>
      </c>
      <c r="I109" s="1">
        <v>72003.223130000086</v>
      </c>
      <c r="J109" s="1"/>
      <c r="K109" s="1"/>
      <c r="L109" s="1"/>
    </row>
    <row r="110" spans="3:12" x14ac:dyDescent="0.25">
      <c r="C110" s="1" t="s">
        <v>41</v>
      </c>
      <c r="D110" s="1">
        <v>41.557098639999943</v>
      </c>
      <c r="E110" s="1">
        <v>211.48204336000018</v>
      </c>
      <c r="F110" s="1">
        <v>17.613280240000186</v>
      </c>
      <c r="G110" s="1">
        <v>59.63476675999938</v>
      </c>
      <c r="H110" s="1">
        <v>188.44351504000124</v>
      </c>
      <c r="I110" s="1">
        <v>22.131183000000306</v>
      </c>
      <c r="J110" s="1">
        <v>5.3698090000000169</v>
      </c>
      <c r="K110" s="1"/>
      <c r="L110" s="1"/>
    </row>
    <row r="111" spans="3:12" x14ac:dyDescent="0.25">
      <c r="C111" s="1" t="s">
        <v>43</v>
      </c>
      <c r="D111" s="1">
        <v>119.27719200000006</v>
      </c>
      <c r="E111" s="1">
        <v>243.68144883999935</v>
      </c>
      <c r="F111" s="1">
        <v>73.998341359999586</v>
      </c>
      <c r="G111" s="1">
        <v>49.36039443999956</v>
      </c>
      <c r="H111" s="1">
        <v>169.64303984000119</v>
      </c>
      <c r="I111" s="1">
        <v>57.833075999999984</v>
      </c>
      <c r="J111" s="1">
        <v>374.71246599999824</v>
      </c>
      <c r="K111" s="1"/>
      <c r="L111" s="1"/>
    </row>
    <row r="112" spans="3:12" x14ac:dyDescent="0.25">
      <c r="C112" s="1" t="s">
        <v>8</v>
      </c>
      <c r="D112" s="1">
        <v>1653.8280197555996</v>
      </c>
      <c r="E112" s="1">
        <v>1627.9610968400002</v>
      </c>
      <c r="F112" s="1">
        <v>455.93194096000059</v>
      </c>
      <c r="G112" s="1">
        <v>504.89507500000229</v>
      </c>
      <c r="H112" s="1">
        <v>448.4143128400006</v>
      </c>
      <c r="I112" s="1">
        <v>922.85496200000148</v>
      </c>
      <c r="J112" s="1">
        <v>15568.27970299996</v>
      </c>
      <c r="K112" s="1"/>
      <c r="L112" s="1"/>
    </row>
    <row r="113" spans="3:12" x14ac:dyDescent="0.25">
      <c r="C113" s="1" t="s">
        <v>37</v>
      </c>
      <c r="D113" s="1">
        <v>1125.0840324724002</v>
      </c>
      <c r="E113" s="1">
        <v>136.09953324000011</v>
      </c>
      <c r="F113" s="1">
        <v>572.23754000000008</v>
      </c>
      <c r="G113" s="1">
        <v>274.45101543999931</v>
      </c>
      <c r="H113" s="1">
        <v>296.30705723999847</v>
      </c>
      <c r="I113" s="1">
        <v>2317.0873350000002</v>
      </c>
      <c r="J113" s="1"/>
      <c r="K113" s="1"/>
      <c r="L113" s="1"/>
    </row>
    <row r="114" spans="3:12" x14ac:dyDescent="0.25">
      <c r="C114" s="1" t="s">
        <v>42</v>
      </c>
      <c r="D114" s="1">
        <v>1160.0955963076001</v>
      </c>
      <c r="E114" s="1">
        <v>1544.2069099999999</v>
      </c>
      <c r="F114" s="1">
        <v>336.66431903999984</v>
      </c>
      <c r="G114" s="1">
        <v>419.1391607600001</v>
      </c>
      <c r="H114" s="1">
        <v>602.74156436000226</v>
      </c>
      <c r="I114" s="1">
        <v>2990.9430700000048</v>
      </c>
      <c r="J114" s="1">
        <v>20096.161868000017</v>
      </c>
      <c r="K114" s="1"/>
      <c r="L114" s="1"/>
    </row>
    <row r="115" spans="3:12" x14ac:dyDescent="0.25">
      <c r="C115" s="1" t="s">
        <v>10</v>
      </c>
      <c r="D115" s="1" t="e">
        <v>#DIV/0!</v>
      </c>
      <c r="E115" s="1">
        <v>633.42138400000056</v>
      </c>
      <c r="F115" s="1">
        <v>330.30754900000085</v>
      </c>
      <c r="G115" s="1">
        <v>301.94666883999986</v>
      </c>
      <c r="H115" s="1">
        <v>4014.3245891600054</v>
      </c>
      <c r="I115" s="1">
        <v>5734.044065000001</v>
      </c>
      <c r="J115" s="1">
        <v>1545.8799219999798</v>
      </c>
      <c r="K115" s="1"/>
      <c r="L115" s="1"/>
    </row>
    <row r="116" spans="3:12" x14ac:dyDescent="0.25">
      <c r="C116" s="1" t="s">
        <v>9</v>
      </c>
      <c r="D116" s="1">
        <v>322.78392200000002</v>
      </c>
      <c r="E116" s="1">
        <v>239.33621144000031</v>
      </c>
      <c r="F116" s="1">
        <v>363.1276663599989</v>
      </c>
      <c r="G116" s="1">
        <v>682.78439000000014</v>
      </c>
      <c r="H116" s="1">
        <v>1087793.1446740003</v>
      </c>
      <c r="I116" s="1">
        <v>626616.70326600003</v>
      </c>
      <c r="J116" s="1">
        <v>20370.716296000042</v>
      </c>
      <c r="K116" s="1"/>
      <c r="L116" s="1"/>
    </row>
    <row r="117" spans="3:12" x14ac:dyDescent="0.25">
      <c r="C117" s="1" t="s">
        <v>13</v>
      </c>
      <c r="D117" s="1">
        <v>263.99015024000028</v>
      </c>
      <c r="E117" s="1">
        <v>131.70370536000007</v>
      </c>
      <c r="F117" s="1">
        <v>346.02492083999988</v>
      </c>
      <c r="G117" s="1">
        <v>1621.102336559997</v>
      </c>
      <c r="H117" s="1">
        <v>530.49904300000026</v>
      </c>
      <c r="I117" s="1">
        <v>664.23415500000442</v>
      </c>
      <c r="J117" s="1">
        <v>753568.69238999998</v>
      </c>
      <c r="K117" s="1"/>
      <c r="L117" s="1"/>
    </row>
    <row r="118" spans="3:12" x14ac:dyDescent="0.25">
      <c r="C118" s="1" t="s">
        <v>14</v>
      </c>
      <c r="D118" s="1">
        <v>220.43460759560003</v>
      </c>
      <c r="E118" s="1">
        <v>169.77124763999979</v>
      </c>
      <c r="F118" s="1">
        <v>517.86842815999944</v>
      </c>
      <c r="G118" s="1">
        <v>129.36776500000022</v>
      </c>
      <c r="H118" s="1">
        <v>3307.3775796400046</v>
      </c>
      <c r="I118" s="1">
        <v>15144.172698000011</v>
      </c>
      <c r="J118" s="1">
        <v>55007.059722999977</v>
      </c>
      <c r="K118" s="1"/>
      <c r="L118" s="1"/>
    </row>
    <row r="119" spans="3:12" x14ac:dyDescent="0.25">
      <c r="E119" s="110"/>
    </row>
    <row r="120" spans="3:12" x14ac:dyDescent="0.25">
      <c r="C120" t="s">
        <v>15</v>
      </c>
      <c r="D120">
        <v>1.96</v>
      </c>
      <c r="E120" s="110">
        <v>50</v>
      </c>
    </row>
    <row r="121" spans="3:12" x14ac:dyDescent="0.25">
      <c r="C121" s="1">
        <v>50</v>
      </c>
      <c r="D121" s="2">
        <v>2</v>
      </c>
      <c r="E121" s="3">
        <v>4</v>
      </c>
      <c r="F121" s="2">
        <v>8</v>
      </c>
      <c r="G121" s="2">
        <v>16</v>
      </c>
      <c r="H121" s="2">
        <v>32</v>
      </c>
      <c r="I121" s="2">
        <v>64</v>
      </c>
      <c r="J121" s="2">
        <v>128</v>
      </c>
      <c r="K121" s="2">
        <v>256</v>
      </c>
      <c r="L121" s="2">
        <v>512</v>
      </c>
    </row>
    <row r="122" spans="3:12" x14ac:dyDescent="0.25">
      <c r="C122" s="1"/>
      <c r="D122" s="4">
        <v>42</v>
      </c>
      <c r="E122" s="4">
        <v>84</v>
      </c>
      <c r="F122" s="4">
        <v>168</v>
      </c>
      <c r="G122" s="4">
        <v>336</v>
      </c>
      <c r="H122" s="4">
        <v>672</v>
      </c>
      <c r="I122" s="4">
        <v>1344</v>
      </c>
      <c r="J122" s="4">
        <v>2688</v>
      </c>
      <c r="K122" s="4">
        <v>5376</v>
      </c>
      <c r="L122" s="4">
        <v>10752</v>
      </c>
    </row>
    <row r="123" spans="3:12" x14ac:dyDescent="0.25">
      <c r="C123" s="1" t="s">
        <v>1</v>
      </c>
      <c r="D123" s="1">
        <f>$D$120*SQRT(D94)/SQRT($E$120)</f>
        <v>22.860765329276603</v>
      </c>
      <c r="E123" s="1">
        <f t="shared" ref="E123:L123" si="50">$D$120*SQRT(E94)/SQRT($E$120)</f>
        <v>51.041297183147378</v>
      </c>
      <c r="F123" s="1">
        <f t="shared" si="50"/>
        <v>76.375324776390173</v>
      </c>
      <c r="G123" s="1">
        <f t="shared" si="50"/>
        <v>162.45697032136491</v>
      </c>
      <c r="H123" s="1">
        <f t="shared" si="50"/>
        <v>3688.3616191639235</v>
      </c>
      <c r="I123" s="1">
        <f t="shared" si="50"/>
        <v>581.67629817439126</v>
      </c>
      <c r="J123" s="1">
        <f t="shared" si="50"/>
        <v>2479.4143158927041</v>
      </c>
      <c r="K123" s="1">
        <f t="shared" si="50"/>
        <v>0</v>
      </c>
      <c r="L123" s="1">
        <f t="shared" si="50"/>
        <v>0</v>
      </c>
    </row>
    <row r="124" spans="3:12" x14ac:dyDescent="0.25">
      <c r="C124" s="1" t="s">
        <v>25</v>
      </c>
      <c r="D124" s="1">
        <f t="shared" ref="D124:L124" si="51">$D$120*SQRT(D95)/SQRT($E$120)</f>
        <v>9.6198772672650446</v>
      </c>
      <c r="E124" s="1">
        <f t="shared" si="51"/>
        <v>4.0957059605357378</v>
      </c>
      <c r="F124" s="1">
        <f t="shared" si="51"/>
        <v>140.58748710792401</v>
      </c>
      <c r="G124" s="1">
        <f t="shared" si="51"/>
        <v>163.6078107797176</v>
      </c>
      <c r="H124" s="1">
        <f t="shared" si="51"/>
        <v>0</v>
      </c>
      <c r="I124" s="1">
        <f t="shared" si="51"/>
        <v>0</v>
      </c>
      <c r="J124" s="1">
        <f t="shared" si="51"/>
        <v>0</v>
      </c>
      <c r="K124" s="1">
        <f t="shared" si="51"/>
        <v>0</v>
      </c>
      <c r="L124" s="1">
        <f t="shared" si="51"/>
        <v>0</v>
      </c>
    </row>
    <row r="125" spans="3:12" x14ac:dyDescent="0.25">
      <c r="C125" s="1" t="s">
        <v>26</v>
      </c>
      <c r="D125" s="1">
        <f t="shared" ref="D125:L125" si="52">$D$120*SQRT(D96)/SQRT($E$120)</f>
        <v>4.148187341296917</v>
      </c>
      <c r="E125" s="1">
        <f t="shared" si="52"/>
        <v>2.7357629790926854</v>
      </c>
      <c r="F125" s="1">
        <f t="shared" si="52"/>
        <v>1.2144432182617975</v>
      </c>
      <c r="G125" s="1">
        <f t="shared" si="52"/>
        <v>10.794128077881702</v>
      </c>
      <c r="H125" s="1">
        <f t="shared" si="52"/>
        <v>16.112678766537648</v>
      </c>
      <c r="I125" s="1">
        <f t="shared" si="52"/>
        <v>10.5387173419979</v>
      </c>
      <c r="J125" s="1">
        <f t="shared" si="52"/>
        <v>0.89282989147104375</v>
      </c>
      <c r="K125" s="1">
        <f t="shared" si="52"/>
        <v>0</v>
      </c>
      <c r="L125" s="1">
        <f t="shared" si="52"/>
        <v>0</v>
      </c>
    </row>
    <row r="126" spans="3:12" x14ac:dyDescent="0.25">
      <c r="C126" s="1" t="s">
        <v>27</v>
      </c>
      <c r="D126" s="1">
        <f t="shared" ref="D126:L126" si="53">$D$120*SQRT(D97)/SQRT($E$120)</f>
        <v>2.9010913600271757</v>
      </c>
      <c r="E126" s="1">
        <f t="shared" si="53"/>
        <v>1.756106208551178</v>
      </c>
      <c r="F126" s="1">
        <f t="shared" si="53"/>
        <v>2.6658998343133646</v>
      </c>
      <c r="G126" s="1">
        <f t="shared" si="53"/>
        <v>2.0873971842234531</v>
      </c>
      <c r="H126" s="1">
        <f t="shared" si="53"/>
        <v>4.2261813240871167</v>
      </c>
      <c r="I126" s="1">
        <f t="shared" si="53"/>
        <v>1.0292679437814214</v>
      </c>
      <c r="J126" s="1">
        <f t="shared" si="53"/>
        <v>0.98280114871733948</v>
      </c>
      <c r="K126" s="1">
        <f t="shared" si="53"/>
        <v>0</v>
      </c>
      <c r="L126" s="1">
        <f t="shared" si="53"/>
        <v>0</v>
      </c>
    </row>
    <row r="127" spans="3:12" x14ac:dyDescent="0.25">
      <c r="C127" s="1" t="s">
        <v>46</v>
      </c>
      <c r="D127" s="1">
        <f t="shared" ref="D127:L127" si="54">$D$120*SQRT(D98)/SQRT($E$120)</f>
        <v>2.8548123367422922</v>
      </c>
      <c r="E127" s="1">
        <f t="shared" si="54"/>
        <v>3.4088097060540656</v>
      </c>
      <c r="F127" s="1">
        <f t="shared" si="54"/>
        <v>106.33201721503318</v>
      </c>
      <c r="G127" s="1">
        <f t="shared" si="54"/>
        <v>1.4269661512453617</v>
      </c>
      <c r="H127" s="1">
        <f t="shared" si="54"/>
        <v>0</v>
      </c>
      <c r="I127" s="1">
        <f t="shared" si="54"/>
        <v>0</v>
      </c>
      <c r="J127" s="1">
        <f t="shared" si="54"/>
        <v>0</v>
      </c>
      <c r="K127" s="1">
        <f t="shared" si="54"/>
        <v>0</v>
      </c>
      <c r="L127" s="1">
        <f t="shared" si="54"/>
        <v>0</v>
      </c>
    </row>
    <row r="128" spans="3:12" x14ac:dyDescent="0.25">
      <c r="C128" s="1" t="s">
        <v>29</v>
      </c>
      <c r="D128" s="1">
        <f t="shared" ref="D128:L128" si="55">$D$120*SQRT(D99)/SQRT($E$120)</f>
        <v>4.7151275589475725</v>
      </c>
      <c r="E128" s="1">
        <f t="shared" si="55"/>
        <v>2.6594909668108424</v>
      </c>
      <c r="F128" s="1">
        <f t="shared" si="55"/>
        <v>4.5807328589377798</v>
      </c>
      <c r="G128" s="1">
        <f t="shared" si="55"/>
        <v>7.3336884880490105</v>
      </c>
      <c r="H128" s="1">
        <f t="shared" si="55"/>
        <v>15.180235345351237</v>
      </c>
      <c r="I128" s="1">
        <f t="shared" si="55"/>
        <v>26.454107136634619</v>
      </c>
      <c r="J128" s="1">
        <f t="shared" si="55"/>
        <v>0.73739534588172062</v>
      </c>
      <c r="K128" s="1">
        <f t="shared" si="55"/>
        <v>0</v>
      </c>
      <c r="L128" s="1">
        <f t="shared" si="55"/>
        <v>0</v>
      </c>
    </row>
    <row r="129" spans="3:12" x14ac:dyDescent="0.25">
      <c r="C129" s="1" t="s">
        <v>30</v>
      </c>
      <c r="D129" s="1">
        <f t="shared" ref="D129:L129" si="56">$D$120*SQRT(D100)/SQRT($E$120)</f>
        <v>3.7018634204303114</v>
      </c>
      <c r="E129" s="1">
        <f t="shared" si="56"/>
        <v>1.8966609755610793</v>
      </c>
      <c r="F129" s="1">
        <f t="shared" si="56"/>
        <v>3.4413487884188672</v>
      </c>
      <c r="G129" s="1">
        <f t="shared" si="56"/>
        <v>1.7166893921726576</v>
      </c>
      <c r="H129" s="1">
        <f t="shared" si="56"/>
        <v>3.5663513456966629</v>
      </c>
      <c r="I129" s="1">
        <f t="shared" si="56"/>
        <v>3.2238380886242024</v>
      </c>
      <c r="J129" s="1">
        <f t="shared" si="56"/>
        <v>1.8328182911702047</v>
      </c>
      <c r="K129" s="1">
        <f t="shared" si="56"/>
        <v>0</v>
      </c>
      <c r="L129" s="1">
        <f t="shared" si="56"/>
        <v>0</v>
      </c>
    </row>
    <row r="130" spans="3:12" x14ac:dyDescent="0.25">
      <c r="C130" s="1" t="s">
        <v>31</v>
      </c>
      <c r="D130" s="1">
        <f t="shared" ref="D130:L130" si="57">$D$120*SQRT(D101)/SQRT($E$120)</f>
        <v>310.81817517806604</v>
      </c>
      <c r="E130" s="1">
        <f t="shared" si="57"/>
        <v>658.80419531765665</v>
      </c>
      <c r="F130" s="1">
        <f t="shared" si="57"/>
        <v>207.09054739418184</v>
      </c>
      <c r="G130" s="1">
        <f t="shared" si="57"/>
        <v>11.411476174448241</v>
      </c>
      <c r="H130" s="1">
        <f t="shared" si="57"/>
        <v>0</v>
      </c>
      <c r="I130" s="1">
        <f t="shared" si="57"/>
        <v>0</v>
      </c>
      <c r="J130" s="1">
        <f t="shared" si="57"/>
        <v>0</v>
      </c>
      <c r="K130" s="1">
        <f t="shared" si="57"/>
        <v>0</v>
      </c>
      <c r="L130" s="1">
        <f t="shared" si="57"/>
        <v>0</v>
      </c>
    </row>
    <row r="131" spans="3:12" x14ac:dyDescent="0.25">
      <c r="C131" s="1" t="s">
        <v>32</v>
      </c>
      <c r="D131" s="1">
        <f t="shared" ref="D131:L131" si="58">$D$120*SQRT(D102)/SQRT($E$120)</f>
        <v>0.84400503990918785</v>
      </c>
      <c r="E131" s="1">
        <f t="shared" si="58"/>
        <v>74.41416242791297</v>
      </c>
      <c r="F131" s="1">
        <f t="shared" si="58"/>
        <v>23.414380183126777</v>
      </c>
      <c r="G131" s="1">
        <f t="shared" si="58"/>
        <v>3.4860945914877282</v>
      </c>
      <c r="H131" s="1">
        <f t="shared" si="58"/>
        <v>5.029300420535642</v>
      </c>
      <c r="I131" s="1">
        <f t="shared" si="58"/>
        <v>27.046304688899724</v>
      </c>
      <c r="J131" s="1">
        <f t="shared" si="58"/>
        <v>294.33130942990084</v>
      </c>
      <c r="K131" s="1">
        <f t="shared" si="58"/>
        <v>0</v>
      </c>
      <c r="L131" s="1">
        <f t="shared" si="58"/>
        <v>0</v>
      </c>
    </row>
    <row r="132" spans="3:12" x14ac:dyDescent="0.25">
      <c r="C132" s="1" t="s">
        <v>33</v>
      </c>
      <c r="D132" s="1">
        <f t="shared" ref="D132:L132" si="59">$D$120*SQRT(D103)/SQRT($E$120)</f>
        <v>0.19022325789744818</v>
      </c>
      <c r="E132" s="1">
        <f t="shared" si="59"/>
        <v>0.71403863869098361</v>
      </c>
      <c r="F132" s="1">
        <f t="shared" si="59"/>
        <v>1.4981216877886494</v>
      </c>
      <c r="G132" s="1">
        <f t="shared" si="59"/>
        <v>1.7014282128987981</v>
      </c>
      <c r="H132" s="1">
        <f t="shared" si="59"/>
        <v>6.7052769572961362</v>
      </c>
      <c r="I132" s="1">
        <f t="shared" si="59"/>
        <v>19.300515606628903</v>
      </c>
      <c r="J132" s="1">
        <f t="shared" si="59"/>
        <v>28.722949150796094</v>
      </c>
      <c r="K132" s="1">
        <f t="shared" si="59"/>
        <v>0</v>
      </c>
      <c r="L132" s="1">
        <f t="shared" si="59"/>
        <v>0</v>
      </c>
    </row>
    <row r="133" spans="3:12" x14ac:dyDescent="0.25">
      <c r="C133" s="1" t="s">
        <v>34</v>
      </c>
      <c r="D133" s="1">
        <f t="shared" ref="D133:L133" si="60">$D$120*SQRT(D104)/SQRT($E$120)</f>
        <v>5.6305374434062694</v>
      </c>
      <c r="E133" s="1">
        <f t="shared" si="60"/>
        <v>4.0453251997277437</v>
      </c>
      <c r="F133" s="1">
        <f t="shared" si="60"/>
        <v>183.24038610347577</v>
      </c>
      <c r="G133" s="1">
        <f t="shared" si="60"/>
        <v>11.414867852548099</v>
      </c>
      <c r="H133" s="1">
        <f t="shared" si="60"/>
        <v>0</v>
      </c>
      <c r="I133" s="1">
        <f t="shared" si="60"/>
        <v>0</v>
      </c>
      <c r="J133" s="1">
        <f t="shared" si="60"/>
        <v>0</v>
      </c>
      <c r="K133" s="1">
        <f t="shared" si="60"/>
        <v>0</v>
      </c>
      <c r="L133" s="1">
        <f t="shared" si="60"/>
        <v>0</v>
      </c>
    </row>
    <row r="134" spans="3:12" x14ac:dyDescent="0.25">
      <c r="C134" s="1" t="s">
        <v>35</v>
      </c>
      <c r="D134" s="1">
        <f t="shared" ref="D134:L134" si="61">$D$120*SQRT(D105)/SQRT($E$120)</f>
        <v>2.6375863822272629</v>
      </c>
      <c r="E134" s="1">
        <f t="shared" si="61"/>
        <v>3.9092761266464651</v>
      </c>
      <c r="F134" s="1">
        <f t="shared" si="61"/>
        <v>2.6205684052492679</v>
      </c>
      <c r="G134" s="1">
        <f t="shared" si="61"/>
        <v>1.688406258318085</v>
      </c>
      <c r="H134" s="1">
        <f t="shared" si="61"/>
        <v>1.5963425139893179</v>
      </c>
      <c r="I134" s="1">
        <f t="shared" si="61"/>
        <v>1.0915237360387562</v>
      </c>
      <c r="J134" s="1">
        <f t="shared" si="61"/>
        <v>0</v>
      </c>
      <c r="K134" s="1">
        <f t="shared" si="61"/>
        <v>0</v>
      </c>
      <c r="L134" s="1">
        <f t="shared" si="61"/>
        <v>0</v>
      </c>
    </row>
    <row r="135" spans="3:12" x14ac:dyDescent="0.25">
      <c r="C135" s="1" t="s">
        <v>36</v>
      </c>
      <c r="D135" s="1">
        <f t="shared" ref="D135:L135" si="62">$D$120*SQRT(D106)/SQRT($E$120)</f>
        <v>0.92599774499181253</v>
      </c>
      <c r="E135" s="1">
        <f t="shared" si="62"/>
        <v>4.285272819064887</v>
      </c>
      <c r="F135" s="1">
        <f t="shared" si="62"/>
        <v>3.0237892442676064</v>
      </c>
      <c r="G135" s="1">
        <f t="shared" si="62"/>
        <v>1.8543112983682808</v>
      </c>
      <c r="H135" s="1">
        <f t="shared" si="62"/>
        <v>1.9879601352667875</v>
      </c>
      <c r="I135" s="1">
        <f t="shared" si="62"/>
        <v>1.5164534819690503</v>
      </c>
      <c r="J135" s="1">
        <f t="shared" si="62"/>
        <v>0</v>
      </c>
      <c r="K135" s="1">
        <f t="shared" si="62"/>
        <v>0</v>
      </c>
      <c r="L135" s="1">
        <f t="shared" si="62"/>
        <v>0</v>
      </c>
    </row>
    <row r="136" spans="3:12" x14ac:dyDescent="0.25">
      <c r="C136" s="1" t="s">
        <v>38</v>
      </c>
      <c r="D136" s="1">
        <f t="shared" ref="D136:L136" si="63">$D$120*SQRT(D107)/SQRT($E$120)</f>
        <v>3.3750109798978021</v>
      </c>
      <c r="E136" s="1">
        <f t="shared" si="63"/>
        <v>3.8430046432030291</v>
      </c>
      <c r="F136" s="1">
        <f t="shared" si="63"/>
        <v>230.83783379447465</v>
      </c>
      <c r="G136" s="1">
        <f t="shared" si="63"/>
        <v>5.5309873198827697</v>
      </c>
      <c r="H136" s="1">
        <f t="shared" si="63"/>
        <v>0</v>
      </c>
      <c r="I136" s="1">
        <f t="shared" si="63"/>
        <v>0</v>
      </c>
      <c r="J136" s="1">
        <f t="shared" si="63"/>
        <v>0</v>
      </c>
      <c r="K136" s="1">
        <f t="shared" si="63"/>
        <v>0</v>
      </c>
      <c r="L136" s="1">
        <f t="shared" si="63"/>
        <v>0</v>
      </c>
    </row>
    <row r="137" spans="3:12" x14ac:dyDescent="0.25">
      <c r="C137" s="1" t="s">
        <v>39</v>
      </c>
      <c r="D137" s="1">
        <f t="shared" ref="D137:L137" si="64">$D$120*SQRT(D108)/SQRT($E$120)</f>
        <v>1.1674205842124261</v>
      </c>
      <c r="E137" s="1">
        <f t="shared" si="64"/>
        <v>2.514672463078345</v>
      </c>
      <c r="F137" s="1">
        <f t="shared" si="64"/>
        <v>3.0157710551300112</v>
      </c>
      <c r="G137" s="1">
        <f t="shared" si="64"/>
        <v>1.9401563000743398</v>
      </c>
      <c r="H137" s="1">
        <f t="shared" si="64"/>
        <v>1.3801403439944975</v>
      </c>
      <c r="I137" s="1">
        <f t="shared" si="64"/>
        <v>1.2743121143833567</v>
      </c>
      <c r="J137" s="1">
        <f t="shared" si="64"/>
        <v>0</v>
      </c>
      <c r="K137" s="1">
        <f t="shared" si="64"/>
        <v>0</v>
      </c>
      <c r="L137" s="1">
        <f t="shared" si="64"/>
        <v>0</v>
      </c>
    </row>
    <row r="138" spans="3:12" x14ac:dyDescent="0.25">
      <c r="C138" s="1" t="s">
        <v>40</v>
      </c>
      <c r="D138" s="1">
        <f t="shared" ref="D138:L138" si="65">$D$120*SQRT(D109)/SQRT($E$120)</f>
        <v>3.265997979558763</v>
      </c>
      <c r="E138" s="1">
        <f t="shared" si="65"/>
        <v>9.7863637522905282</v>
      </c>
      <c r="F138" s="1">
        <f t="shared" si="65"/>
        <v>6.9707175256277676</v>
      </c>
      <c r="G138" s="1">
        <f t="shared" si="65"/>
        <v>1.9329382302652942</v>
      </c>
      <c r="H138" s="1">
        <f t="shared" si="65"/>
        <v>106.28348044412657</v>
      </c>
      <c r="I138" s="1">
        <f t="shared" si="65"/>
        <v>74.378435312422141</v>
      </c>
      <c r="J138" s="1">
        <f t="shared" si="65"/>
        <v>0</v>
      </c>
      <c r="K138" s="1">
        <f t="shared" si="65"/>
        <v>0</v>
      </c>
      <c r="L138" s="1">
        <f t="shared" si="65"/>
        <v>0</v>
      </c>
    </row>
    <row r="139" spans="3:12" x14ac:dyDescent="0.25">
      <c r="C139" s="1" t="s">
        <v>41</v>
      </c>
      <c r="D139" s="1">
        <f t="shared" ref="D139:L139" si="66">$D$120*SQRT(D110)/SQRT($E$120)</f>
        <v>1.7868729677032096</v>
      </c>
      <c r="E139" s="1">
        <f t="shared" si="66"/>
        <v>4.0309537773876212</v>
      </c>
      <c r="F139" s="1">
        <f t="shared" si="66"/>
        <v>1.1632985633102511</v>
      </c>
      <c r="G139" s="1">
        <f t="shared" si="66"/>
        <v>2.1405275984448955</v>
      </c>
      <c r="H139" s="1">
        <f t="shared" si="66"/>
        <v>3.8050613855171078</v>
      </c>
      <c r="I139" s="1">
        <f t="shared" si="66"/>
        <v>1.3039873666013884</v>
      </c>
      <c r="J139" s="1">
        <f t="shared" si="66"/>
        <v>0.6423185853515383</v>
      </c>
      <c r="K139" s="1">
        <f t="shared" si="66"/>
        <v>0</v>
      </c>
      <c r="L139" s="1">
        <f t="shared" si="66"/>
        <v>0</v>
      </c>
    </row>
    <row r="140" spans="3:12" x14ac:dyDescent="0.25">
      <c r="C140" s="1" t="s">
        <v>43</v>
      </c>
      <c r="D140" s="1">
        <f t="shared" ref="D140:L140" si="67">$D$120*SQRT(D111)/SQRT($E$120)</f>
        <v>3.0272603481933964</v>
      </c>
      <c r="E140" s="1">
        <f t="shared" si="67"/>
        <v>4.326954249501008</v>
      </c>
      <c r="F140" s="1">
        <f t="shared" si="67"/>
        <v>2.3844161892109961</v>
      </c>
      <c r="G140" s="1">
        <f t="shared" si="67"/>
        <v>1.9474233811921962</v>
      </c>
      <c r="H140" s="1">
        <f t="shared" si="67"/>
        <v>3.6102650923425239</v>
      </c>
      <c r="I140" s="1">
        <f t="shared" si="67"/>
        <v>2.1079447087701326</v>
      </c>
      <c r="J140" s="1">
        <f t="shared" si="67"/>
        <v>5.3656228145213349</v>
      </c>
      <c r="K140" s="1">
        <f t="shared" si="67"/>
        <v>0</v>
      </c>
      <c r="L140" s="1">
        <f t="shared" si="67"/>
        <v>0</v>
      </c>
    </row>
    <row r="141" spans="3:12" x14ac:dyDescent="0.25">
      <c r="C141" s="1" t="s">
        <v>8</v>
      </c>
      <c r="D141" s="1">
        <f t="shared" ref="D141:L141" si="68">$D$120*SQRT(D112)/SQRT($E$120)</f>
        <v>11.272396125663001</v>
      </c>
      <c r="E141" s="1">
        <f t="shared" si="68"/>
        <v>11.183894983073245</v>
      </c>
      <c r="F141" s="1">
        <f t="shared" si="68"/>
        <v>5.9186284634059225</v>
      </c>
      <c r="G141" s="1">
        <f t="shared" si="68"/>
        <v>6.2283303061414594</v>
      </c>
      <c r="H141" s="1">
        <f t="shared" si="68"/>
        <v>5.8696310347519232</v>
      </c>
      <c r="I141" s="1">
        <f t="shared" si="68"/>
        <v>8.4204983486955278</v>
      </c>
      <c r="J141" s="1">
        <f t="shared" si="68"/>
        <v>34.585286844854892</v>
      </c>
      <c r="K141" s="1">
        <f t="shared" si="68"/>
        <v>0</v>
      </c>
      <c r="L141" s="1">
        <f t="shared" si="68"/>
        <v>0</v>
      </c>
    </row>
    <row r="142" spans="3:12" x14ac:dyDescent="0.25">
      <c r="C142" s="1" t="s">
        <v>37</v>
      </c>
      <c r="D142" s="1">
        <f t="shared" ref="D142:L142" si="69">$D$120*SQRT(D113)/SQRT($E$120)</f>
        <v>9.2974435401845508</v>
      </c>
      <c r="E142" s="1">
        <f t="shared" si="69"/>
        <v>3.2336974716098115</v>
      </c>
      <c r="F142" s="1">
        <f t="shared" si="69"/>
        <v>6.6306979024292758</v>
      </c>
      <c r="G142" s="1">
        <f t="shared" si="69"/>
        <v>4.592017031576213</v>
      </c>
      <c r="H142" s="1">
        <f t="shared" si="69"/>
        <v>4.7713586976733957</v>
      </c>
      <c r="I142" s="1">
        <f t="shared" si="69"/>
        <v>13.342655437457719</v>
      </c>
      <c r="J142" s="1">
        <f t="shared" si="69"/>
        <v>0</v>
      </c>
      <c r="K142" s="1">
        <f t="shared" si="69"/>
        <v>0</v>
      </c>
      <c r="L142" s="1">
        <f t="shared" si="69"/>
        <v>0</v>
      </c>
    </row>
    <row r="143" spans="3:12" x14ac:dyDescent="0.25">
      <c r="C143" s="1" t="s">
        <v>42</v>
      </c>
      <c r="D143" s="1">
        <f t="shared" ref="D143:L143" si="70">$D$120*SQRT(D114)/SQRT($E$120)</f>
        <v>9.4409991449795996</v>
      </c>
      <c r="E143" s="1">
        <f t="shared" si="70"/>
        <v>10.892405854957847</v>
      </c>
      <c r="F143" s="1">
        <f t="shared" si="70"/>
        <v>5.0859210533079722</v>
      </c>
      <c r="G143" s="1">
        <f t="shared" si="70"/>
        <v>5.6747951504448446</v>
      </c>
      <c r="H143" s="1">
        <f t="shared" si="70"/>
        <v>6.8051333471804716</v>
      </c>
      <c r="I143" s="1">
        <f t="shared" si="70"/>
        <v>15.159160199504468</v>
      </c>
      <c r="J143" s="1">
        <f t="shared" si="70"/>
        <v>39.294125625113182</v>
      </c>
      <c r="K143" s="1">
        <f t="shared" si="70"/>
        <v>0</v>
      </c>
      <c r="L143" s="1">
        <f t="shared" si="70"/>
        <v>0</v>
      </c>
    </row>
    <row r="144" spans="3:12" x14ac:dyDescent="0.25">
      <c r="C144" s="1" t="s">
        <v>10</v>
      </c>
      <c r="D144" s="1" t="e">
        <f t="shared" ref="D144:L144" si="71">$D$120*SQRT(D115)/SQRT($E$120)</f>
        <v>#DIV/0!</v>
      </c>
      <c r="E144" s="1">
        <f t="shared" si="71"/>
        <v>6.9761760137978204</v>
      </c>
      <c r="F144" s="1">
        <f t="shared" si="71"/>
        <v>5.0376770048076782</v>
      </c>
      <c r="G144" s="1">
        <f t="shared" si="71"/>
        <v>4.8165513036107965</v>
      </c>
      <c r="H144" s="1">
        <f t="shared" si="71"/>
        <v>17.562135030637407</v>
      </c>
      <c r="I144" s="1">
        <f t="shared" si="71"/>
        <v>20.989475305544918</v>
      </c>
      <c r="J144" s="1">
        <f t="shared" si="71"/>
        <v>10.898304738219721</v>
      </c>
      <c r="K144" s="1">
        <f t="shared" si="71"/>
        <v>0</v>
      </c>
      <c r="L144" s="1">
        <f t="shared" si="71"/>
        <v>0</v>
      </c>
    </row>
    <row r="145" spans="3:12" x14ac:dyDescent="0.25">
      <c r="C145" s="1" t="s">
        <v>9</v>
      </c>
      <c r="D145" s="1">
        <f t="shared" ref="D145:L145" si="72">$D$120*SQRT(D116)/SQRT($E$120)</f>
        <v>4.9799733227301521</v>
      </c>
      <c r="E145" s="1">
        <f t="shared" si="72"/>
        <v>4.2882023969675345</v>
      </c>
      <c r="F145" s="1">
        <f t="shared" si="72"/>
        <v>5.2820284798334276</v>
      </c>
      <c r="G145" s="1">
        <f t="shared" si="72"/>
        <v>7.2429062021042361</v>
      </c>
      <c r="H145" s="1">
        <f t="shared" si="72"/>
        <v>289.09742802659588</v>
      </c>
      <c r="I145" s="1">
        <f t="shared" si="72"/>
        <v>219.41789932759201</v>
      </c>
      <c r="J145" s="1">
        <f t="shared" si="72"/>
        <v>39.561633869877959</v>
      </c>
      <c r="K145" s="1">
        <f t="shared" si="72"/>
        <v>0</v>
      </c>
      <c r="L145" s="1">
        <f t="shared" si="72"/>
        <v>0</v>
      </c>
    </row>
    <row r="146" spans="3:12" x14ac:dyDescent="0.25">
      <c r="C146" s="1" t="s">
        <v>13</v>
      </c>
      <c r="D146" s="1">
        <f t="shared" ref="D146:L146" si="73">$D$120*SQRT(D117)/SQRT($E$120)</f>
        <v>4.5036530975686508</v>
      </c>
      <c r="E146" s="1">
        <f t="shared" si="73"/>
        <v>3.1810468544520885</v>
      </c>
      <c r="F146" s="1">
        <f t="shared" si="73"/>
        <v>5.1561406805845467</v>
      </c>
      <c r="G146" s="1">
        <f t="shared" si="73"/>
        <v>11.160310691131215</v>
      </c>
      <c r="H146" s="1">
        <f t="shared" si="73"/>
        <v>6.3843012516465745</v>
      </c>
      <c r="I146" s="1">
        <f t="shared" si="73"/>
        <v>7.1438392057044746</v>
      </c>
      <c r="J146" s="1">
        <f t="shared" si="73"/>
        <v>240.62042675905232</v>
      </c>
      <c r="K146" s="1">
        <f t="shared" si="73"/>
        <v>0</v>
      </c>
      <c r="L146" s="1">
        <f t="shared" si="73"/>
        <v>0</v>
      </c>
    </row>
    <row r="147" spans="3:12" x14ac:dyDescent="0.25">
      <c r="C147" s="1" t="s">
        <v>14</v>
      </c>
      <c r="D147" s="1">
        <f t="shared" ref="D147:L147" si="74">$D$120*SQRT(D118)/SQRT($E$120)</f>
        <v>4.1153896256351157</v>
      </c>
      <c r="E147" s="1">
        <f t="shared" si="74"/>
        <v>3.611629064380292</v>
      </c>
      <c r="F147" s="1">
        <f t="shared" si="74"/>
        <v>6.3078417126929454</v>
      </c>
      <c r="G147" s="1">
        <f t="shared" si="74"/>
        <v>3.1527105989100899</v>
      </c>
      <c r="H147" s="1">
        <f t="shared" si="74"/>
        <v>15.940904434783517</v>
      </c>
      <c r="I147" s="1">
        <f t="shared" si="74"/>
        <v>34.110952445405815</v>
      </c>
      <c r="J147" s="1">
        <f t="shared" si="74"/>
        <v>65.010017786780637</v>
      </c>
      <c r="K147" s="1">
        <f t="shared" si="74"/>
        <v>0</v>
      </c>
      <c r="L147" s="1">
        <f t="shared" si="74"/>
        <v>0</v>
      </c>
    </row>
  </sheetData>
  <conditionalFormatting sqref="D5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7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7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2:D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E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:F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:G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:H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:I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"/>
  <sheetViews>
    <sheetView zoomScale="115" zoomScaleNormal="115" workbookViewId="0">
      <pane xSplit="3" ySplit="2" topLeftCell="D78" activePane="bottomRight" state="frozen"/>
      <selection pane="topRight" activeCell="D1" sqref="D1"/>
      <selection pane="bottomLeft" activeCell="A3" sqref="A3"/>
      <selection pane="bottomRight" activeCell="D100" sqref="D100:J100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22</v>
      </c>
    </row>
    <row r="2" spans="1:13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</row>
    <row r="3" spans="1:13" x14ac:dyDescent="0.25">
      <c r="A3">
        <v>1</v>
      </c>
      <c r="C3" s="1" t="s">
        <v>1</v>
      </c>
      <c r="D3" s="10">
        <v>13775.68</v>
      </c>
      <c r="E3" s="10">
        <v>24819.016000000011</v>
      </c>
      <c r="F3" s="10">
        <v>47399.626000000004</v>
      </c>
      <c r="G3" s="10">
        <v>96405.03</v>
      </c>
      <c r="H3" s="10">
        <v>197567.46</v>
      </c>
      <c r="I3" s="10">
        <v>376437.82</v>
      </c>
      <c r="J3" s="10">
        <v>762594.84</v>
      </c>
      <c r="K3" s="10"/>
      <c r="L3" s="10"/>
    </row>
    <row r="4" spans="1:13" x14ac:dyDescent="0.25">
      <c r="C4" s="1" t="s">
        <v>25</v>
      </c>
      <c r="D4" s="10">
        <v>3659.4321999999997</v>
      </c>
      <c r="E4" s="10">
        <v>9339.9226000000017</v>
      </c>
      <c r="F4" s="10">
        <v>35373.252000000008</v>
      </c>
      <c r="G4" s="10">
        <v>133771.85999999999</v>
      </c>
      <c r="H4" s="10"/>
      <c r="I4" s="10"/>
      <c r="J4" s="10"/>
      <c r="K4" s="10"/>
      <c r="L4" s="10"/>
    </row>
    <row r="5" spans="1:13" x14ac:dyDescent="0.25">
      <c r="C5" s="1" t="s">
        <v>26</v>
      </c>
      <c r="D5" s="10">
        <v>1205.1710000000003</v>
      </c>
      <c r="E5" s="10">
        <v>1720.4453999999996</v>
      </c>
      <c r="F5" s="10">
        <v>2777.4121999999998</v>
      </c>
      <c r="G5" s="10">
        <v>5562.0441999999994</v>
      </c>
      <c r="H5" s="11">
        <v>9529.4333999999981</v>
      </c>
      <c r="I5" s="10">
        <v>22207.712000000007</v>
      </c>
      <c r="J5" s="10">
        <v>38945.372000000003</v>
      </c>
      <c r="K5" s="10"/>
      <c r="L5" s="10"/>
    </row>
    <row r="6" spans="1:13" x14ac:dyDescent="0.25">
      <c r="C6" s="1" t="s">
        <v>27</v>
      </c>
      <c r="D6" s="10">
        <v>1193.4461999999999</v>
      </c>
      <c r="E6" s="10">
        <v>1718.7073999999996</v>
      </c>
      <c r="F6" s="10">
        <v>2621.5021999999999</v>
      </c>
      <c r="G6" s="10">
        <v>4581.1511999999984</v>
      </c>
      <c r="H6" s="10">
        <v>7371.8841999999977</v>
      </c>
      <c r="I6" s="10">
        <v>15329.056000000006</v>
      </c>
      <c r="J6" s="10">
        <v>29967.086000000007</v>
      </c>
      <c r="K6" s="10"/>
      <c r="L6" s="10"/>
    </row>
    <row r="7" spans="1:13" x14ac:dyDescent="0.25">
      <c r="C7" s="1" t="s">
        <v>46</v>
      </c>
      <c r="D7" s="10">
        <v>3604.9408000000003</v>
      </c>
      <c r="E7" s="10">
        <v>9478.3753999999972</v>
      </c>
      <c r="F7" s="10">
        <v>35015.916000000012</v>
      </c>
      <c r="G7" s="10">
        <v>133849.20000000001</v>
      </c>
      <c r="H7" s="10"/>
      <c r="I7" s="10"/>
      <c r="J7" s="10"/>
      <c r="K7" s="10"/>
      <c r="L7" s="10"/>
    </row>
    <row r="8" spans="1:13" x14ac:dyDescent="0.25">
      <c r="C8" s="1" t="s">
        <v>29</v>
      </c>
      <c r="D8" s="10">
        <v>1181.9466</v>
      </c>
      <c r="E8" s="10">
        <v>1592.6038000000003</v>
      </c>
      <c r="F8" s="10">
        <v>2740.828</v>
      </c>
      <c r="G8" s="10">
        <v>5504.5883999999969</v>
      </c>
      <c r="H8" s="10">
        <v>11476.146400000001</v>
      </c>
      <c r="I8" s="10">
        <v>21936.873999999996</v>
      </c>
      <c r="J8" s="10">
        <v>42614.859999999993</v>
      </c>
      <c r="K8" s="10"/>
      <c r="L8" s="10"/>
    </row>
    <row r="9" spans="1:13" x14ac:dyDescent="0.25">
      <c r="C9" s="1" t="s">
        <v>30</v>
      </c>
      <c r="D9" s="10">
        <v>1188.5088000000001</v>
      </c>
      <c r="E9" s="10">
        <v>1564.9251999999999</v>
      </c>
      <c r="F9" s="10">
        <v>2627.7358000000004</v>
      </c>
      <c r="G9" s="10">
        <v>4576.1181999999981</v>
      </c>
      <c r="H9" s="10">
        <v>9043.0615999999973</v>
      </c>
      <c r="I9" s="10">
        <v>17174.572</v>
      </c>
      <c r="J9" s="10">
        <v>32164.586000000007</v>
      </c>
      <c r="K9" s="10"/>
      <c r="L9" s="9"/>
    </row>
    <row r="10" spans="1:13" x14ac:dyDescent="0.25">
      <c r="C10" s="1" t="s">
        <v>31</v>
      </c>
      <c r="D10" s="10">
        <v>5996.6821999999993</v>
      </c>
      <c r="E10" s="10">
        <v>10388.759</v>
      </c>
      <c r="F10" s="10">
        <v>25658.662</v>
      </c>
      <c r="G10" s="10">
        <v>191956.08</v>
      </c>
      <c r="H10" s="10"/>
      <c r="I10" s="10"/>
      <c r="J10" s="10"/>
      <c r="K10" s="10"/>
      <c r="L10" s="10"/>
    </row>
    <row r="11" spans="1:13" x14ac:dyDescent="0.25">
      <c r="C11" s="1" t="s">
        <v>32</v>
      </c>
      <c r="D11" s="10">
        <v>29850.118000000002</v>
      </c>
      <c r="E11" s="10">
        <v>56742.515999999974</v>
      </c>
      <c r="F11" s="10">
        <v>114161.2</v>
      </c>
      <c r="G11" s="10">
        <v>231832.44</v>
      </c>
      <c r="H11" s="10">
        <v>433399.84</v>
      </c>
      <c r="I11" s="10">
        <v>921568.96</v>
      </c>
      <c r="J11" s="10">
        <v>1752741.2</v>
      </c>
      <c r="K11" s="10"/>
      <c r="L11" s="10"/>
    </row>
    <row r="12" spans="1:13" x14ac:dyDescent="0.25">
      <c r="C12" s="1" t="s">
        <v>33</v>
      </c>
      <c r="D12" s="10">
        <v>1703.0858000000005</v>
      </c>
      <c r="E12" s="10">
        <v>3238.8465999999999</v>
      </c>
      <c r="F12" s="10">
        <v>6387.8326000000034</v>
      </c>
      <c r="G12" s="10">
        <v>11126.670000000006</v>
      </c>
      <c r="H12" s="10">
        <v>24205.906000000003</v>
      </c>
      <c r="I12" s="10">
        <v>51402.416000000012</v>
      </c>
      <c r="J12" s="10">
        <v>189955.16</v>
      </c>
      <c r="K12" s="10"/>
      <c r="L12" s="10"/>
    </row>
    <row r="13" spans="1:13" x14ac:dyDescent="0.25">
      <c r="C13" s="1" t="s">
        <v>34</v>
      </c>
      <c r="D13" s="10">
        <v>3582.0978000000005</v>
      </c>
      <c r="E13" s="10">
        <v>9321.1760000000013</v>
      </c>
      <c r="F13" s="10">
        <v>35222.210000000006</v>
      </c>
      <c r="G13" s="10">
        <v>140931.94</v>
      </c>
      <c r="H13" s="10"/>
      <c r="I13" s="10"/>
      <c r="J13" s="10" t="e">
        <v>#DIV/0!</v>
      </c>
      <c r="K13" s="10"/>
      <c r="L13" s="10"/>
    </row>
    <row r="14" spans="1:13" x14ac:dyDescent="0.25">
      <c r="C14" s="1" t="s">
        <v>35</v>
      </c>
      <c r="D14" s="10">
        <v>1198.7844</v>
      </c>
      <c r="E14" s="10">
        <v>1685.7338000000004</v>
      </c>
      <c r="F14" s="10">
        <v>2736.6656000000007</v>
      </c>
      <c r="G14" s="10">
        <v>5809.536799999998</v>
      </c>
      <c r="H14" s="10">
        <v>11665.925999999999</v>
      </c>
      <c r="I14" s="10">
        <v>22066.966000000004</v>
      </c>
      <c r="J14" s="10" t="e">
        <v>#DIV/0!</v>
      </c>
      <c r="K14" s="10"/>
      <c r="L14" s="10"/>
    </row>
    <row r="15" spans="1:13" x14ac:dyDescent="0.25">
      <c r="C15" s="1" t="s">
        <v>36</v>
      </c>
      <c r="D15" s="10">
        <v>1201.7131999999997</v>
      </c>
      <c r="E15" s="10">
        <v>1666.8357999999996</v>
      </c>
      <c r="F15" s="10">
        <v>2658.8206</v>
      </c>
      <c r="G15" s="10">
        <v>4790.7861999999986</v>
      </c>
      <c r="H15" s="10">
        <v>9009.8438000000006</v>
      </c>
      <c r="I15" s="10">
        <v>16641.203999999998</v>
      </c>
      <c r="J15" s="10" t="e">
        <v>#DIV/0!</v>
      </c>
      <c r="K15" s="10"/>
      <c r="L15" s="10"/>
    </row>
    <row r="16" spans="1:13" x14ac:dyDescent="0.25">
      <c r="C16" s="1" t="s">
        <v>38</v>
      </c>
      <c r="D16" s="10">
        <v>3561.4209999999998</v>
      </c>
      <c r="E16" s="10">
        <v>9327.857</v>
      </c>
      <c r="F16" s="10">
        <v>35469.579999999994</v>
      </c>
      <c r="G16" s="10">
        <v>116863.72</v>
      </c>
      <c r="H16" s="10"/>
      <c r="I16" s="10"/>
      <c r="J16" s="10" t="e">
        <v>#DIV/0!</v>
      </c>
      <c r="K16" s="10"/>
      <c r="L16" s="10"/>
    </row>
    <row r="17" spans="3:12" x14ac:dyDescent="0.25">
      <c r="C17" s="1" t="s">
        <v>39</v>
      </c>
      <c r="D17" s="10">
        <v>1196.1116000000002</v>
      </c>
      <c r="E17" s="10">
        <v>1724.5872000000006</v>
      </c>
      <c r="F17" s="10">
        <v>2729.0976000000001</v>
      </c>
      <c r="G17" s="10">
        <v>4861.7164000000012</v>
      </c>
      <c r="H17" s="10">
        <v>11861.754000000006</v>
      </c>
      <c r="I17" s="10">
        <v>22054.341999999997</v>
      </c>
      <c r="J17" s="10" t="e">
        <v>#DIV/0!</v>
      </c>
      <c r="K17" s="10"/>
      <c r="L17" s="10"/>
    </row>
    <row r="18" spans="3:12" x14ac:dyDescent="0.25">
      <c r="C18" s="1" t="s">
        <v>40</v>
      </c>
      <c r="D18" s="10">
        <v>1181.1061999999999</v>
      </c>
      <c r="E18" s="10">
        <v>1693.6087999999997</v>
      </c>
      <c r="F18" s="10">
        <v>2630.1166000000007</v>
      </c>
      <c r="G18" s="10">
        <v>4023.7572000000009</v>
      </c>
      <c r="H18" s="10">
        <v>9454.3273999999983</v>
      </c>
      <c r="I18" s="10">
        <v>16626.426000000003</v>
      </c>
      <c r="J18" s="10" t="e">
        <v>#DIV/0!</v>
      </c>
      <c r="K18" s="10"/>
      <c r="L18" s="10"/>
    </row>
    <row r="19" spans="3:12" x14ac:dyDescent="0.25">
      <c r="C19" s="1" t="s">
        <v>41</v>
      </c>
      <c r="D19" s="10">
        <v>1205.4699999999998</v>
      </c>
      <c r="E19" s="10">
        <v>1686.3085999999996</v>
      </c>
      <c r="F19" s="10">
        <v>2651.7829999999999</v>
      </c>
      <c r="G19" s="10">
        <v>4571.162800000001</v>
      </c>
      <c r="H19" s="10">
        <v>8694.753800000004</v>
      </c>
      <c r="I19" s="10">
        <v>16569.436000000002</v>
      </c>
      <c r="J19" s="10">
        <v>30830.606</v>
      </c>
      <c r="K19" s="10"/>
      <c r="L19" s="10"/>
    </row>
    <row r="20" spans="3:12" x14ac:dyDescent="0.25">
      <c r="C20" s="1" t="s">
        <v>43</v>
      </c>
      <c r="D20" s="10">
        <v>1188.4955999999997</v>
      </c>
      <c r="E20" s="10">
        <v>1654.3996000000002</v>
      </c>
      <c r="F20" s="10">
        <v>2652.3568000000009</v>
      </c>
      <c r="G20" s="10">
        <v>4619.6548000000003</v>
      </c>
      <c r="H20" s="10">
        <v>8539.7484000000022</v>
      </c>
      <c r="I20" s="10">
        <v>17284.052000000003</v>
      </c>
      <c r="J20" s="10">
        <v>31651.699999999997</v>
      </c>
      <c r="K20" s="10"/>
      <c r="L20" s="10"/>
    </row>
    <row r="21" spans="3:12" x14ac:dyDescent="0.25">
      <c r="C21" s="1" t="s">
        <v>8</v>
      </c>
      <c r="D21" s="10">
        <v>621.49761999999987</v>
      </c>
      <c r="E21" s="10">
        <v>1148.6859999999997</v>
      </c>
      <c r="F21" s="10">
        <v>2232.3669999999988</v>
      </c>
      <c r="G21" s="10">
        <v>4529.7836000000007</v>
      </c>
      <c r="H21" s="10">
        <v>9484.4037999999964</v>
      </c>
      <c r="I21" s="10">
        <v>19648.39</v>
      </c>
      <c r="J21" s="10">
        <v>36474.402000000009</v>
      </c>
      <c r="K21" s="10"/>
      <c r="L21" s="10"/>
    </row>
    <row r="22" spans="3:12" x14ac:dyDescent="0.25">
      <c r="C22" s="1" t="s">
        <v>37</v>
      </c>
      <c r="D22" s="10">
        <v>620.47406000000001</v>
      </c>
      <c r="E22" s="10">
        <v>1149.1200000000003</v>
      </c>
      <c r="F22" s="10">
        <v>2235.8513999999996</v>
      </c>
      <c r="G22" s="10">
        <v>4777.7545999999993</v>
      </c>
      <c r="H22" s="10">
        <v>9736.994999999999</v>
      </c>
      <c r="I22" s="10">
        <v>18839.554</v>
      </c>
      <c r="J22" s="10" t="e">
        <v>#DIV/0!</v>
      </c>
      <c r="K22" s="10"/>
      <c r="L22" s="10"/>
    </row>
    <row r="23" spans="3:12" x14ac:dyDescent="0.25">
      <c r="C23" s="1" t="s">
        <v>42</v>
      </c>
      <c r="D23" s="10">
        <v>628.01006000000007</v>
      </c>
      <c r="E23" s="10">
        <v>1159.1122</v>
      </c>
      <c r="F23" s="10">
        <v>2251.0280000000002</v>
      </c>
      <c r="G23" s="10">
        <v>4546.8503999999994</v>
      </c>
      <c r="H23" s="10">
        <v>9397.4200000000019</v>
      </c>
      <c r="I23" s="10">
        <v>18911.850000000006</v>
      </c>
      <c r="J23" s="10">
        <v>36767.928000000007</v>
      </c>
      <c r="K23" s="10"/>
      <c r="L23" s="10"/>
    </row>
    <row r="24" spans="3:12" x14ac:dyDescent="0.25">
      <c r="C24" s="1" t="s">
        <v>10</v>
      </c>
      <c r="D24" s="10" t="e">
        <v>#DIV/0!</v>
      </c>
      <c r="E24" s="10">
        <v>1191.7366000000002</v>
      </c>
      <c r="F24" s="10">
        <v>2306.6169999999997</v>
      </c>
      <c r="G24" s="10">
        <v>4894.3002000000006</v>
      </c>
      <c r="H24" s="10">
        <v>9785.1589999999997</v>
      </c>
      <c r="I24" s="10">
        <v>18785.994000000002</v>
      </c>
      <c r="J24" s="10">
        <v>57289.881999999983</v>
      </c>
      <c r="K24" s="10"/>
      <c r="L24" s="10"/>
    </row>
    <row r="25" spans="3:12" x14ac:dyDescent="0.25">
      <c r="C25" s="1" t="s">
        <v>9</v>
      </c>
      <c r="D25" s="10">
        <v>1858.1680000000001</v>
      </c>
      <c r="E25" s="10">
        <v>2420.1090000000004</v>
      </c>
      <c r="F25" s="10">
        <v>4527.1801999999998</v>
      </c>
      <c r="G25" s="10">
        <v>8310.85</v>
      </c>
      <c r="H25" s="10">
        <v>15832.002</v>
      </c>
      <c r="I25" s="10">
        <v>27962.48</v>
      </c>
      <c r="J25" s="10">
        <v>51638.590000000011</v>
      </c>
      <c r="K25" s="10"/>
      <c r="L25" s="10"/>
    </row>
    <row r="26" spans="3:12" x14ac:dyDescent="0.25">
      <c r="C26" s="1" t="s">
        <v>13</v>
      </c>
      <c r="D26" s="10">
        <v>980.75398000000018</v>
      </c>
      <c r="E26" s="10">
        <v>1822.0432000000001</v>
      </c>
      <c r="F26" s="10">
        <v>3521.0431999999987</v>
      </c>
      <c r="G26" s="10">
        <v>6913.7883999999995</v>
      </c>
      <c r="H26" s="10">
        <v>14600.704000000002</v>
      </c>
      <c r="I26" s="10">
        <v>27769.686000000005</v>
      </c>
      <c r="J26" s="10">
        <v>53720.156000000003</v>
      </c>
      <c r="K26" s="10"/>
      <c r="L26" s="10"/>
    </row>
    <row r="27" spans="3:12" x14ac:dyDescent="0.25">
      <c r="C27" s="1" t="s">
        <v>14</v>
      </c>
      <c r="D27" s="10">
        <v>585.59821999999997</v>
      </c>
      <c r="E27" s="10">
        <v>1094.3245999999999</v>
      </c>
      <c r="F27" s="10">
        <v>2120.4718000000007</v>
      </c>
      <c r="G27" s="10">
        <v>4187.7103999999999</v>
      </c>
      <c r="H27" s="10">
        <v>9455.6193999999996</v>
      </c>
      <c r="I27" s="10">
        <v>19091.787999999997</v>
      </c>
      <c r="J27" s="10">
        <v>39015.478000000003</v>
      </c>
      <c r="K27" s="10"/>
      <c r="L27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327.99238095238098</v>
      </c>
      <c r="E32" s="5">
        <f t="shared" ref="E32:L32" si="0">E3/E$2</f>
        <v>295.46447619047632</v>
      </c>
      <c r="F32" s="5">
        <f t="shared" si="0"/>
        <v>282.140630952381</v>
      </c>
      <c r="G32" s="5">
        <f t="shared" si="0"/>
        <v>286.91973214285713</v>
      </c>
      <c r="H32" s="5">
        <f t="shared" si="0"/>
        <v>293.99919642857139</v>
      </c>
      <c r="I32" s="5">
        <f t="shared" si="0"/>
        <v>280.08766369047618</v>
      </c>
      <c r="J32" s="5">
        <f t="shared" si="0"/>
        <v>283.70343750000001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25</v>
      </c>
      <c r="D33" s="5">
        <f t="shared" ref="D33:L33" si="1">D4/D$2</f>
        <v>87.129338095238083</v>
      </c>
      <c r="E33" s="5">
        <f t="shared" si="1"/>
        <v>111.18955476190479</v>
      </c>
      <c r="F33" s="5">
        <f t="shared" si="1"/>
        <v>210.55507142857147</v>
      </c>
      <c r="G33" s="5">
        <f t="shared" si="1"/>
        <v>398.13053571428566</v>
      </c>
      <c r="H33" s="5">
        <f t="shared" si="1"/>
        <v>0</v>
      </c>
      <c r="I33" s="5">
        <f t="shared" si="1"/>
        <v>0</v>
      </c>
      <c r="J33" s="5">
        <f t="shared" si="1"/>
        <v>0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26</v>
      </c>
      <c r="D34" s="5">
        <f t="shared" ref="D34:L34" si="2">D5/D$2</f>
        <v>28.694547619047626</v>
      </c>
      <c r="E34" s="5">
        <f t="shared" si="2"/>
        <v>20.481492857142854</v>
      </c>
      <c r="F34" s="5">
        <f t="shared" si="2"/>
        <v>16.532215476190476</v>
      </c>
      <c r="G34" s="5">
        <f t="shared" si="2"/>
        <v>16.553702976190475</v>
      </c>
      <c r="H34" s="5">
        <f t="shared" si="2"/>
        <v>14.180704464285711</v>
      </c>
      <c r="I34" s="5">
        <f t="shared" si="2"/>
        <v>16.523595238095243</v>
      </c>
      <c r="J34" s="5">
        <f t="shared" si="2"/>
        <v>14.488605654761907</v>
      </c>
      <c r="K34" s="5">
        <f t="shared" si="2"/>
        <v>0</v>
      </c>
      <c r="L34" s="5">
        <f t="shared" si="2"/>
        <v>0</v>
      </c>
    </row>
    <row r="35" spans="3:12" x14ac:dyDescent="0.25">
      <c r="C35" s="1" t="s">
        <v>27</v>
      </c>
      <c r="D35" s="5">
        <f t="shared" ref="D35:L35" si="3">D6/D$2</f>
        <v>28.415385714285712</v>
      </c>
      <c r="E35" s="5">
        <f t="shared" si="3"/>
        <v>20.460802380952376</v>
      </c>
      <c r="F35" s="5">
        <f t="shared" si="3"/>
        <v>15.604179761904762</v>
      </c>
      <c r="G35" s="5">
        <f t="shared" si="3"/>
        <v>13.634378571428567</v>
      </c>
      <c r="H35" s="5">
        <f t="shared" si="3"/>
        <v>10.97006577380952</v>
      </c>
      <c r="I35" s="5">
        <f t="shared" si="3"/>
        <v>11.405547619047624</v>
      </c>
      <c r="J35" s="5">
        <f t="shared" si="3"/>
        <v>11.148469494047621</v>
      </c>
      <c r="K35" s="5">
        <f t="shared" si="3"/>
        <v>0</v>
      </c>
      <c r="L35" s="5">
        <f t="shared" si="3"/>
        <v>0</v>
      </c>
    </row>
    <row r="36" spans="3:12" x14ac:dyDescent="0.25">
      <c r="C36" s="1" t="s">
        <v>28</v>
      </c>
      <c r="D36" s="5">
        <f t="shared" ref="D36:L36" si="4">D7/D$2</f>
        <v>85.831923809523815</v>
      </c>
      <c r="E36" s="5">
        <f t="shared" si="4"/>
        <v>112.83780238095235</v>
      </c>
      <c r="F36" s="5">
        <f t="shared" si="4"/>
        <v>208.42807142857151</v>
      </c>
      <c r="G36" s="5">
        <f t="shared" si="4"/>
        <v>398.36071428571432</v>
      </c>
      <c r="H36" s="5">
        <f t="shared" si="4"/>
        <v>0</v>
      </c>
      <c r="I36" s="5">
        <f t="shared" si="4"/>
        <v>0</v>
      </c>
      <c r="J36" s="5">
        <f t="shared" si="4"/>
        <v>0</v>
      </c>
      <c r="K36" s="5">
        <f t="shared" si="4"/>
        <v>0</v>
      </c>
      <c r="L36" s="5">
        <f t="shared" si="4"/>
        <v>0</v>
      </c>
    </row>
    <row r="37" spans="3:12" x14ac:dyDescent="0.25">
      <c r="C37" s="1" t="s">
        <v>29</v>
      </c>
      <c r="D37" s="5">
        <f t="shared" ref="D37:L37" si="5">D8/D$2</f>
        <v>28.141585714285714</v>
      </c>
      <c r="E37" s="5">
        <f t="shared" si="5"/>
        <v>18.959569047619052</v>
      </c>
      <c r="F37" s="5">
        <f t="shared" si="5"/>
        <v>16.314452380952382</v>
      </c>
      <c r="G37" s="5">
        <f t="shared" si="5"/>
        <v>16.382703571428561</v>
      </c>
      <c r="H37" s="5">
        <f t="shared" si="5"/>
        <v>17.077598809523813</v>
      </c>
      <c r="I37" s="5">
        <f t="shared" si="5"/>
        <v>16.322078869047616</v>
      </c>
      <c r="J37" s="5">
        <f t="shared" si="5"/>
        <v>15.853742559523807</v>
      </c>
      <c r="K37" s="5">
        <f t="shared" si="5"/>
        <v>0</v>
      </c>
      <c r="L37" s="5">
        <f t="shared" si="5"/>
        <v>0</v>
      </c>
    </row>
    <row r="38" spans="3:12" x14ac:dyDescent="0.25">
      <c r="C38" s="1" t="s">
        <v>30</v>
      </c>
      <c r="D38" s="5">
        <f t="shared" ref="D38:L38" si="6">D9/D$2</f>
        <v>28.297828571428575</v>
      </c>
      <c r="E38" s="5">
        <f t="shared" si="6"/>
        <v>18.630061904761902</v>
      </c>
      <c r="F38" s="5">
        <f t="shared" si="6"/>
        <v>15.641284523809526</v>
      </c>
      <c r="G38" s="5">
        <f t="shared" si="6"/>
        <v>13.619399404761898</v>
      </c>
      <c r="H38" s="5">
        <f t="shared" si="6"/>
        <v>13.4569369047619</v>
      </c>
      <c r="I38" s="5">
        <f t="shared" si="6"/>
        <v>12.778699404761905</v>
      </c>
      <c r="J38" s="5">
        <f t="shared" si="6"/>
        <v>11.965991815476192</v>
      </c>
      <c r="K38" s="5">
        <f t="shared" si="6"/>
        <v>0</v>
      </c>
      <c r="L38" s="5">
        <f t="shared" si="6"/>
        <v>0</v>
      </c>
    </row>
    <row r="39" spans="3:12" x14ac:dyDescent="0.25">
      <c r="C39" s="1" t="s">
        <v>31</v>
      </c>
      <c r="D39" s="5">
        <f t="shared" ref="D39:L39" si="7">D10/D$2</f>
        <v>142.77814761904762</v>
      </c>
      <c r="E39" s="5">
        <f t="shared" si="7"/>
        <v>123.67570238095239</v>
      </c>
      <c r="F39" s="5">
        <f t="shared" si="7"/>
        <v>152.73013095238096</v>
      </c>
      <c r="G39" s="5">
        <f t="shared" si="7"/>
        <v>571.29785714285708</v>
      </c>
      <c r="H39" s="5">
        <f t="shared" si="7"/>
        <v>0</v>
      </c>
      <c r="I39" s="5">
        <f t="shared" si="7"/>
        <v>0</v>
      </c>
      <c r="J39" s="5">
        <f t="shared" si="7"/>
        <v>0</v>
      </c>
      <c r="K39" s="5">
        <f t="shared" si="7"/>
        <v>0</v>
      </c>
      <c r="L39" s="5">
        <f t="shared" si="7"/>
        <v>0</v>
      </c>
    </row>
    <row r="40" spans="3:12" x14ac:dyDescent="0.25">
      <c r="C40" s="1" t="s">
        <v>32</v>
      </c>
      <c r="D40" s="5">
        <f t="shared" ref="D40:L40" si="8">D11/D$2</f>
        <v>710.71709523809534</v>
      </c>
      <c r="E40" s="5">
        <f t="shared" si="8"/>
        <v>675.50614285714255</v>
      </c>
      <c r="F40" s="5">
        <f t="shared" si="8"/>
        <v>679.53095238095239</v>
      </c>
      <c r="G40" s="5">
        <f t="shared" si="8"/>
        <v>689.97749999999996</v>
      </c>
      <c r="H40" s="5">
        <f t="shared" si="8"/>
        <v>644.9402380952381</v>
      </c>
      <c r="I40" s="5">
        <f t="shared" si="8"/>
        <v>685.6911904761904</v>
      </c>
      <c r="J40" s="5">
        <f t="shared" si="8"/>
        <v>652.06145833333335</v>
      </c>
      <c r="K40" s="5">
        <f t="shared" si="8"/>
        <v>0</v>
      </c>
      <c r="L40" s="5">
        <f t="shared" si="8"/>
        <v>0</v>
      </c>
    </row>
    <row r="41" spans="3:12" x14ac:dyDescent="0.25">
      <c r="C41" s="1" t="s">
        <v>33</v>
      </c>
      <c r="D41" s="5">
        <f t="shared" ref="D41:L41" si="9">D12/D$2</f>
        <v>40.549661904761919</v>
      </c>
      <c r="E41" s="5">
        <f t="shared" si="9"/>
        <v>38.557697619047616</v>
      </c>
      <c r="F41" s="5">
        <f t="shared" si="9"/>
        <v>38.022813095238114</v>
      </c>
      <c r="G41" s="5">
        <f t="shared" si="9"/>
        <v>33.115089285714305</v>
      </c>
      <c r="H41" s="5">
        <f t="shared" si="9"/>
        <v>36.020693452380954</v>
      </c>
      <c r="I41" s="5">
        <f t="shared" si="9"/>
        <v>38.245845238095249</v>
      </c>
      <c r="J41" s="5">
        <f t="shared" si="9"/>
        <v>70.667842261904767</v>
      </c>
      <c r="K41" s="5">
        <f t="shared" si="9"/>
        <v>0</v>
      </c>
      <c r="L41" s="5">
        <f t="shared" si="9"/>
        <v>0</v>
      </c>
    </row>
    <row r="42" spans="3:12" x14ac:dyDescent="0.25">
      <c r="C42" s="1" t="s">
        <v>34</v>
      </c>
      <c r="D42" s="5">
        <f t="shared" ref="D42:L42" si="10">D13/D$2</f>
        <v>85.288042857142869</v>
      </c>
      <c r="E42" s="5">
        <f t="shared" si="10"/>
        <v>110.96638095238097</v>
      </c>
      <c r="F42" s="5">
        <f t="shared" si="10"/>
        <v>209.65601190476195</v>
      </c>
      <c r="G42" s="5">
        <f t="shared" si="10"/>
        <v>419.44029761904761</v>
      </c>
      <c r="H42" s="5">
        <f t="shared" si="10"/>
        <v>0</v>
      </c>
      <c r="I42" s="5">
        <f t="shared" si="10"/>
        <v>0</v>
      </c>
      <c r="J42" s="5" t="e">
        <f t="shared" si="10"/>
        <v>#DIV/0!</v>
      </c>
      <c r="K42" s="5">
        <f t="shared" si="10"/>
        <v>0</v>
      </c>
      <c r="L42" s="5">
        <f t="shared" si="10"/>
        <v>0</v>
      </c>
    </row>
    <row r="43" spans="3:12" x14ac:dyDescent="0.25">
      <c r="C43" s="1" t="s">
        <v>35</v>
      </c>
      <c r="D43" s="5">
        <f t="shared" ref="D43:L43" si="11">D14/D$2</f>
        <v>28.542485714285714</v>
      </c>
      <c r="E43" s="5">
        <f t="shared" si="11"/>
        <v>20.06825952380953</v>
      </c>
      <c r="F43" s="5">
        <f t="shared" si="11"/>
        <v>16.289676190476193</v>
      </c>
      <c r="G43" s="5">
        <f t="shared" si="11"/>
        <v>17.29028809523809</v>
      </c>
      <c r="H43" s="5">
        <f t="shared" si="11"/>
        <v>17.360008928571428</v>
      </c>
      <c r="I43" s="5">
        <f t="shared" si="11"/>
        <v>16.418873511904764</v>
      </c>
      <c r="J43" s="5" t="e">
        <f t="shared" si="11"/>
        <v>#DIV/0!</v>
      </c>
      <c r="K43" s="5">
        <f t="shared" si="11"/>
        <v>0</v>
      </c>
      <c r="L43" s="5">
        <f t="shared" si="11"/>
        <v>0</v>
      </c>
    </row>
    <row r="44" spans="3:12" x14ac:dyDescent="0.25">
      <c r="C44" s="1" t="s">
        <v>36</v>
      </c>
      <c r="D44" s="5">
        <f t="shared" ref="D44:L44" si="12">D15/D$2</f>
        <v>28.612219047619039</v>
      </c>
      <c r="E44" s="5">
        <f t="shared" si="12"/>
        <v>19.843283333333328</v>
      </c>
      <c r="F44" s="5">
        <f t="shared" si="12"/>
        <v>15.826313095238095</v>
      </c>
      <c r="G44" s="5">
        <f t="shared" si="12"/>
        <v>14.258292261904758</v>
      </c>
      <c r="H44" s="5">
        <f t="shared" si="12"/>
        <v>13.407505654761906</v>
      </c>
      <c r="I44" s="5">
        <f t="shared" si="12"/>
        <v>12.381848214285712</v>
      </c>
      <c r="J44" s="5" t="e">
        <f t="shared" si="12"/>
        <v>#DIV/0!</v>
      </c>
      <c r="K44" s="5">
        <f t="shared" si="12"/>
        <v>0</v>
      </c>
      <c r="L44" s="5">
        <f t="shared" si="12"/>
        <v>0</v>
      </c>
    </row>
    <row r="45" spans="3:12" x14ac:dyDescent="0.25">
      <c r="C45" s="1" t="s">
        <v>38</v>
      </c>
      <c r="D45" s="5">
        <f t="shared" ref="D45:L45" si="13">D16/D$2</f>
        <v>84.795738095238093</v>
      </c>
      <c r="E45" s="5">
        <f t="shared" si="13"/>
        <v>111.04591666666667</v>
      </c>
      <c r="F45" s="5">
        <f t="shared" si="13"/>
        <v>211.12845238095235</v>
      </c>
      <c r="G45" s="5">
        <f t="shared" si="13"/>
        <v>347.80869047619046</v>
      </c>
      <c r="H45" s="5">
        <f t="shared" si="13"/>
        <v>0</v>
      </c>
      <c r="I45" s="5">
        <f t="shared" si="13"/>
        <v>0</v>
      </c>
      <c r="J45" s="5" t="e">
        <f t="shared" si="13"/>
        <v>#DIV/0!</v>
      </c>
      <c r="K45" s="5">
        <f t="shared" si="13"/>
        <v>0</v>
      </c>
      <c r="L45" s="5">
        <f t="shared" si="13"/>
        <v>0</v>
      </c>
    </row>
    <row r="46" spans="3:12" x14ac:dyDescent="0.25">
      <c r="C46" s="1" t="s">
        <v>39</v>
      </c>
      <c r="D46" s="5">
        <f t="shared" ref="D46:L46" si="14">D17/D$2</f>
        <v>28.478847619047624</v>
      </c>
      <c r="E46" s="5">
        <f t="shared" si="14"/>
        <v>20.530800000000006</v>
      </c>
      <c r="F46" s="5">
        <f t="shared" si="14"/>
        <v>16.244628571428571</v>
      </c>
      <c r="G46" s="5">
        <f t="shared" si="14"/>
        <v>14.469394047619051</v>
      </c>
      <c r="H46" s="5">
        <f t="shared" si="14"/>
        <v>17.651419642857153</v>
      </c>
      <c r="I46" s="5">
        <f t="shared" si="14"/>
        <v>16.409480654761904</v>
      </c>
      <c r="J46" s="5" t="e">
        <f t="shared" si="14"/>
        <v>#DIV/0!</v>
      </c>
      <c r="K46" s="5">
        <f t="shared" si="14"/>
        <v>0</v>
      </c>
      <c r="L46" s="5">
        <f t="shared" si="14"/>
        <v>0</v>
      </c>
    </row>
    <row r="47" spans="3:12" x14ac:dyDescent="0.25">
      <c r="C47" s="1" t="s">
        <v>40</v>
      </c>
      <c r="D47" s="5">
        <f t="shared" ref="D47:L47" si="15">D18/D$2</f>
        <v>28.121576190476191</v>
      </c>
      <c r="E47" s="5">
        <f t="shared" si="15"/>
        <v>20.16200952380952</v>
      </c>
      <c r="F47" s="5">
        <f t="shared" si="15"/>
        <v>15.655455952380956</v>
      </c>
      <c r="G47" s="5">
        <f t="shared" si="15"/>
        <v>11.97546785714286</v>
      </c>
      <c r="H47" s="5">
        <f t="shared" si="15"/>
        <v>14.06893958333333</v>
      </c>
      <c r="I47" s="5">
        <f t="shared" si="15"/>
        <v>12.370852678571431</v>
      </c>
      <c r="J47" s="5" t="e">
        <f t="shared" si="15"/>
        <v>#DIV/0!</v>
      </c>
      <c r="K47" s="5">
        <f t="shared" si="15"/>
        <v>0</v>
      </c>
      <c r="L47" s="5">
        <f t="shared" si="15"/>
        <v>0</v>
      </c>
    </row>
    <row r="48" spans="3:12" x14ac:dyDescent="0.25">
      <c r="C48" s="1" t="s">
        <v>41</v>
      </c>
      <c r="D48" s="5">
        <f t="shared" ref="D48:L48" si="16">D19/D$2</f>
        <v>28.701666666666661</v>
      </c>
      <c r="E48" s="5">
        <f t="shared" si="16"/>
        <v>20.075102380952377</v>
      </c>
      <c r="F48" s="5">
        <f t="shared" si="16"/>
        <v>15.784422619047618</v>
      </c>
      <c r="G48" s="5">
        <f t="shared" si="16"/>
        <v>13.604651190476194</v>
      </c>
      <c r="H48" s="5">
        <f t="shared" si="16"/>
        <v>12.938621726190481</v>
      </c>
      <c r="I48" s="5">
        <f t="shared" si="16"/>
        <v>12.328449404761907</v>
      </c>
      <c r="J48" s="5">
        <f t="shared" si="16"/>
        <v>11.469719494047618</v>
      </c>
      <c r="K48" s="5">
        <f t="shared" si="16"/>
        <v>0</v>
      </c>
      <c r="L48" s="5">
        <f t="shared" si="16"/>
        <v>0</v>
      </c>
    </row>
    <row r="49" spans="3:12" x14ac:dyDescent="0.25">
      <c r="C49" s="1" t="s">
        <v>43</v>
      </c>
      <c r="D49" s="5">
        <f t="shared" ref="D49:L49" si="17">D20/D$2</f>
        <v>28.297514285714279</v>
      </c>
      <c r="E49" s="5">
        <f t="shared" si="17"/>
        <v>19.695233333333334</v>
      </c>
      <c r="F49" s="5">
        <f t="shared" si="17"/>
        <v>15.787838095238101</v>
      </c>
      <c r="G49" s="5">
        <f t="shared" si="17"/>
        <v>13.74897261904762</v>
      </c>
      <c r="H49" s="5">
        <f t="shared" si="17"/>
        <v>12.707958928571433</v>
      </c>
      <c r="I49" s="5">
        <f t="shared" si="17"/>
        <v>12.860157738095241</v>
      </c>
      <c r="J49" s="5">
        <f t="shared" si="17"/>
        <v>11.775186011904761</v>
      </c>
      <c r="K49" s="5">
        <f t="shared" si="17"/>
        <v>0</v>
      </c>
      <c r="L49" s="5">
        <f t="shared" si="17"/>
        <v>0</v>
      </c>
    </row>
    <row r="50" spans="3:12" x14ac:dyDescent="0.25">
      <c r="C50" s="1" t="s">
        <v>44</v>
      </c>
      <c r="D50" s="5">
        <f t="shared" ref="D50:L50" si="18">D21/D$2</f>
        <v>14.797562380952378</v>
      </c>
      <c r="E50" s="5">
        <f t="shared" si="18"/>
        <v>13.67483333333333</v>
      </c>
      <c r="F50" s="5">
        <f t="shared" si="18"/>
        <v>13.287898809523803</v>
      </c>
      <c r="G50" s="5">
        <f t="shared" si="18"/>
        <v>13.481498809523812</v>
      </c>
      <c r="H50" s="5">
        <f t="shared" si="18"/>
        <v>14.113696130952375</v>
      </c>
      <c r="I50" s="5">
        <f t="shared" si="18"/>
        <v>14.619337797619048</v>
      </c>
      <c r="J50" s="5">
        <f t="shared" si="18"/>
        <v>13.56934598214286</v>
      </c>
      <c r="K50" s="5">
        <f t="shared" si="18"/>
        <v>0</v>
      </c>
      <c r="L50" s="5">
        <f t="shared" si="18"/>
        <v>0</v>
      </c>
    </row>
    <row r="51" spans="3:12" x14ac:dyDescent="0.25">
      <c r="C51" s="1" t="s">
        <v>37</v>
      </c>
      <c r="D51" s="5">
        <f t="shared" ref="D51:L51" si="19">D22/D$2</f>
        <v>14.773191904761905</v>
      </c>
      <c r="E51" s="5">
        <f t="shared" si="19"/>
        <v>13.680000000000003</v>
      </c>
      <c r="F51" s="5">
        <f t="shared" si="19"/>
        <v>13.308639285714284</v>
      </c>
      <c r="G51" s="5">
        <f t="shared" si="19"/>
        <v>14.219507738095237</v>
      </c>
      <c r="H51" s="5">
        <f t="shared" si="19"/>
        <v>14.489575892857141</v>
      </c>
      <c r="I51" s="5">
        <f t="shared" si="19"/>
        <v>14.017525297619049</v>
      </c>
      <c r="J51" s="5" t="e">
        <f t="shared" si="19"/>
        <v>#DIV/0!</v>
      </c>
      <c r="K51" s="5">
        <f t="shared" si="19"/>
        <v>0</v>
      </c>
      <c r="L51" s="5">
        <f t="shared" si="19"/>
        <v>0</v>
      </c>
    </row>
    <row r="52" spans="3:12" x14ac:dyDescent="0.25">
      <c r="C52" s="1" t="s">
        <v>42</v>
      </c>
      <c r="D52" s="5">
        <f t="shared" ref="D52:L52" si="20">D23/D$2</f>
        <v>14.952620476190479</v>
      </c>
      <c r="E52" s="5">
        <f t="shared" si="20"/>
        <v>13.798954761904762</v>
      </c>
      <c r="F52" s="5">
        <f t="shared" si="20"/>
        <v>13.398976190476192</v>
      </c>
      <c r="G52" s="5">
        <f t="shared" si="20"/>
        <v>13.532292857142854</v>
      </c>
      <c r="H52" s="5">
        <f t="shared" si="20"/>
        <v>13.984255952380956</v>
      </c>
      <c r="I52" s="5">
        <f t="shared" si="20"/>
        <v>14.071316964285719</v>
      </c>
      <c r="J52" s="5">
        <f t="shared" si="20"/>
        <v>13.678544642857146</v>
      </c>
      <c r="K52" s="5">
        <f t="shared" si="20"/>
        <v>0</v>
      </c>
      <c r="L52" s="5">
        <f t="shared" si="20"/>
        <v>0</v>
      </c>
    </row>
    <row r="53" spans="3:12" x14ac:dyDescent="0.25">
      <c r="C53" s="1" t="s">
        <v>45</v>
      </c>
      <c r="D53" s="5" t="e">
        <f t="shared" ref="D53:L53" si="21">D24/D$2</f>
        <v>#DIV/0!</v>
      </c>
      <c r="E53" s="5">
        <f t="shared" si="21"/>
        <v>14.187340476190478</v>
      </c>
      <c r="F53" s="5">
        <f t="shared" si="21"/>
        <v>13.729863095238093</v>
      </c>
      <c r="G53" s="5">
        <f t="shared" si="21"/>
        <v>14.566369642857145</v>
      </c>
      <c r="H53" s="5">
        <f t="shared" si="21"/>
        <v>14.561248511904761</v>
      </c>
      <c r="I53" s="5">
        <f t="shared" si="21"/>
        <v>13.977674107142859</v>
      </c>
      <c r="J53" s="5">
        <f t="shared" si="21"/>
        <v>21.313200148809518</v>
      </c>
      <c r="K53" s="5">
        <f t="shared" si="21"/>
        <v>0</v>
      </c>
      <c r="L53" s="5">
        <f t="shared" si="21"/>
        <v>0</v>
      </c>
    </row>
    <row r="54" spans="3:12" x14ac:dyDescent="0.25">
      <c r="C54" s="1" t="s">
        <v>9</v>
      </c>
      <c r="D54" s="5">
        <f t="shared" ref="D54:L54" si="22">D25/D$2</f>
        <v>44.242095238095239</v>
      </c>
      <c r="E54" s="5">
        <f t="shared" si="22"/>
        <v>28.810821428571433</v>
      </c>
      <c r="F54" s="5">
        <f t="shared" si="22"/>
        <v>26.947501190476189</v>
      </c>
      <c r="G54" s="5">
        <f t="shared" si="22"/>
        <v>24.734672619047622</v>
      </c>
      <c r="H54" s="5">
        <f t="shared" si="22"/>
        <v>23.559526785714286</v>
      </c>
      <c r="I54" s="5">
        <f t="shared" si="22"/>
        <v>20.805416666666666</v>
      </c>
      <c r="J54" s="5">
        <f t="shared" si="22"/>
        <v>19.210784970238098</v>
      </c>
      <c r="K54" s="5">
        <f t="shared" si="22"/>
        <v>0</v>
      </c>
      <c r="L54" s="5">
        <f t="shared" si="22"/>
        <v>0</v>
      </c>
    </row>
    <row r="55" spans="3:12" x14ac:dyDescent="0.25">
      <c r="C55" s="1" t="s">
        <v>13</v>
      </c>
      <c r="D55" s="5">
        <f t="shared" ref="D55:L55" si="23">D26/D$2</f>
        <v>23.351285238095244</v>
      </c>
      <c r="E55" s="5">
        <f t="shared" si="23"/>
        <v>21.690990476190478</v>
      </c>
      <c r="F55" s="5">
        <f t="shared" si="23"/>
        <v>20.958590476190469</v>
      </c>
      <c r="G55" s="5">
        <f t="shared" si="23"/>
        <v>20.576751190476188</v>
      </c>
      <c r="H55" s="5">
        <f t="shared" si="23"/>
        <v>21.727238095238096</v>
      </c>
      <c r="I55" s="5">
        <f t="shared" si="23"/>
        <v>20.661968750000003</v>
      </c>
      <c r="J55" s="5">
        <f t="shared" si="23"/>
        <v>19.985177083333333</v>
      </c>
      <c r="K55" s="5">
        <f t="shared" si="23"/>
        <v>0</v>
      </c>
      <c r="L55" s="5">
        <f t="shared" si="23"/>
        <v>0</v>
      </c>
    </row>
    <row r="56" spans="3:12" x14ac:dyDescent="0.25">
      <c r="C56" s="1" t="s">
        <v>14</v>
      </c>
      <c r="D56" s="5">
        <f t="shared" ref="D56:L56" si="24">D27/D$2</f>
        <v>13.942814761904762</v>
      </c>
      <c r="E56" s="5">
        <f t="shared" si="24"/>
        <v>13.027673809523808</v>
      </c>
      <c r="F56" s="5">
        <f t="shared" si="24"/>
        <v>12.621855952380956</v>
      </c>
      <c r="G56" s="5">
        <f t="shared" si="24"/>
        <v>12.463423809523809</v>
      </c>
      <c r="H56" s="5">
        <f t="shared" si="24"/>
        <v>14.070862202380951</v>
      </c>
      <c r="I56" s="5">
        <f t="shared" si="24"/>
        <v>14.205199404761903</v>
      </c>
      <c r="J56" s="5">
        <f t="shared" si="24"/>
        <v>14.514686755952383</v>
      </c>
      <c r="K56" s="5">
        <f t="shared" si="24"/>
        <v>0</v>
      </c>
      <c r="L56" s="5">
        <f t="shared" si="24"/>
        <v>0</v>
      </c>
    </row>
    <row r="60" spans="3:12" x14ac:dyDescent="0.25">
      <c r="C60" s="1">
        <v>50</v>
      </c>
      <c r="D60" s="2">
        <v>2</v>
      </c>
      <c r="E60" s="3">
        <v>4</v>
      </c>
      <c r="F60" s="2">
        <v>8</v>
      </c>
      <c r="G60" s="2">
        <v>16</v>
      </c>
      <c r="H60" s="2">
        <v>32</v>
      </c>
      <c r="I60" s="2">
        <v>64</v>
      </c>
      <c r="J60" s="2">
        <v>128</v>
      </c>
      <c r="K60" s="2">
        <v>256</v>
      </c>
      <c r="L60" s="2">
        <v>512</v>
      </c>
    </row>
    <row r="61" spans="3:12" x14ac:dyDescent="0.25">
      <c r="C61" s="1"/>
      <c r="D61" s="4">
        <v>42</v>
      </c>
      <c r="E61" s="4">
        <v>84</v>
      </c>
      <c r="F61" s="4">
        <v>168</v>
      </c>
      <c r="G61" s="4">
        <v>336</v>
      </c>
      <c r="H61" s="4">
        <v>672</v>
      </c>
      <c r="I61" s="4">
        <v>1344</v>
      </c>
      <c r="J61" s="4">
        <v>2688</v>
      </c>
      <c r="K61" s="4">
        <v>5376</v>
      </c>
      <c r="L61" s="4">
        <v>10752</v>
      </c>
    </row>
    <row r="62" spans="3:12" x14ac:dyDescent="0.25">
      <c r="C62" s="1" t="s">
        <v>1</v>
      </c>
      <c r="D62" s="12">
        <f t="shared" ref="D62:L62" si="25">D$3/D3</f>
        <v>1</v>
      </c>
      <c r="E62" s="12">
        <f t="shared" si="25"/>
        <v>1</v>
      </c>
      <c r="F62" s="12">
        <f t="shared" si="25"/>
        <v>1</v>
      </c>
      <c r="G62" s="12">
        <f t="shared" si="25"/>
        <v>1</v>
      </c>
      <c r="H62" s="12">
        <f t="shared" si="25"/>
        <v>1</v>
      </c>
      <c r="I62" s="12">
        <f t="shared" si="25"/>
        <v>1</v>
      </c>
      <c r="J62" s="12">
        <f t="shared" si="25"/>
        <v>1</v>
      </c>
      <c r="K62" s="12" t="e">
        <f t="shared" si="25"/>
        <v>#DIV/0!</v>
      </c>
      <c r="L62" s="12" t="e">
        <f t="shared" si="25"/>
        <v>#DIV/0!</v>
      </c>
    </row>
    <row r="63" spans="3:12" x14ac:dyDescent="0.25">
      <c r="C63" s="1" t="s">
        <v>25</v>
      </c>
      <c r="D63" s="12">
        <f t="shared" ref="D63:L63" si="26">D$3/D4</f>
        <v>3.764430995606368</v>
      </c>
      <c r="E63" s="12">
        <f t="shared" si="26"/>
        <v>2.6573042478960165</v>
      </c>
      <c r="F63" s="12">
        <f t="shared" si="26"/>
        <v>1.3399849694339665</v>
      </c>
      <c r="G63" s="12">
        <f t="shared" si="26"/>
        <v>0.72066748567299588</v>
      </c>
      <c r="H63" s="12" t="e">
        <f t="shared" si="26"/>
        <v>#DIV/0!</v>
      </c>
      <c r="I63" s="12" t="e">
        <f t="shared" si="26"/>
        <v>#DIV/0!</v>
      </c>
      <c r="J63" s="12" t="e">
        <f t="shared" si="26"/>
        <v>#DIV/0!</v>
      </c>
      <c r="K63" s="12" t="e">
        <f t="shared" si="26"/>
        <v>#DIV/0!</v>
      </c>
      <c r="L63" s="12" t="e">
        <f t="shared" si="26"/>
        <v>#DIV/0!</v>
      </c>
    </row>
    <row r="64" spans="3:12" x14ac:dyDescent="0.25">
      <c r="C64" s="1" t="s">
        <v>26</v>
      </c>
      <c r="D64" s="12">
        <f t="shared" ref="D64:L64" si="27">D$3/D5</f>
        <v>11.430477500703217</v>
      </c>
      <c r="E64" s="12">
        <f t="shared" si="27"/>
        <v>14.425924821560752</v>
      </c>
      <c r="F64" s="12">
        <f t="shared" si="27"/>
        <v>17.06611139678871</v>
      </c>
      <c r="G64" s="12">
        <f t="shared" si="27"/>
        <v>17.332661613872109</v>
      </c>
      <c r="H64" s="12">
        <f t="shared" si="27"/>
        <v>20.732340707685729</v>
      </c>
      <c r="I64" s="12">
        <f t="shared" si="27"/>
        <v>16.950770074828053</v>
      </c>
      <c r="J64" s="12">
        <f t="shared" si="27"/>
        <v>19.5811415025128</v>
      </c>
      <c r="K64" s="12" t="e">
        <f t="shared" si="27"/>
        <v>#DIV/0!</v>
      </c>
      <c r="L64" s="12" t="e">
        <f t="shared" si="27"/>
        <v>#DIV/0!</v>
      </c>
    </row>
    <row r="65" spans="3:12" x14ac:dyDescent="0.25">
      <c r="C65" s="1" t="s">
        <v>27</v>
      </c>
      <c r="D65" s="12">
        <f t="shared" ref="D65:L65" si="28">D$3/D6</f>
        <v>11.542774194597127</v>
      </c>
      <c r="E65" s="12">
        <f t="shared" si="28"/>
        <v>14.440512678306975</v>
      </c>
      <c r="F65" s="12">
        <f t="shared" si="28"/>
        <v>18.081093351743135</v>
      </c>
      <c r="G65" s="12">
        <f t="shared" si="28"/>
        <v>21.043843739538662</v>
      </c>
      <c r="H65" s="12">
        <f t="shared" si="28"/>
        <v>26.800130691146784</v>
      </c>
      <c r="I65" s="12">
        <f t="shared" si="28"/>
        <v>24.55714298388628</v>
      </c>
      <c r="J65" s="12">
        <f t="shared" si="28"/>
        <v>25.447747572119617</v>
      </c>
      <c r="K65" s="12" t="e">
        <f t="shared" si="28"/>
        <v>#DIV/0!</v>
      </c>
      <c r="L65" s="12" t="e">
        <f t="shared" si="28"/>
        <v>#DIV/0!</v>
      </c>
    </row>
    <row r="66" spans="3:12" x14ac:dyDescent="0.25">
      <c r="C66" s="1" t="s">
        <v>28</v>
      </c>
      <c r="D66" s="12">
        <f t="shared" ref="D66:L66" si="29">D$3/D7</f>
        <v>3.8213332102430084</v>
      </c>
      <c r="E66" s="12">
        <f t="shared" si="29"/>
        <v>2.6184883962287482</v>
      </c>
      <c r="F66" s="12">
        <f t="shared" si="29"/>
        <v>1.3536594616002617</v>
      </c>
      <c r="G66" s="12">
        <f t="shared" si="29"/>
        <v>0.72025107359625606</v>
      </c>
      <c r="H66" s="12" t="e">
        <f t="shared" si="29"/>
        <v>#DIV/0!</v>
      </c>
      <c r="I66" s="12" t="e">
        <f t="shared" si="29"/>
        <v>#DIV/0!</v>
      </c>
      <c r="J66" s="12" t="e">
        <f t="shared" si="29"/>
        <v>#DIV/0!</v>
      </c>
      <c r="K66" s="12" t="e">
        <f t="shared" si="29"/>
        <v>#DIV/0!</v>
      </c>
      <c r="L66" s="12" t="e">
        <f t="shared" si="29"/>
        <v>#DIV/0!</v>
      </c>
    </row>
    <row r="67" spans="3:12" x14ac:dyDescent="0.25">
      <c r="C67" s="1" t="s">
        <v>29</v>
      </c>
      <c r="D67" s="12">
        <f t="shared" ref="D67:L67" si="30">D$3/D8</f>
        <v>11.655078156661224</v>
      </c>
      <c r="E67" s="12">
        <f t="shared" si="30"/>
        <v>15.583923634993214</v>
      </c>
      <c r="F67" s="12">
        <f t="shared" si="30"/>
        <v>17.293907534511469</v>
      </c>
      <c r="G67" s="12">
        <f t="shared" si="30"/>
        <v>17.513576491931723</v>
      </c>
      <c r="H67" s="12">
        <f t="shared" si="30"/>
        <v>17.215487944629214</v>
      </c>
      <c r="I67" s="12">
        <f t="shared" si="30"/>
        <v>17.160048418931524</v>
      </c>
      <c r="J67" s="12">
        <f t="shared" si="30"/>
        <v>17.895045061746067</v>
      </c>
      <c r="K67" s="12" t="e">
        <f t="shared" si="30"/>
        <v>#DIV/0!</v>
      </c>
      <c r="L67" s="12" t="e">
        <f t="shared" si="30"/>
        <v>#DIV/0!</v>
      </c>
    </row>
    <row r="68" spans="3:12" x14ac:dyDescent="0.25">
      <c r="C68" s="1" t="s">
        <v>30</v>
      </c>
      <c r="D68" s="12">
        <f t="shared" ref="D68:L68" si="31">D$3/D9</f>
        <v>11.590726126722831</v>
      </c>
      <c r="E68" s="12">
        <f t="shared" si="31"/>
        <v>15.859554181886784</v>
      </c>
      <c r="F68" s="12">
        <f t="shared" si="31"/>
        <v>18.038200796290099</v>
      </c>
      <c r="G68" s="12">
        <f t="shared" si="31"/>
        <v>21.066988610565183</v>
      </c>
      <c r="H68" s="12">
        <f t="shared" si="31"/>
        <v>21.847408404251063</v>
      </c>
      <c r="I68" s="12">
        <f t="shared" si="31"/>
        <v>21.91832320479369</v>
      </c>
      <c r="J68" s="12">
        <f t="shared" si="31"/>
        <v>23.709145207092043</v>
      </c>
      <c r="K68" s="12" t="e">
        <f t="shared" si="31"/>
        <v>#DIV/0!</v>
      </c>
      <c r="L68" s="12" t="e">
        <f t="shared" si="31"/>
        <v>#DIV/0!</v>
      </c>
    </row>
    <row r="69" spans="3:12" x14ac:dyDescent="0.25">
      <c r="C69" s="1" t="s">
        <v>31</v>
      </c>
      <c r="D69" s="12">
        <f t="shared" ref="D69:L69" si="32">D$3/D10</f>
        <v>2.2972169510667086</v>
      </c>
      <c r="E69" s="12">
        <f t="shared" si="32"/>
        <v>2.3890260617269119</v>
      </c>
      <c r="F69" s="12">
        <f t="shared" si="32"/>
        <v>1.8473147976305235</v>
      </c>
      <c r="G69" s="12">
        <f t="shared" si="32"/>
        <v>0.50222441508495075</v>
      </c>
      <c r="H69" s="12" t="e">
        <f t="shared" si="32"/>
        <v>#DIV/0!</v>
      </c>
      <c r="I69" s="12" t="e">
        <f t="shared" si="32"/>
        <v>#DIV/0!</v>
      </c>
      <c r="J69" s="12" t="e">
        <f t="shared" si="32"/>
        <v>#DIV/0!</v>
      </c>
      <c r="K69" s="12" t="e">
        <f t="shared" si="32"/>
        <v>#DIV/0!</v>
      </c>
      <c r="L69" s="12" t="e">
        <f t="shared" si="32"/>
        <v>#DIV/0!</v>
      </c>
    </row>
    <row r="70" spans="3:12" x14ac:dyDescent="0.25">
      <c r="C70" s="1" t="s">
        <v>32</v>
      </c>
      <c r="D70" s="12">
        <f t="shared" ref="D70:L70" si="33">D$3/D11</f>
        <v>0.46149499308511943</v>
      </c>
      <c r="E70" s="12">
        <f t="shared" si="33"/>
        <v>0.43739717146134344</v>
      </c>
      <c r="F70" s="12">
        <f t="shared" si="33"/>
        <v>0.41519908690518326</v>
      </c>
      <c r="G70" s="12">
        <f t="shared" si="33"/>
        <v>0.41583925873359223</v>
      </c>
      <c r="H70" s="12">
        <f t="shared" si="33"/>
        <v>0.45585494447805974</v>
      </c>
      <c r="I70" s="12">
        <f t="shared" si="33"/>
        <v>0.40847493387798134</v>
      </c>
      <c r="J70" s="12">
        <f t="shared" si="33"/>
        <v>0.43508695978619089</v>
      </c>
      <c r="K70" s="12" t="e">
        <f t="shared" si="33"/>
        <v>#DIV/0!</v>
      </c>
      <c r="L70" s="12" t="e">
        <f t="shared" si="33"/>
        <v>#DIV/0!</v>
      </c>
    </row>
    <row r="71" spans="3:12" x14ac:dyDescent="0.25">
      <c r="C71" s="1" t="s">
        <v>33</v>
      </c>
      <c r="D71" s="12">
        <f t="shared" ref="D71:L71" si="34">D$3/D12</f>
        <v>8.0886588332778047</v>
      </c>
      <c r="E71" s="12">
        <f t="shared" si="34"/>
        <v>7.6629180276707185</v>
      </c>
      <c r="F71" s="12">
        <f t="shared" si="34"/>
        <v>7.4202987097689412</v>
      </c>
      <c r="G71" s="12">
        <f t="shared" si="34"/>
        <v>8.6643200526302966</v>
      </c>
      <c r="H71" s="12">
        <f t="shared" si="34"/>
        <v>8.1619527069137572</v>
      </c>
      <c r="I71" s="12">
        <f t="shared" si="34"/>
        <v>7.3233487702212265</v>
      </c>
      <c r="J71" s="12">
        <f t="shared" si="34"/>
        <v>4.0146044992934122</v>
      </c>
      <c r="K71" s="12" t="e">
        <f t="shared" si="34"/>
        <v>#DIV/0!</v>
      </c>
      <c r="L71" s="12" t="e">
        <f t="shared" si="34"/>
        <v>#DIV/0!</v>
      </c>
    </row>
    <row r="72" spans="3:12" x14ac:dyDescent="0.25">
      <c r="C72" s="1" t="s">
        <v>34</v>
      </c>
      <c r="D72" s="12">
        <f t="shared" ref="D72:L72" si="35">D$3/D13</f>
        <v>3.8457018119382442</v>
      </c>
      <c r="E72" s="12">
        <f t="shared" si="35"/>
        <v>2.6626485756732849</v>
      </c>
      <c r="F72" s="12">
        <f t="shared" si="35"/>
        <v>1.3457311735975679</v>
      </c>
      <c r="G72" s="12">
        <f t="shared" si="35"/>
        <v>0.68405380639761293</v>
      </c>
      <c r="H72" s="12" t="e">
        <f t="shared" si="35"/>
        <v>#DIV/0!</v>
      </c>
      <c r="I72" s="12" t="e">
        <f t="shared" si="35"/>
        <v>#DIV/0!</v>
      </c>
      <c r="J72" s="12" t="e">
        <f t="shared" si="35"/>
        <v>#DIV/0!</v>
      </c>
      <c r="K72" s="12" t="e">
        <f t="shared" si="35"/>
        <v>#DIV/0!</v>
      </c>
      <c r="L72" s="12" t="e">
        <f t="shared" si="35"/>
        <v>#DIV/0!</v>
      </c>
    </row>
    <row r="73" spans="3:12" x14ac:dyDescent="0.25">
      <c r="C73" s="1" t="s">
        <v>35</v>
      </c>
      <c r="D73" s="12">
        <f t="shared" ref="D73:L73" si="36">D$3/D14</f>
        <v>11.491374095291864</v>
      </c>
      <c r="E73" s="12">
        <f t="shared" si="36"/>
        <v>14.722974647598573</v>
      </c>
      <c r="F73" s="12">
        <f t="shared" si="36"/>
        <v>17.320211135770474</v>
      </c>
      <c r="G73" s="12">
        <f t="shared" si="36"/>
        <v>16.594271336744097</v>
      </c>
      <c r="H73" s="12">
        <f t="shared" si="36"/>
        <v>16.935428872084394</v>
      </c>
      <c r="I73" s="12">
        <f t="shared" si="36"/>
        <v>17.058884306977223</v>
      </c>
      <c r="J73" s="12" t="e">
        <f t="shared" si="36"/>
        <v>#DIV/0!</v>
      </c>
      <c r="K73" s="12" t="e">
        <f t="shared" si="36"/>
        <v>#DIV/0!</v>
      </c>
      <c r="L73" s="12" t="e">
        <f t="shared" si="36"/>
        <v>#DIV/0!</v>
      </c>
    </row>
    <row r="74" spans="3:12" x14ac:dyDescent="0.25">
      <c r="C74" s="1" t="s">
        <v>36</v>
      </c>
      <c r="D74" s="12">
        <f t="shared" ref="D74:L74" si="37">D$3/D15</f>
        <v>11.463367465714784</v>
      </c>
      <c r="E74" s="12">
        <f t="shared" si="37"/>
        <v>14.889898573092813</v>
      </c>
      <c r="F74" s="12">
        <f t="shared" si="37"/>
        <v>17.827312606198404</v>
      </c>
      <c r="G74" s="12">
        <f t="shared" si="37"/>
        <v>20.123008202703769</v>
      </c>
      <c r="H74" s="12">
        <f t="shared" si="37"/>
        <v>21.927956176110399</v>
      </c>
      <c r="I74" s="12">
        <f t="shared" si="37"/>
        <v>22.620828396791484</v>
      </c>
      <c r="J74" s="12" t="e">
        <f t="shared" si="37"/>
        <v>#DIV/0!</v>
      </c>
      <c r="K74" s="12" t="e">
        <f t="shared" si="37"/>
        <v>#DIV/0!</v>
      </c>
      <c r="L74" s="12" t="e">
        <f t="shared" si="37"/>
        <v>#DIV/0!</v>
      </c>
    </row>
    <row r="75" spans="3:12" x14ac:dyDescent="0.25">
      <c r="C75" s="1" t="s">
        <v>38</v>
      </c>
      <c r="D75" s="12">
        <f t="shared" ref="D75:L75" si="38">D$3/D16</f>
        <v>3.868029081650274</v>
      </c>
      <c r="E75" s="12">
        <f t="shared" si="38"/>
        <v>2.6607414757751982</v>
      </c>
      <c r="F75" s="12">
        <f t="shared" si="38"/>
        <v>1.3363458490345814</v>
      </c>
      <c r="G75" s="12">
        <f t="shared" si="38"/>
        <v>0.82493548896098801</v>
      </c>
      <c r="H75" s="12" t="e">
        <f t="shared" si="38"/>
        <v>#DIV/0!</v>
      </c>
      <c r="I75" s="12" t="e">
        <f t="shared" si="38"/>
        <v>#DIV/0!</v>
      </c>
      <c r="J75" s="12" t="e">
        <f t="shared" si="38"/>
        <v>#DIV/0!</v>
      </c>
      <c r="K75" s="12" t="e">
        <f t="shared" si="38"/>
        <v>#DIV/0!</v>
      </c>
      <c r="L75" s="12" t="e">
        <f t="shared" si="38"/>
        <v>#DIV/0!</v>
      </c>
    </row>
    <row r="76" spans="3:12" x14ac:dyDescent="0.25">
      <c r="C76" s="1" t="s">
        <v>39</v>
      </c>
      <c r="D76" s="12">
        <f t="shared" ref="D76:L76" si="39">D$3/D17</f>
        <v>11.517052422198729</v>
      </c>
      <c r="E76" s="12">
        <f t="shared" si="39"/>
        <v>14.391279258016064</v>
      </c>
      <c r="F76" s="12">
        <f t="shared" si="39"/>
        <v>17.368241428961721</v>
      </c>
      <c r="G76" s="12">
        <f t="shared" si="39"/>
        <v>19.829422793974569</v>
      </c>
      <c r="H76" s="12">
        <f t="shared" si="39"/>
        <v>16.655838588458323</v>
      </c>
      <c r="I76" s="12">
        <f t="shared" si="39"/>
        <v>17.068648885557323</v>
      </c>
      <c r="J76" s="12" t="e">
        <f t="shared" si="39"/>
        <v>#DIV/0!</v>
      </c>
      <c r="K76" s="12" t="e">
        <f t="shared" si="39"/>
        <v>#DIV/0!</v>
      </c>
      <c r="L76" s="12" t="e">
        <f t="shared" si="39"/>
        <v>#DIV/0!</v>
      </c>
    </row>
    <row r="77" spans="3:12" x14ac:dyDescent="0.25">
      <c r="C77" s="1" t="s">
        <v>40</v>
      </c>
      <c r="D77" s="12">
        <f t="shared" ref="D77:L77" si="40">D$3/D18</f>
        <v>11.66337116848595</v>
      </c>
      <c r="E77" s="12">
        <f t="shared" si="40"/>
        <v>14.654515257596685</v>
      </c>
      <c r="F77" s="12">
        <f t="shared" si="40"/>
        <v>18.021872490367915</v>
      </c>
      <c r="G77" s="12">
        <f t="shared" si="40"/>
        <v>23.958958060391907</v>
      </c>
      <c r="H77" s="12">
        <f t="shared" si="40"/>
        <v>20.897040227314321</v>
      </c>
      <c r="I77" s="12">
        <f t="shared" si="40"/>
        <v>22.640934377598647</v>
      </c>
      <c r="J77" s="12" t="e">
        <f t="shared" si="40"/>
        <v>#DIV/0!</v>
      </c>
      <c r="K77" s="12" t="e">
        <f t="shared" si="40"/>
        <v>#DIV/0!</v>
      </c>
      <c r="L77" s="12" t="e">
        <f t="shared" si="40"/>
        <v>#DIV/0!</v>
      </c>
    </row>
    <row r="78" spans="3:12" x14ac:dyDescent="0.25">
      <c r="C78" s="1" t="s">
        <v>41</v>
      </c>
      <c r="D78" s="12">
        <f t="shared" ref="D78:L78" si="41">D$3/D19</f>
        <v>11.427642330377365</v>
      </c>
      <c r="E78" s="12">
        <f t="shared" si="41"/>
        <v>14.71795613211011</v>
      </c>
      <c r="F78" s="12">
        <f t="shared" si="41"/>
        <v>17.874624733622625</v>
      </c>
      <c r="G78" s="12">
        <f t="shared" si="41"/>
        <v>21.089826422283622</v>
      </c>
      <c r="H78" s="12">
        <f t="shared" si="41"/>
        <v>22.722605440535865</v>
      </c>
      <c r="I78" s="12">
        <f t="shared" si="41"/>
        <v>22.718807085527835</v>
      </c>
      <c r="J78" s="12">
        <f t="shared" si="41"/>
        <v>24.734993532076533</v>
      </c>
      <c r="K78" s="12" t="e">
        <f t="shared" si="41"/>
        <v>#DIV/0!</v>
      </c>
      <c r="L78" s="12" t="e">
        <f t="shared" si="41"/>
        <v>#DIV/0!</v>
      </c>
    </row>
    <row r="79" spans="3:12" x14ac:dyDescent="0.25">
      <c r="C79" s="1" t="s">
        <v>43</v>
      </c>
      <c r="D79" s="12">
        <f t="shared" ref="D79:L79" si="42">D$3/D20</f>
        <v>11.590854858865278</v>
      </c>
      <c r="E79" s="12">
        <f t="shared" si="42"/>
        <v>15.001826644542231</v>
      </c>
      <c r="F79" s="12">
        <f t="shared" si="42"/>
        <v>17.870757810563038</v>
      </c>
      <c r="G79" s="12">
        <f t="shared" si="42"/>
        <v>20.86844887198065</v>
      </c>
      <c r="H79" s="12">
        <f t="shared" si="42"/>
        <v>23.135044587496271</v>
      </c>
      <c r="I79" s="12">
        <f t="shared" si="42"/>
        <v>21.7794889763118</v>
      </c>
      <c r="J79" s="12">
        <f t="shared" si="42"/>
        <v>24.093329584192951</v>
      </c>
      <c r="K79" s="12" t="e">
        <f t="shared" si="42"/>
        <v>#DIV/0!</v>
      </c>
      <c r="L79" s="12" t="e">
        <f t="shared" si="42"/>
        <v>#DIV/0!</v>
      </c>
    </row>
    <row r="80" spans="3:12" x14ac:dyDescent="0.25">
      <c r="C80" s="1" t="s">
        <v>44</v>
      </c>
      <c r="D80" s="12">
        <f t="shared" ref="D80:L80" si="43">D$3/D21</f>
        <v>22.165298074673245</v>
      </c>
      <c r="E80" s="12">
        <f t="shared" si="43"/>
        <v>21.606440750561962</v>
      </c>
      <c r="F80" s="12">
        <f t="shared" si="43"/>
        <v>21.232900325080969</v>
      </c>
      <c r="G80" s="12">
        <f t="shared" si="43"/>
        <v>21.282480249166866</v>
      </c>
      <c r="H80" s="12">
        <f t="shared" si="43"/>
        <v>20.830772726062133</v>
      </c>
      <c r="I80" s="12">
        <f t="shared" si="43"/>
        <v>19.158710713702241</v>
      </c>
      <c r="J80" s="12">
        <f t="shared" si="43"/>
        <v>20.907672180615869</v>
      </c>
      <c r="K80" s="12" t="e">
        <f t="shared" si="43"/>
        <v>#DIV/0!</v>
      </c>
      <c r="L80" s="12" t="e">
        <f t="shared" si="43"/>
        <v>#DIV/0!</v>
      </c>
    </row>
    <row r="81" spans="3:12" x14ac:dyDescent="0.25">
      <c r="C81" s="1" t="s">
        <v>37</v>
      </c>
      <c r="D81" s="12">
        <f t="shared" ref="D81:L81" si="44">D$3/D22</f>
        <v>22.201862878844604</v>
      </c>
      <c r="E81" s="12">
        <f t="shared" si="44"/>
        <v>21.598280423280425</v>
      </c>
      <c r="F81" s="12">
        <f t="shared" si="44"/>
        <v>21.199810506190175</v>
      </c>
      <c r="G81" s="12">
        <f t="shared" si="44"/>
        <v>20.177894862996943</v>
      </c>
      <c r="H81" s="12">
        <f t="shared" si="44"/>
        <v>20.290393494091351</v>
      </c>
      <c r="I81" s="12">
        <f t="shared" si="44"/>
        <v>19.981249025321937</v>
      </c>
      <c r="J81" s="12" t="e">
        <f t="shared" si="44"/>
        <v>#DIV/0!</v>
      </c>
      <c r="K81" s="12" t="e">
        <f t="shared" si="44"/>
        <v>#DIV/0!</v>
      </c>
      <c r="L81" s="12" t="e">
        <f t="shared" si="44"/>
        <v>#DIV/0!</v>
      </c>
    </row>
    <row r="82" spans="3:12" x14ac:dyDescent="0.25">
      <c r="C82" s="1" t="s">
        <v>42</v>
      </c>
      <c r="D82" s="12">
        <f t="shared" ref="D82:L82" si="45">D$3/D23</f>
        <v>21.935444792078648</v>
      </c>
      <c r="E82" s="12">
        <f t="shared" si="45"/>
        <v>21.412091081432848</v>
      </c>
      <c r="F82" s="12">
        <f t="shared" si="45"/>
        <v>21.056879790033708</v>
      </c>
      <c r="G82" s="12">
        <f t="shared" si="45"/>
        <v>21.202595537341633</v>
      </c>
      <c r="H82" s="12">
        <f t="shared" si="45"/>
        <v>21.023585196788048</v>
      </c>
      <c r="I82" s="12">
        <f t="shared" si="45"/>
        <v>19.904864939178339</v>
      </c>
      <c r="J82" s="12">
        <f t="shared" si="45"/>
        <v>20.740761894442347</v>
      </c>
      <c r="K82" s="12" t="e">
        <f t="shared" si="45"/>
        <v>#DIV/0!</v>
      </c>
      <c r="L82" s="12" t="e">
        <f t="shared" si="45"/>
        <v>#DIV/0!</v>
      </c>
    </row>
    <row r="83" spans="3:12" x14ac:dyDescent="0.25">
      <c r="C83" s="1" t="s">
        <v>45</v>
      </c>
      <c r="D83" s="12" t="e">
        <f t="shared" ref="D83:L83" si="46">D$3/D24</f>
        <v>#DIV/0!</v>
      </c>
      <c r="E83" s="12">
        <f t="shared" si="46"/>
        <v>20.825924117795832</v>
      </c>
      <c r="F83" s="12">
        <f t="shared" si="46"/>
        <v>20.549413274939017</v>
      </c>
      <c r="G83" s="12">
        <f t="shared" si="46"/>
        <v>19.697408426234251</v>
      </c>
      <c r="H83" s="12">
        <f t="shared" si="46"/>
        <v>20.190521175997244</v>
      </c>
      <c r="I83" s="12">
        <f t="shared" si="46"/>
        <v>20.038216769365516</v>
      </c>
      <c r="J83" s="12">
        <f t="shared" si="46"/>
        <v>13.311160948105988</v>
      </c>
      <c r="K83" s="12" t="e">
        <f t="shared" si="46"/>
        <v>#DIV/0!</v>
      </c>
      <c r="L83" s="12" t="e">
        <f t="shared" si="46"/>
        <v>#DIV/0!</v>
      </c>
    </row>
    <row r="84" spans="3:12" x14ac:dyDescent="0.25">
      <c r="C84" s="1" t="s">
        <v>9</v>
      </c>
      <c r="D84" s="12">
        <f t="shared" ref="D84:L84" si="47">D$3/D25</f>
        <v>7.4135815491387209</v>
      </c>
      <c r="E84" s="12">
        <f t="shared" si="47"/>
        <v>10.255329821921247</v>
      </c>
      <c r="F84" s="12">
        <f t="shared" si="47"/>
        <v>10.470010891106126</v>
      </c>
      <c r="G84" s="12">
        <f t="shared" si="47"/>
        <v>11.599900130552228</v>
      </c>
      <c r="H84" s="12">
        <f t="shared" si="47"/>
        <v>12.478994128474717</v>
      </c>
      <c r="I84" s="12">
        <f t="shared" si="47"/>
        <v>13.462247268482624</v>
      </c>
      <c r="J84" s="12">
        <f t="shared" si="47"/>
        <v>14.767925305474062</v>
      </c>
      <c r="K84" s="12" t="e">
        <f t="shared" si="47"/>
        <v>#DIV/0!</v>
      </c>
      <c r="L84" s="12" t="e">
        <f t="shared" si="47"/>
        <v>#DIV/0!</v>
      </c>
    </row>
    <row r="85" spans="3:12" x14ac:dyDescent="0.25">
      <c r="C85" s="1" t="s">
        <v>13</v>
      </c>
      <c r="D85" s="12">
        <f t="shared" ref="D85:L85" si="48">D$3/D26</f>
        <v>14.046009785247058</v>
      </c>
      <c r="E85" s="12">
        <f t="shared" si="48"/>
        <v>13.621529939575533</v>
      </c>
      <c r="F85" s="12">
        <f t="shared" si="48"/>
        <v>13.46181324898258</v>
      </c>
      <c r="G85" s="12">
        <f t="shared" si="48"/>
        <v>13.943879161821037</v>
      </c>
      <c r="H85" s="12">
        <f t="shared" si="48"/>
        <v>13.531365336904301</v>
      </c>
      <c r="I85" s="12">
        <f t="shared" si="48"/>
        <v>13.555710352648566</v>
      </c>
      <c r="J85" s="12">
        <f t="shared" si="48"/>
        <v>14.195692953683901</v>
      </c>
      <c r="K85" s="12" t="e">
        <f t="shared" si="48"/>
        <v>#DIV/0!</v>
      </c>
      <c r="L85" s="12" t="e">
        <f t="shared" si="48"/>
        <v>#DIV/0!</v>
      </c>
    </row>
    <row r="86" spans="3:12" x14ac:dyDescent="0.25">
      <c r="C86" s="1" t="s">
        <v>14</v>
      </c>
      <c r="D86" s="12">
        <f t="shared" ref="D86:L86" si="49">D$3/D27</f>
        <v>23.524115220158968</v>
      </c>
      <c r="E86" s="12">
        <f t="shared" si="49"/>
        <v>22.679756993491704</v>
      </c>
      <c r="F86" s="12">
        <f t="shared" si="49"/>
        <v>22.353339478506616</v>
      </c>
      <c r="G86" s="12">
        <f t="shared" si="49"/>
        <v>23.020940034439821</v>
      </c>
      <c r="H86" s="12">
        <f t="shared" si="49"/>
        <v>20.894184890732806</v>
      </c>
      <c r="I86" s="12">
        <f t="shared" si="49"/>
        <v>19.717263778541856</v>
      </c>
      <c r="J86" s="12">
        <f t="shared" si="49"/>
        <v>19.545956607272629</v>
      </c>
      <c r="K86" s="12" t="e">
        <f t="shared" si="49"/>
        <v>#DIV/0!</v>
      </c>
      <c r="L86" s="12" t="e">
        <f t="shared" si="49"/>
        <v>#DIV/0!</v>
      </c>
    </row>
    <row r="91" spans="3:12" x14ac:dyDescent="0.25">
      <c r="C91" t="s">
        <v>3</v>
      </c>
    </row>
    <row r="92" spans="3:12" x14ac:dyDescent="0.25">
      <c r="C92" s="1">
        <v>50</v>
      </c>
      <c r="D92" s="2">
        <v>2</v>
      </c>
      <c r="E92" s="3">
        <v>4</v>
      </c>
      <c r="F92" s="2">
        <v>8</v>
      </c>
      <c r="G92" s="2">
        <v>16</v>
      </c>
      <c r="H92" s="2">
        <v>32</v>
      </c>
      <c r="I92" s="2">
        <v>64</v>
      </c>
      <c r="J92" s="2">
        <v>128</v>
      </c>
      <c r="K92" s="2">
        <v>256</v>
      </c>
      <c r="L92" s="2">
        <v>512</v>
      </c>
    </row>
    <row r="93" spans="3:12" x14ac:dyDescent="0.25">
      <c r="C93" s="1"/>
      <c r="D93" s="4">
        <v>42</v>
      </c>
      <c r="E93" s="4">
        <v>84</v>
      </c>
      <c r="F93" s="4">
        <v>168</v>
      </c>
      <c r="G93" s="4">
        <v>336</v>
      </c>
      <c r="H93" s="4">
        <v>672</v>
      </c>
      <c r="I93" s="4">
        <v>1344</v>
      </c>
      <c r="J93" s="4">
        <v>2688</v>
      </c>
      <c r="K93" s="4">
        <v>5376</v>
      </c>
      <c r="L93" s="4">
        <v>10752</v>
      </c>
    </row>
    <row r="94" spans="3:12" x14ac:dyDescent="0.25">
      <c r="C94" s="1" t="s">
        <v>1</v>
      </c>
      <c r="D94" s="1">
        <v>30555.840778999969</v>
      </c>
      <c r="E94" s="1">
        <v>27529.520607000031</v>
      </c>
      <c r="F94" s="1">
        <v>70267.974157999983</v>
      </c>
      <c r="G94" s="1">
        <v>190319.36155600016</v>
      </c>
      <c r="H94" s="1">
        <v>238221536.40893099</v>
      </c>
      <c r="I94" s="1">
        <v>2819514.8053959999</v>
      </c>
      <c r="J94" s="1">
        <v>1305655263.719346</v>
      </c>
      <c r="K94" s="1"/>
      <c r="L94" s="1"/>
    </row>
    <row r="95" spans="3:12" x14ac:dyDescent="0.25">
      <c r="C95" s="1" t="s">
        <v>25</v>
      </c>
      <c r="D95" s="1">
        <v>783.99754715999973</v>
      </c>
      <c r="E95" s="1">
        <v>119107.91070523996</v>
      </c>
      <c r="F95" s="1">
        <v>930030.13577599998</v>
      </c>
      <c r="G95" s="1">
        <v>5739634.3120290013</v>
      </c>
      <c r="H95" s="1"/>
      <c r="I95" s="1"/>
      <c r="J95" s="1"/>
      <c r="K95" s="1"/>
      <c r="L95" s="1"/>
    </row>
    <row r="96" spans="3:12" x14ac:dyDescent="0.25">
      <c r="C96" s="1" t="s">
        <v>26</v>
      </c>
      <c r="D96" s="1">
        <v>327.71555600000028</v>
      </c>
      <c r="E96" s="1">
        <v>346.13785683999993</v>
      </c>
      <c r="F96" s="1">
        <v>1357.3058891600015</v>
      </c>
      <c r="G96" s="1">
        <v>17312.356585360001</v>
      </c>
      <c r="H96" s="1">
        <v>3101.7704504399958</v>
      </c>
      <c r="I96" s="1">
        <v>13288499.534314001</v>
      </c>
      <c r="J96" s="1">
        <v>2577973.321454999</v>
      </c>
      <c r="K96" s="1"/>
      <c r="L96" s="1"/>
    </row>
    <row r="97" spans="3:12" x14ac:dyDescent="0.25">
      <c r="C97" s="1" t="s">
        <v>27</v>
      </c>
      <c r="D97" s="1">
        <v>1792.0024945600003</v>
      </c>
      <c r="E97" s="1">
        <v>1516.3722702399998</v>
      </c>
      <c r="F97" s="1">
        <v>2795.8945131599994</v>
      </c>
      <c r="G97" s="1">
        <v>9936.8767845599887</v>
      </c>
      <c r="H97" s="1">
        <v>308.07597436000327</v>
      </c>
      <c r="I97" s="1">
        <v>10585851.850805819</v>
      </c>
      <c r="J97" s="1">
        <v>4245397.0888239993</v>
      </c>
      <c r="K97" s="1"/>
      <c r="L97" s="1"/>
    </row>
    <row r="98" spans="3:12" x14ac:dyDescent="0.25">
      <c r="C98" s="1" t="s">
        <v>46</v>
      </c>
      <c r="D98" s="1">
        <v>3657.0705833600036</v>
      </c>
      <c r="E98" s="1">
        <v>16787.437132840023</v>
      </c>
      <c r="F98" s="1">
        <v>461861.80774400092</v>
      </c>
      <c r="G98" s="1">
        <v>440758.63999999984</v>
      </c>
      <c r="H98" s="1"/>
      <c r="I98" s="1"/>
      <c r="J98" s="1"/>
      <c r="K98" s="1"/>
      <c r="L98" s="1"/>
    </row>
    <row r="99" spans="3:12" x14ac:dyDescent="0.25">
      <c r="C99" s="1" t="s">
        <v>29</v>
      </c>
      <c r="D99" s="1">
        <v>63.832176439999941</v>
      </c>
      <c r="E99" s="1">
        <v>2832.0546805599993</v>
      </c>
      <c r="F99" s="1">
        <v>2907.8736060000006</v>
      </c>
      <c r="G99" s="1">
        <v>6126.7194474399967</v>
      </c>
      <c r="H99" s="1">
        <v>281569.40859503997</v>
      </c>
      <c r="I99" s="1">
        <v>884562.15579799982</v>
      </c>
      <c r="J99" s="1">
        <v>8714088.380853001</v>
      </c>
      <c r="K99" s="1"/>
      <c r="L99" s="1"/>
    </row>
    <row r="100" spans="3:12" x14ac:dyDescent="0.25">
      <c r="C100" s="1" t="s">
        <v>30</v>
      </c>
      <c r="D100" s="1">
        <v>175.93944255999972</v>
      </c>
      <c r="E100" s="1">
        <v>2657.9955689599997</v>
      </c>
      <c r="F100" s="1">
        <v>3330.0577313599979</v>
      </c>
      <c r="G100" s="1">
        <v>5666.8874567600014</v>
      </c>
      <c r="H100" s="1">
        <v>399743.43354743998</v>
      </c>
      <c r="I100" s="1">
        <v>104641.270403</v>
      </c>
      <c r="J100" s="1">
        <v>361657.16678400018</v>
      </c>
      <c r="K100" s="1"/>
      <c r="L100" s="1"/>
    </row>
    <row r="101" spans="3:12" x14ac:dyDescent="0.25">
      <c r="C101" s="1" t="s">
        <v>31</v>
      </c>
      <c r="D101" s="1">
        <v>1970367.8656811584</v>
      </c>
      <c r="E101" s="1">
        <v>12223748.688513037</v>
      </c>
      <c r="F101" s="1">
        <v>888472.96635600028</v>
      </c>
      <c r="G101" s="1">
        <v>714856.51359999995</v>
      </c>
      <c r="H101" s="1"/>
      <c r="I101" s="1"/>
      <c r="J101" s="1"/>
      <c r="K101" s="1"/>
      <c r="L101" s="1"/>
    </row>
    <row r="102" spans="3:12" x14ac:dyDescent="0.25">
      <c r="C102" s="1" t="s">
        <v>32</v>
      </c>
      <c r="D102" s="1">
        <v>255856.61307600004</v>
      </c>
      <c r="E102" s="1">
        <v>387532.88734400063</v>
      </c>
      <c r="F102" s="1">
        <v>301114.15999999997</v>
      </c>
      <c r="G102" s="1">
        <v>116194385.00639999</v>
      </c>
      <c r="H102" s="1">
        <v>1190422.2544000007</v>
      </c>
      <c r="I102" s="1">
        <v>177020013.67840001</v>
      </c>
      <c r="J102" s="1">
        <v>13695406054.559992</v>
      </c>
      <c r="K102" s="1"/>
      <c r="L102" s="1"/>
    </row>
    <row r="103" spans="3:12" x14ac:dyDescent="0.25">
      <c r="C103" s="1" t="s">
        <v>33</v>
      </c>
      <c r="D103" s="1">
        <v>589.44087235999996</v>
      </c>
      <c r="E103" s="1">
        <v>1293.7147184400017</v>
      </c>
      <c r="F103" s="1">
        <v>3734.0808512399999</v>
      </c>
      <c r="G103" s="1">
        <v>2249.5536999999986</v>
      </c>
      <c r="H103" s="1">
        <v>1719.5473640000052</v>
      </c>
      <c r="I103" s="1">
        <v>135629.30934400007</v>
      </c>
      <c r="J103" s="1">
        <v>6542602.7343999995</v>
      </c>
      <c r="K103" s="1"/>
      <c r="L103" s="1"/>
    </row>
    <row r="104" spans="3:12" x14ac:dyDescent="0.25">
      <c r="C104" s="1" t="s">
        <v>34</v>
      </c>
      <c r="D104" s="1">
        <v>6654.7219871599982</v>
      </c>
      <c r="E104" s="1">
        <v>35487.340538000026</v>
      </c>
      <c r="F104" s="1">
        <v>837256.38459100015</v>
      </c>
      <c r="G104" s="1">
        <v>1440946.5003240001</v>
      </c>
      <c r="H104" s="1"/>
      <c r="I104" s="1"/>
      <c r="J104" s="1"/>
      <c r="K104" s="1"/>
      <c r="L104" s="1"/>
    </row>
    <row r="105" spans="3:12" x14ac:dyDescent="0.25">
      <c r="C105" s="1" t="s">
        <v>35</v>
      </c>
      <c r="D105" s="1">
        <v>291.87573463999951</v>
      </c>
      <c r="E105" s="1">
        <v>1425.8598865600004</v>
      </c>
      <c r="F105" s="1">
        <v>2517.9616046399992</v>
      </c>
      <c r="G105" s="1">
        <v>7533.1542407600036</v>
      </c>
      <c r="H105" s="1">
        <v>51122.53860200003</v>
      </c>
      <c r="I105" s="1">
        <v>113196.52584499994</v>
      </c>
      <c r="J105" s="1"/>
      <c r="K105" s="1"/>
      <c r="L105" s="1"/>
    </row>
    <row r="106" spans="3:12" x14ac:dyDescent="0.25">
      <c r="C106" s="1" t="s">
        <v>36</v>
      </c>
      <c r="D106" s="1">
        <v>231.51644576000007</v>
      </c>
      <c r="E106" s="1">
        <v>985.17318536000016</v>
      </c>
      <c r="F106" s="1">
        <v>2799.0518576399982</v>
      </c>
      <c r="G106" s="1">
        <v>6626.4053495600047</v>
      </c>
      <c r="H106" s="1">
        <v>15370.160130559989</v>
      </c>
      <c r="I106" s="1">
        <v>63516.012437999954</v>
      </c>
      <c r="J106" s="1"/>
      <c r="K106" s="1"/>
      <c r="L106" s="1"/>
    </row>
    <row r="107" spans="3:12" x14ac:dyDescent="0.25">
      <c r="C107" s="1" t="s">
        <v>38</v>
      </c>
      <c r="D107" s="1">
        <v>2065.2902790000007</v>
      </c>
      <c r="E107" s="1">
        <v>79659.213409999968</v>
      </c>
      <c r="F107" s="1">
        <v>1582915.4334249999</v>
      </c>
      <c r="G107" s="1">
        <v>1616562.1250139999</v>
      </c>
      <c r="H107" s="1"/>
      <c r="I107" s="1"/>
      <c r="J107" s="1"/>
      <c r="K107" s="1"/>
      <c r="L107" s="1"/>
    </row>
    <row r="108" spans="3:12" x14ac:dyDescent="0.25">
      <c r="C108" s="1" t="s">
        <v>39</v>
      </c>
      <c r="D108" s="1">
        <v>547.70797643999947</v>
      </c>
      <c r="E108" s="1">
        <v>355.59916115999999</v>
      </c>
      <c r="F108" s="1">
        <v>2880.5778502400017</v>
      </c>
      <c r="G108" s="1">
        <v>1137.1193920399974</v>
      </c>
      <c r="H108" s="1">
        <v>371751.65124000004</v>
      </c>
      <c r="I108" s="1">
        <v>95810.619787999982</v>
      </c>
      <c r="J108" s="1"/>
      <c r="K108" s="1"/>
      <c r="L108" s="1"/>
    </row>
    <row r="109" spans="3:12" x14ac:dyDescent="0.25">
      <c r="C109" s="1" t="s">
        <v>40</v>
      </c>
      <c r="D109" s="1">
        <v>138.83203356000001</v>
      </c>
      <c r="E109" s="1">
        <v>1246.5237855600005</v>
      </c>
      <c r="F109" s="1">
        <v>632.43053444000054</v>
      </c>
      <c r="G109" s="1">
        <v>48.628829160000102</v>
      </c>
      <c r="H109" s="1">
        <v>147024.39368124004</v>
      </c>
      <c r="I109" s="1">
        <v>72003.223130000086</v>
      </c>
      <c r="J109" s="1"/>
      <c r="K109" s="1"/>
      <c r="L109" s="1"/>
    </row>
    <row r="110" spans="3:12" x14ac:dyDescent="0.25">
      <c r="C110" s="1" t="s">
        <v>41</v>
      </c>
      <c r="D110" s="1">
        <v>251.41022900000027</v>
      </c>
      <c r="E110" s="1">
        <v>335.09878103999995</v>
      </c>
      <c r="F110" s="1">
        <v>1166.8805769999992</v>
      </c>
      <c r="G110" s="1">
        <v>4525.6769821599992</v>
      </c>
      <c r="H110" s="1">
        <v>155676.43423956004</v>
      </c>
      <c r="I110" s="1">
        <v>6183470.5836250009</v>
      </c>
      <c r="J110" s="1">
        <v>552030.21973300027</v>
      </c>
      <c r="K110" s="1"/>
      <c r="L110" s="1"/>
    </row>
    <row r="111" spans="3:12" x14ac:dyDescent="0.25">
      <c r="C111" s="1" t="s">
        <v>43</v>
      </c>
      <c r="D111" s="1">
        <v>251.41022900000027</v>
      </c>
      <c r="E111" s="1">
        <v>335.09878103999995</v>
      </c>
      <c r="F111" s="1">
        <v>1166.8805769999992</v>
      </c>
      <c r="G111" s="1">
        <v>4525.6769821599992</v>
      </c>
      <c r="H111" s="1">
        <v>155676.43423956004</v>
      </c>
      <c r="I111" s="1">
        <v>6183470.5836250009</v>
      </c>
      <c r="J111" s="1">
        <v>552030.21973300027</v>
      </c>
      <c r="K111" s="1"/>
      <c r="L111" s="1"/>
    </row>
    <row r="112" spans="3:12" x14ac:dyDescent="0.25">
      <c r="C112" s="1" t="s">
        <v>8</v>
      </c>
      <c r="D112" s="1">
        <v>167.51600903560004</v>
      </c>
      <c r="E112" s="1">
        <v>558.86905800000022</v>
      </c>
      <c r="F112" s="1">
        <v>333.57509099999993</v>
      </c>
      <c r="G112" s="1">
        <v>2851.737513040001</v>
      </c>
      <c r="H112" s="1">
        <v>42269.478490560025</v>
      </c>
      <c r="I112" s="1">
        <v>133384.94100100003</v>
      </c>
      <c r="J112" s="1">
        <v>120448.13017200015</v>
      </c>
      <c r="K112" s="1"/>
      <c r="L112" s="1"/>
    </row>
    <row r="113" spans="3:12" x14ac:dyDescent="0.25">
      <c r="C113" s="1" t="s">
        <v>37</v>
      </c>
      <c r="D113" s="1">
        <v>175.77522985639996</v>
      </c>
      <c r="E113" s="1">
        <v>1101.8354940000004</v>
      </c>
      <c r="F113" s="1">
        <v>358.98441703999976</v>
      </c>
      <c r="G113" s="1">
        <v>2861.3259628400001</v>
      </c>
      <c r="H113" s="1">
        <v>10029.95534200001</v>
      </c>
      <c r="I113" s="1">
        <v>60318.786804000025</v>
      </c>
      <c r="J113" s="1"/>
      <c r="K113" s="1"/>
      <c r="L113" s="1"/>
    </row>
    <row r="114" spans="3:12" x14ac:dyDescent="0.25">
      <c r="C114" s="1" t="s">
        <v>42</v>
      </c>
      <c r="D114" s="1">
        <v>495.63241381640006</v>
      </c>
      <c r="E114" s="1">
        <v>96.572213160000089</v>
      </c>
      <c r="F114" s="1">
        <v>714.41986799999916</v>
      </c>
      <c r="G114" s="1">
        <v>3748.99635184</v>
      </c>
      <c r="H114" s="1">
        <v>20129.772560000001</v>
      </c>
      <c r="I114" s="1">
        <v>2800422.761194</v>
      </c>
      <c r="J114" s="1">
        <v>220418.78225599992</v>
      </c>
      <c r="K114" s="1"/>
      <c r="L114" s="1"/>
    </row>
    <row r="115" spans="3:12" x14ac:dyDescent="0.25">
      <c r="C115" s="1" t="s">
        <v>10</v>
      </c>
      <c r="D115" s="1" t="e">
        <v>#DIV/0!</v>
      </c>
      <c r="E115" s="1">
        <v>440.2211454399997</v>
      </c>
      <c r="F115" s="1">
        <v>1116.0678930000015</v>
      </c>
      <c r="G115" s="1">
        <v>7097.6773539599953</v>
      </c>
      <c r="H115" s="1">
        <v>6993.6841080000067</v>
      </c>
      <c r="I115" s="1">
        <v>52919.376373999949</v>
      </c>
      <c r="J115" s="1">
        <v>7423274.5401530024</v>
      </c>
      <c r="K115" s="1"/>
      <c r="L115" s="1"/>
    </row>
    <row r="116" spans="3:12" x14ac:dyDescent="0.25">
      <c r="C116" s="1" t="s">
        <v>9</v>
      </c>
      <c r="D116" s="1">
        <v>919.66778799999952</v>
      </c>
      <c r="E116" s="1">
        <v>1645.878142999999</v>
      </c>
      <c r="F116" s="1">
        <v>20295.816985960013</v>
      </c>
      <c r="G116" s="1">
        <v>7997.4668329999968</v>
      </c>
      <c r="H116" s="1">
        <v>4124999.3539469992</v>
      </c>
      <c r="I116" s="1">
        <v>2418842.8982990002</v>
      </c>
      <c r="J116" s="1">
        <v>3236315.8949239999</v>
      </c>
      <c r="K116" s="1"/>
      <c r="L116" s="1"/>
    </row>
    <row r="117" spans="3:12" x14ac:dyDescent="0.25">
      <c r="C117" s="1" t="s">
        <v>13</v>
      </c>
      <c r="D117" s="1">
        <v>273.95643429959989</v>
      </c>
      <c r="E117" s="1">
        <v>118.83993075999997</v>
      </c>
      <c r="F117" s="1">
        <v>391.80990575999988</v>
      </c>
      <c r="G117" s="1">
        <v>484.12665544000095</v>
      </c>
      <c r="H117" s="1">
        <v>55338.299999999988</v>
      </c>
      <c r="I117" s="1">
        <v>124228.531378</v>
      </c>
      <c r="J117" s="1">
        <v>225953.75803</v>
      </c>
      <c r="K117" s="1"/>
      <c r="L117" s="1"/>
    </row>
    <row r="118" spans="3:12" x14ac:dyDescent="0.25">
      <c r="C118" s="1" t="s">
        <v>14</v>
      </c>
      <c r="D118" s="1">
        <v>14.040797091600009</v>
      </c>
      <c r="E118" s="1">
        <v>50.267364839999971</v>
      </c>
      <c r="F118" s="1">
        <v>215.92481776000022</v>
      </c>
      <c r="G118" s="1">
        <v>43.779129840000046</v>
      </c>
      <c r="H118" s="1">
        <v>36739.174011640003</v>
      </c>
      <c r="I118" s="1">
        <v>38723.259470999968</v>
      </c>
      <c r="J118" s="1">
        <v>123386.60458499991</v>
      </c>
      <c r="K118" s="1"/>
      <c r="L118" s="1"/>
    </row>
    <row r="119" spans="3:12" x14ac:dyDescent="0.25">
      <c r="E119" s="110"/>
    </row>
    <row r="120" spans="3:12" x14ac:dyDescent="0.25">
      <c r="C120" t="s">
        <v>15</v>
      </c>
      <c r="D120">
        <v>1.96</v>
      </c>
      <c r="E120" s="110">
        <v>50</v>
      </c>
    </row>
    <row r="121" spans="3:12" x14ac:dyDescent="0.25">
      <c r="C121" s="1">
        <v>50</v>
      </c>
      <c r="D121" s="2">
        <v>2</v>
      </c>
      <c r="E121" s="3">
        <v>4</v>
      </c>
      <c r="F121" s="2">
        <v>8</v>
      </c>
      <c r="G121" s="2">
        <v>16</v>
      </c>
      <c r="H121" s="2">
        <v>32</v>
      </c>
      <c r="I121" s="2">
        <v>64</v>
      </c>
      <c r="J121" s="2">
        <v>128</v>
      </c>
      <c r="K121" s="2">
        <v>256</v>
      </c>
      <c r="L121" s="2">
        <v>512</v>
      </c>
    </row>
    <row r="122" spans="3:12" x14ac:dyDescent="0.25">
      <c r="C122" s="1"/>
      <c r="D122" s="4">
        <v>42</v>
      </c>
      <c r="E122" s="4">
        <v>84</v>
      </c>
      <c r="F122" s="4">
        <v>168</v>
      </c>
      <c r="G122" s="4">
        <v>336</v>
      </c>
      <c r="H122" s="4">
        <v>672</v>
      </c>
      <c r="I122" s="4">
        <v>1344</v>
      </c>
      <c r="J122" s="4">
        <v>2688</v>
      </c>
      <c r="K122" s="4">
        <v>5376</v>
      </c>
      <c r="L122" s="4">
        <v>10752</v>
      </c>
    </row>
    <row r="123" spans="3:12" x14ac:dyDescent="0.25">
      <c r="C123" s="1" t="s">
        <v>1</v>
      </c>
      <c r="D123" s="1">
        <f>$D$120*SQRT(D94)/SQRT($E$120)</f>
        <v>48.452722923816417</v>
      </c>
      <c r="E123" s="1">
        <f t="shared" ref="E123:L123" si="50">$D$120*SQRT(E94)/SQRT($E$120)</f>
        <v>45.990739581757389</v>
      </c>
      <c r="F123" s="1">
        <f t="shared" si="50"/>
        <v>73.476724141101002</v>
      </c>
      <c r="G123" s="1">
        <f t="shared" si="50"/>
        <v>120.92401410419107</v>
      </c>
      <c r="H123" s="1">
        <f t="shared" si="50"/>
        <v>4278.2048905318907</v>
      </c>
      <c r="I123" s="1">
        <f t="shared" si="50"/>
        <v>465.43416454766776</v>
      </c>
      <c r="J123" s="1">
        <f t="shared" si="50"/>
        <v>10015.792790492662</v>
      </c>
      <c r="K123" s="1">
        <f t="shared" si="50"/>
        <v>0</v>
      </c>
      <c r="L123" s="1">
        <f t="shared" si="50"/>
        <v>0</v>
      </c>
    </row>
    <row r="124" spans="3:12" x14ac:dyDescent="0.25">
      <c r="C124" s="1" t="s">
        <v>25</v>
      </c>
      <c r="D124" s="1">
        <f t="shared" ref="D124:L139" si="51">$D$120*SQRT(D95)/SQRT($E$120)</f>
        <v>7.7611918893554677</v>
      </c>
      <c r="E124" s="1">
        <f t="shared" si="51"/>
        <v>95.662422064805554</v>
      </c>
      <c r="F124" s="1">
        <f t="shared" si="51"/>
        <v>267.31269216395549</v>
      </c>
      <c r="G124" s="1">
        <f t="shared" si="51"/>
        <v>664.06895986923837</v>
      </c>
      <c r="H124" s="1">
        <f t="shared" si="51"/>
        <v>0</v>
      </c>
      <c r="I124" s="1">
        <f t="shared" si="51"/>
        <v>0</v>
      </c>
      <c r="J124" s="1">
        <f t="shared" si="51"/>
        <v>0</v>
      </c>
      <c r="K124" s="1">
        <f t="shared" si="51"/>
        <v>0</v>
      </c>
      <c r="L124" s="1">
        <f t="shared" si="51"/>
        <v>0</v>
      </c>
    </row>
    <row r="125" spans="3:12" x14ac:dyDescent="0.25">
      <c r="C125" s="1" t="s">
        <v>26</v>
      </c>
      <c r="D125" s="1">
        <f t="shared" si="51"/>
        <v>5.0178722182407176</v>
      </c>
      <c r="E125" s="1">
        <f t="shared" si="51"/>
        <v>5.1569820454148259</v>
      </c>
      <c r="F125" s="1">
        <f t="shared" si="51"/>
        <v>10.211979537579442</v>
      </c>
      <c r="G125" s="1">
        <f t="shared" si="51"/>
        <v>36.471125307102596</v>
      </c>
      <c r="H125" s="1">
        <f t="shared" si="51"/>
        <v>15.437461813659841</v>
      </c>
      <c r="I125" s="1">
        <f t="shared" si="51"/>
        <v>1010.4365374532006</v>
      </c>
      <c r="J125" s="1">
        <f t="shared" si="51"/>
        <v>445.05150964133401</v>
      </c>
      <c r="K125" s="1">
        <f t="shared" si="51"/>
        <v>0</v>
      </c>
      <c r="L125" s="1">
        <f t="shared" si="51"/>
        <v>0</v>
      </c>
    </row>
    <row r="126" spans="3:12" x14ac:dyDescent="0.25">
      <c r="C126" s="1" t="s">
        <v>27</v>
      </c>
      <c r="D126" s="1">
        <f t="shared" si="51"/>
        <v>11.733845731985483</v>
      </c>
      <c r="E126" s="1">
        <f t="shared" si="51"/>
        <v>10.793790542116318</v>
      </c>
      <c r="F126" s="1">
        <f t="shared" si="51"/>
        <v>14.656540084041289</v>
      </c>
      <c r="G126" s="1">
        <f t="shared" si="51"/>
        <v>27.630963014547884</v>
      </c>
      <c r="H126" s="1">
        <f t="shared" si="51"/>
        <v>4.8651920066969367</v>
      </c>
      <c r="I126" s="1">
        <f t="shared" si="51"/>
        <v>901.8493052617564</v>
      </c>
      <c r="J126" s="1">
        <f t="shared" si="51"/>
        <v>571.12375990543899</v>
      </c>
      <c r="K126" s="1">
        <f t="shared" si="51"/>
        <v>0</v>
      </c>
      <c r="L126" s="1">
        <f t="shared" si="51"/>
        <v>0</v>
      </c>
    </row>
    <row r="127" spans="3:12" x14ac:dyDescent="0.25">
      <c r="C127" s="1" t="s">
        <v>46</v>
      </c>
      <c r="D127" s="1">
        <f t="shared" si="51"/>
        <v>16.762459457392158</v>
      </c>
      <c r="E127" s="1">
        <f t="shared" si="51"/>
        <v>35.913957868638825</v>
      </c>
      <c r="F127" s="1">
        <f t="shared" si="51"/>
        <v>188.37666100817023</v>
      </c>
      <c r="G127" s="1">
        <f t="shared" si="51"/>
        <v>184.02273725950278</v>
      </c>
      <c r="H127" s="1">
        <f t="shared" si="51"/>
        <v>0</v>
      </c>
      <c r="I127" s="1">
        <f t="shared" si="51"/>
        <v>0</v>
      </c>
      <c r="J127" s="1">
        <f t="shared" si="51"/>
        <v>0</v>
      </c>
      <c r="K127" s="1">
        <f t="shared" si="51"/>
        <v>0</v>
      </c>
      <c r="L127" s="1">
        <f t="shared" si="51"/>
        <v>0</v>
      </c>
    </row>
    <row r="128" spans="3:12" x14ac:dyDescent="0.25">
      <c r="C128" s="1" t="s">
        <v>29</v>
      </c>
      <c r="D128" s="1">
        <f t="shared" si="51"/>
        <v>2.2145775624795974</v>
      </c>
      <c r="E128" s="1">
        <f t="shared" si="51"/>
        <v>14.751014379248156</v>
      </c>
      <c r="F128" s="1">
        <f t="shared" si="51"/>
        <v>14.947165112361342</v>
      </c>
      <c r="G128" s="1">
        <f t="shared" si="51"/>
        <v>21.696269462414726</v>
      </c>
      <c r="H128" s="1">
        <f t="shared" si="51"/>
        <v>147.08344842698688</v>
      </c>
      <c r="I128" s="1">
        <f t="shared" si="51"/>
        <v>260.69652769891644</v>
      </c>
      <c r="J128" s="1">
        <f t="shared" si="51"/>
        <v>818.24253035252184</v>
      </c>
      <c r="K128" s="1">
        <f t="shared" si="51"/>
        <v>0</v>
      </c>
      <c r="L128" s="1">
        <f t="shared" si="51"/>
        <v>0</v>
      </c>
    </row>
    <row r="129" spans="3:12" x14ac:dyDescent="0.25">
      <c r="C129" s="1" t="s">
        <v>30</v>
      </c>
      <c r="D129" s="1">
        <f t="shared" si="51"/>
        <v>3.6766532676837906</v>
      </c>
      <c r="E129" s="1">
        <f t="shared" si="51"/>
        <v>14.290525377127834</v>
      </c>
      <c r="F129" s="1">
        <f t="shared" si="51"/>
        <v>15.995467971142679</v>
      </c>
      <c r="G129" s="1">
        <f t="shared" si="51"/>
        <v>20.866199871509533</v>
      </c>
      <c r="H129" s="1">
        <f t="shared" si="51"/>
        <v>175.25149781476023</v>
      </c>
      <c r="I129" s="1">
        <f t="shared" si="51"/>
        <v>89.664921165432887</v>
      </c>
      <c r="J129" s="1">
        <f t="shared" si="51"/>
        <v>166.69386142971283</v>
      </c>
      <c r="K129" s="1">
        <f t="shared" si="51"/>
        <v>0</v>
      </c>
      <c r="L129" s="1">
        <f t="shared" si="51"/>
        <v>0</v>
      </c>
    </row>
    <row r="130" spans="3:12" x14ac:dyDescent="0.25">
      <c r="C130" s="1" t="s">
        <v>31</v>
      </c>
      <c r="D130" s="1">
        <f t="shared" si="51"/>
        <v>389.08521413183354</v>
      </c>
      <c r="E130" s="1">
        <f t="shared" si="51"/>
        <v>969.1104473876203</v>
      </c>
      <c r="F130" s="1">
        <f t="shared" si="51"/>
        <v>261.27218556720538</v>
      </c>
      <c r="G130" s="1">
        <f t="shared" si="51"/>
        <v>234.35839147108683</v>
      </c>
      <c r="H130" s="1">
        <f t="shared" si="51"/>
        <v>0</v>
      </c>
      <c r="I130" s="1">
        <f t="shared" si="51"/>
        <v>0</v>
      </c>
      <c r="J130" s="1">
        <f t="shared" si="51"/>
        <v>0</v>
      </c>
      <c r="K130" s="1">
        <f t="shared" si="51"/>
        <v>0</v>
      </c>
      <c r="L130" s="1">
        <f t="shared" si="51"/>
        <v>0</v>
      </c>
    </row>
    <row r="131" spans="3:12" x14ac:dyDescent="0.25">
      <c r="C131" s="1" t="s">
        <v>32</v>
      </c>
      <c r="D131" s="1">
        <f t="shared" si="51"/>
        <v>140.20690174115978</v>
      </c>
      <c r="E131" s="1">
        <f t="shared" si="51"/>
        <v>172.55412716134683</v>
      </c>
      <c r="F131" s="1">
        <f t="shared" si="51"/>
        <v>152.10260727916531</v>
      </c>
      <c r="G131" s="1">
        <f t="shared" si="51"/>
        <v>2987.8833626518494</v>
      </c>
      <c r="H131" s="1">
        <f t="shared" si="51"/>
        <v>302.42771475190705</v>
      </c>
      <c r="I131" s="1">
        <f t="shared" si="51"/>
        <v>3687.9264758043682</v>
      </c>
      <c r="J131" s="1">
        <f t="shared" si="51"/>
        <v>32438.332848405647</v>
      </c>
      <c r="K131" s="1">
        <f t="shared" si="51"/>
        <v>0</v>
      </c>
      <c r="L131" s="1">
        <f t="shared" si="51"/>
        <v>0</v>
      </c>
    </row>
    <row r="132" spans="3:12" x14ac:dyDescent="0.25">
      <c r="C132" s="1" t="s">
        <v>33</v>
      </c>
      <c r="D132" s="1">
        <f t="shared" si="51"/>
        <v>6.7296300867999808</v>
      </c>
      <c r="E132" s="1">
        <f t="shared" si="51"/>
        <v>9.9698891291318876</v>
      </c>
      <c r="F132" s="1">
        <f t="shared" si="51"/>
        <v>16.938031171375016</v>
      </c>
      <c r="G132" s="1">
        <f t="shared" si="51"/>
        <v>13.146775645701112</v>
      </c>
      <c r="H132" s="1">
        <f t="shared" si="51"/>
        <v>11.494183880156449</v>
      </c>
      <c r="I132" s="1">
        <f t="shared" si="51"/>
        <v>102.08168834574697</v>
      </c>
      <c r="J132" s="1">
        <f t="shared" si="51"/>
        <v>709.00017862439267</v>
      </c>
      <c r="K132" s="1">
        <f t="shared" si="51"/>
        <v>0</v>
      </c>
      <c r="L132" s="1">
        <f t="shared" si="51"/>
        <v>0</v>
      </c>
    </row>
    <row r="133" spans="3:12" x14ac:dyDescent="0.25">
      <c r="C133" s="1" t="s">
        <v>34</v>
      </c>
      <c r="D133" s="1">
        <f t="shared" si="51"/>
        <v>22.611846446442119</v>
      </c>
      <c r="E133" s="1">
        <f t="shared" si="51"/>
        <v>52.216504557616815</v>
      </c>
      <c r="F133" s="1">
        <f t="shared" si="51"/>
        <v>253.62981398269352</v>
      </c>
      <c r="G133" s="1">
        <f t="shared" si="51"/>
        <v>332.73232712331026</v>
      </c>
      <c r="H133" s="1">
        <f t="shared" si="51"/>
        <v>0</v>
      </c>
      <c r="I133" s="1">
        <f t="shared" si="51"/>
        <v>0</v>
      </c>
      <c r="J133" s="1">
        <f t="shared" si="51"/>
        <v>0</v>
      </c>
      <c r="K133" s="1">
        <f t="shared" si="51"/>
        <v>0</v>
      </c>
      <c r="L133" s="1">
        <f t="shared" si="51"/>
        <v>0</v>
      </c>
    </row>
    <row r="134" spans="3:12" x14ac:dyDescent="0.25">
      <c r="C134" s="1" t="s">
        <v>35</v>
      </c>
      <c r="D134" s="1">
        <f t="shared" si="51"/>
        <v>4.7355460555104356</v>
      </c>
      <c r="E134" s="1">
        <f t="shared" si="51"/>
        <v>10.466693212480145</v>
      </c>
      <c r="F134" s="1">
        <f t="shared" si="51"/>
        <v>13.908990833547215</v>
      </c>
      <c r="G134" s="1">
        <f t="shared" si="51"/>
        <v>24.057998807591467</v>
      </c>
      <c r="H134" s="1">
        <f t="shared" si="51"/>
        <v>62.672536934999414</v>
      </c>
      <c r="I134" s="1">
        <f t="shared" si="51"/>
        <v>93.258326565101058</v>
      </c>
      <c r="J134" s="1">
        <f t="shared" si="51"/>
        <v>0</v>
      </c>
      <c r="K134" s="1">
        <f t="shared" si="51"/>
        <v>0</v>
      </c>
      <c r="L134" s="1">
        <f t="shared" si="51"/>
        <v>0</v>
      </c>
    </row>
    <row r="135" spans="3:12" x14ac:dyDescent="0.25">
      <c r="C135" s="1" t="s">
        <v>36</v>
      </c>
      <c r="D135" s="1">
        <f t="shared" si="51"/>
        <v>4.217567019103825</v>
      </c>
      <c r="E135" s="1">
        <f t="shared" si="51"/>
        <v>8.7001624224826699</v>
      </c>
      <c r="F135" s="1">
        <f t="shared" si="51"/>
        <v>14.664813409184459</v>
      </c>
      <c r="G135" s="1">
        <f t="shared" si="51"/>
        <v>22.563687105998309</v>
      </c>
      <c r="H135" s="1">
        <f t="shared" si="51"/>
        <v>34.364518666077444</v>
      </c>
      <c r="I135" s="1">
        <f t="shared" si="51"/>
        <v>69.857442464181389</v>
      </c>
      <c r="J135" s="1">
        <f t="shared" si="51"/>
        <v>0</v>
      </c>
      <c r="K135" s="1">
        <f t="shared" si="51"/>
        <v>0</v>
      </c>
      <c r="L135" s="1">
        <f t="shared" si="51"/>
        <v>0</v>
      </c>
    </row>
    <row r="136" spans="3:12" x14ac:dyDescent="0.25">
      <c r="C136" s="1" t="s">
        <v>38</v>
      </c>
      <c r="D136" s="1">
        <f t="shared" si="51"/>
        <v>12.596840187766457</v>
      </c>
      <c r="E136" s="1">
        <f t="shared" si="51"/>
        <v>78.232836358635979</v>
      </c>
      <c r="F136" s="1">
        <f t="shared" si="51"/>
        <v>348.73852465838871</v>
      </c>
      <c r="G136" s="1">
        <f t="shared" si="51"/>
        <v>352.42545479728852</v>
      </c>
      <c r="H136" s="1">
        <f t="shared" si="51"/>
        <v>0</v>
      </c>
      <c r="I136" s="1">
        <f t="shared" si="51"/>
        <v>0</v>
      </c>
      <c r="J136" s="1">
        <f t="shared" si="51"/>
        <v>0</v>
      </c>
      <c r="K136" s="1">
        <f t="shared" si="51"/>
        <v>0</v>
      </c>
      <c r="L136" s="1">
        <f t="shared" si="51"/>
        <v>0</v>
      </c>
    </row>
    <row r="137" spans="3:12" x14ac:dyDescent="0.25">
      <c r="C137" s="1" t="s">
        <v>39</v>
      </c>
      <c r="D137" s="1">
        <f t="shared" si="51"/>
        <v>6.4870254543849315</v>
      </c>
      <c r="E137" s="1">
        <f t="shared" si="51"/>
        <v>5.2269871580333085</v>
      </c>
      <c r="F137" s="1">
        <f t="shared" si="51"/>
        <v>14.876846352289849</v>
      </c>
      <c r="G137" s="1">
        <f t="shared" si="51"/>
        <v>9.3470400196648917</v>
      </c>
      <c r="H137" s="1">
        <f t="shared" si="51"/>
        <v>169.00420961642249</v>
      </c>
      <c r="I137" s="1">
        <f t="shared" si="51"/>
        <v>85.798144149810213</v>
      </c>
      <c r="J137" s="1">
        <f t="shared" si="51"/>
        <v>0</v>
      </c>
      <c r="K137" s="1">
        <f t="shared" si="51"/>
        <v>0</v>
      </c>
      <c r="L137" s="1">
        <f t="shared" si="51"/>
        <v>0</v>
      </c>
    </row>
    <row r="138" spans="3:12" x14ac:dyDescent="0.25">
      <c r="C138" s="1" t="s">
        <v>40</v>
      </c>
      <c r="D138" s="1">
        <f t="shared" si="51"/>
        <v>3.265997979558763</v>
      </c>
      <c r="E138" s="1">
        <f t="shared" si="51"/>
        <v>9.7863637522905282</v>
      </c>
      <c r="F138" s="1">
        <f t="shared" si="51"/>
        <v>6.9707175256277676</v>
      </c>
      <c r="G138" s="1">
        <f t="shared" si="51"/>
        <v>1.9329382302652942</v>
      </c>
      <c r="H138" s="1">
        <f t="shared" si="51"/>
        <v>106.28348044412657</v>
      </c>
      <c r="I138" s="1">
        <f t="shared" si="51"/>
        <v>74.378435312422141</v>
      </c>
      <c r="J138" s="1">
        <f t="shared" si="51"/>
        <v>0</v>
      </c>
      <c r="K138" s="1">
        <f t="shared" si="51"/>
        <v>0</v>
      </c>
      <c r="L138" s="1">
        <f t="shared" si="51"/>
        <v>0</v>
      </c>
    </row>
    <row r="139" spans="3:12" x14ac:dyDescent="0.25">
      <c r="C139" s="1" t="s">
        <v>41</v>
      </c>
      <c r="D139" s="1">
        <f t="shared" si="51"/>
        <v>4.3950370549664326</v>
      </c>
      <c r="E139" s="1">
        <f t="shared" si="51"/>
        <v>5.0740821381669887</v>
      </c>
      <c r="F139" s="1">
        <f t="shared" si="51"/>
        <v>9.4685673938597468</v>
      </c>
      <c r="G139" s="1">
        <f t="shared" si="51"/>
        <v>18.647166377048205</v>
      </c>
      <c r="H139" s="1">
        <f t="shared" si="51"/>
        <v>109.36604498423574</v>
      </c>
      <c r="I139" s="1">
        <f t="shared" si="51"/>
        <v>689.26657534010451</v>
      </c>
      <c r="J139" s="1">
        <f t="shared" si="51"/>
        <v>205.94558951947931</v>
      </c>
      <c r="K139" s="1">
        <f t="shared" si="51"/>
        <v>0</v>
      </c>
      <c r="L139" s="1">
        <f t="shared" si="51"/>
        <v>0</v>
      </c>
    </row>
    <row r="140" spans="3:12" x14ac:dyDescent="0.25">
      <c r="C140" s="1" t="s">
        <v>43</v>
      </c>
      <c r="D140" s="1">
        <f t="shared" ref="D140:L147" si="52">$D$120*SQRT(D111)/SQRT($E$120)</f>
        <v>4.3950370549664326</v>
      </c>
      <c r="E140" s="1">
        <f t="shared" si="52"/>
        <v>5.0740821381669887</v>
      </c>
      <c r="F140" s="1">
        <f t="shared" si="52"/>
        <v>9.4685673938597468</v>
      </c>
      <c r="G140" s="1">
        <f t="shared" si="52"/>
        <v>18.647166377048205</v>
      </c>
      <c r="H140" s="1">
        <f t="shared" si="52"/>
        <v>109.36604498423574</v>
      </c>
      <c r="I140" s="1">
        <f t="shared" si="52"/>
        <v>689.26657534010451</v>
      </c>
      <c r="J140" s="1">
        <f t="shared" si="52"/>
        <v>205.94558951947931</v>
      </c>
      <c r="K140" s="1">
        <f t="shared" si="52"/>
        <v>0</v>
      </c>
      <c r="L140" s="1">
        <f t="shared" si="52"/>
        <v>0</v>
      </c>
    </row>
    <row r="141" spans="3:12" x14ac:dyDescent="0.25">
      <c r="C141" s="1" t="s">
        <v>8</v>
      </c>
      <c r="D141" s="1">
        <f t="shared" si="52"/>
        <v>3.5875604533196679</v>
      </c>
      <c r="E141" s="1">
        <f t="shared" si="52"/>
        <v>6.5527877627965339</v>
      </c>
      <c r="F141" s="1">
        <f t="shared" si="52"/>
        <v>5.0625331003077889</v>
      </c>
      <c r="G141" s="1">
        <f t="shared" si="52"/>
        <v>14.802185534639449</v>
      </c>
      <c r="H141" s="1">
        <f t="shared" si="52"/>
        <v>56.98814413004434</v>
      </c>
      <c r="I141" s="1">
        <f t="shared" si="52"/>
        <v>101.23355069831757</v>
      </c>
      <c r="J141" s="1">
        <f t="shared" si="52"/>
        <v>96.199120252604772</v>
      </c>
      <c r="K141" s="1">
        <f t="shared" si="52"/>
        <v>0</v>
      </c>
      <c r="L141" s="1">
        <f t="shared" si="52"/>
        <v>0</v>
      </c>
    </row>
    <row r="142" spans="3:12" x14ac:dyDescent="0.25">
      <c r="C142" s="1" t="s">
        <v>37</v>
      </c>
      <c r="D142" s="1">
        <f t="shared" si="52"/>
        <v>3.674937068893414</v>
      </c>
      <c r="E142" s="1">
        <f t="shared" si="52"/>
        <v>9.2008817335627135</v>
      </c>
      <c r="F142" s="1">
        <f t="shared" si="52"/>
        <v>5.2518083295201521</v>
      </c>
      <c r="G142" s="1">
        <f t="shared" si="52"/>
        <v>14.827049483188585</v>
      </c>
      <c r="H142" s="1">
        <f t="shared" si="52"/>
        <v>27.760070764256795</v>
      </c>
      <c r="I142" s="1">
        <f t="shared" si="52"/>
        <v>68.07652332283817</v>
      </c>
      <c r="J142" s="1">
        <f t="shared" si="52"/>
        <v>0</v>
      </c>
      <c r="K142" s="1">
        <f t="shared" si="52"/>
        <v>0</v>
      </c>
      <c r="L142" s="1">
        <f t="shared" si="52"/>
        <v>0</v>
      </c>
    </row>
    <row r="143" spans="3:12" x14ac:dyDescent="0.25">
      <c r="C143" s="1" t="s">
        <v>42</v>
      </c>
      <c r="D143" s="1">
        <f t="shared" si="52"/>
        <v>6.1709342581445181</v>
      </c>
      <c r="E143" s="1">
        <f t="shared" si="52"/>
        <v>2.7239376427350765</v>
      </c>
      <c r="F143" s="1">
        <f t="shared" si="52"/>
        <v>7.4087993155555196</v>
      </c>
      <c r="G143" s="1">
        <f t="shared" si="52"/>
        <v>16.97182629255234</v>
      </c>
      <c r="H143" s="1">
        <f t="shared" si="52"/>
        <v>39.326971474166683</v>
      </c>
      <c r="I143" s="1">
        <f t="shared" si="52"/>
        <v>463.85566891874612</v>
      </c>
      <c r="J143" s="1">
        <f t="shared" si="52"/>
        <v>130.13537519941681</v>
      </c>
      <c r="K143" s="1">
        <f t="shared" si="52"/>
        <v>0</v>
      </c>
      <c r="L143" s="1">
        <f t="shared" si="52"/>
        <v>0</v>
      </c>
    </row>
    <row r="144" spans="3:12" x14ac:dyDescent="0.25">
      <c r="C144" s="1" t="s">
        <v>10</v>
      </c>
      <c r="D144" s="1" t="e">
        <f t="shared" si="52"/>
        <v>#DIV/0!</v>
      </c>
      <c r="E144" s="1">
        <f t="shared" si="52"/>
        <v>5.8157605733425823</v>
      </c>
      <c r="F144" s="1">
        <f t="shared" si="52"/>
        <v>9.2601149212618363</v>
      </c>
      <c r="G144" s="1">
        <f t="shared" si="52"/>
        <v>23.352274973960338</v>
      </c>
      <c r="H144" s="1">
        <f t="shared" si="52"/>
        <v>23.180568098859364</v>
      </c>
      <c r="I144" s="1">
        <f t="shared" si="52"/>
        <v>63.764422098590089</v>
      </c>
      <c r="J144" s="1">
        <f t="shared" si="52"/>
        <v>755.21191030666057</v>
      </c>
      <c r="K144" s="1">
        <f t="shared" si="52"/>
        <v>0</v>
      </c>
      <c r="L144" s="1">
        <f t="shared" si="52"/>
        <v>0</v>
      </c>
    </row>
    <row r="145" spans="3:12" x14ac:dyDescent="0.25">
      <c r="C145" s="1" t="s">
        <v>9</v>
      </c>
      <c r="D145" s="1">
        <f t="shared" si="52"/>
        <v>8.405945246527363</v>
      </c>
      <c r="E145" s="1">
        <f t="shared" si="52"/>
        <v>11.245270538451971</v>
      </c>
      <c r="F145" s="1">
        <f t="shared" si="52"/>
        <v>39.488836532180585</v>
      </c>
      <c r="G145" s="1">
        <f t="shared" si="52"/>
        <v>24.788331362014983</v>
      </c>
      <c r="H145" s="1">
        <f t="shared" si="52"/>
        <v>562.96709527507539</v>
      </c>
      <c r="I145" s="1">
        <f t="shared" si="52"/>
        <v>431.09690043203602</v>
      </c>
      <c r="J145" s="1">
        <f t="shared" si="52"/>
        <v>498.65080250492002</v>
      </c>
      <c r="K145" s="1">
        <f t="shared" si="52"/>
        <v>0</v>
      </c>
      <c r="L145" s="1">
        <f t="shared" si="52"/>
        <v>0</v>
      </c>
    </row>
    <row r="146" spans="3:12" x14ac:dyDescent="0.25">
      <c r="C146" s="1" t="s">
        <v>13</v>
      </c>
      <c r="D146" s="1">
        <f t="shared" si="52"/>
        <v>4.587877587742164</v>
      </c>
      <c r="E146" s="1">
        <f t="shared" si="52"/>
        <v>3.0217063987343837</v>
      </c>
      <c r="F146" s="1">
        <f t="shared" si="52"/>
        <v>5.4866691789602466</v>
      </c>
      <c r="G146" s="1">
        <f t="shared" si="52"/>
        <v>6.0988867173252324</v>
      </c>
      <c r="H146" s="1">
        <f t="shared" si="52"/>
        <v>65.20546193073092</v>
      </c>
      <c r="I146" s="1">
        <f t="shared" si="52"/>
        <v>97.697116246256201</v>
      </c>
      <c r="J146" s="1">
        <f t="shared" si="52"/>
        <v>131.75917097857348</v>
      </c>
      <c r="K146" s="1">
        <f t="shared" si="52"/>
        <v>0</v>
      </c>
      <c r="L146" s="1">
        <f t="shared" si="52"/>
        <v>0</v>
      </c>
    </row>
    <row r="147" spans="3:12" x14ac:dyDescent="0.25">
      <c r="C147" s="1" t="s">
        <v>14</v>
      </c>
      <c r="D147" s="1">
        <f t="shared" si="52"/>
        <v>1.0386445600597982</v>
      </c>
      <c r="E147" s="1">
        <f t="shared" si="52"/>
        <v>1.9652333641038351</v>
      </c>
      <c r="F147" s="1">
        <f t="shared" si="52"/>
        <v>4.0730744650860897</v>
      </c>
      <c r="G147" s="1">
        <f t="shared" si="52"/>
        <v>1.8340223836875282</v>
      </c>
      <c r="H147" s="1">
        <f t="shared" si="52"/>
        <v>53.129504210582695</v>
      </c>
      <c r="I147" s="1">
        <f t="shared" si="52"/>
        <v>54.54526076274518</v>
      </c>
      <c r="J147" s="1">
        <f t="shared" si="52"/>
        <v>97.365494932623392</v>
      </c>
      <c r="K147" s="1">
        <f t="shared" si="52"/>
        <v>0</v>
      </c>
      <c r="L147" s="1">
        <f t="shared" si="52"/>
        <v>0</v>
      </c>
    </row>
  </sheetData>
  <conditionalFormatting sqref="D62:D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E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:F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:G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:H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:I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2"/>
  <sheetViews>
    <sheetView zoomScaleNormal="100" workbookViewId="0">
      <pane xSplit="3" ySplit="2" topLeftCell="D83" activePane="bottomRight" state="frozen"/>
      <selection pane="topRight" activeCell="D1" sqref="D1"/>
      <selection pane="bottomLeft" activeCell="A3" sqref="A3"/>
      <selection pane="bottomRight" activeCell="D100" sqref="D100:J100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2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</row>
    <row r="2" spans="1:12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</row>
    <row r="3" spans="1:12" x14ac:dyDescent="0.25">
      <c r="A3">
        <v>1</v>
      </c>
      <c r="C3" s="1" t="s">
        <v>1</v>
      </c>
      <c r="D3" s="9">
        <v>5875.1582000000017</v>
      </c>
      <c r="E3" s="9">
        <v>10771.412000000002</v>
      </c>
      <c r="F3" s="9">
        <v>26160.065957446805</v>
      </c>
      <c r="G3" s="9">
        <v>39471.227999999996</v>
      </c>
      <c r="H3" s="9">
        <v>77695.88400000002</v>
      </c>
      <c r="I3" s="9">
        <v>153183.06</v>
      </c>
      <c r="J3" s="9">
        <v>307026.62</v>
      </c>
      <c r="K3" s="10"/>
      <c r="L3" s="10"/>
    </row>
    <row r="4" spans="1:12" x14ac:dyDescent="0.25">
      <c r="C4" s="1" t="s">
        <v>25</v>
      </c>
      <c r="D4" s="10">
        <v>659.45637999999997</v>
      </c>
      <c r="E4" s="10">
        <v>974.61907999999994</v>
      </c>
      <c r="F4" s="10">
        <v>2602.1698000000001</v>
      </c>
      <c r="G4" s="10">
        <v>8768.3610000000008</v>
      </c>
      <c r="H4" s="10"/>
      <c r="I4" s="10"/>
      <c r="J4" s="10"/>
      <c r="K4" s="10"/>
      <c r="L4" s="10"/>
    </row>
    <row r="5" spans="1:12" x14ac:dyDescent="0.25">
      <c r="C5" s="1" t="s">
        <v>26</v>
      </c>
      <c r="D5" s="10">
        <v>736.79894000000002</v>
      </c>
      <c r="E5" s="10">
        <v>951.97772000000032</v>
      </c>
      <c r="F5" s="10">
        <v>1349.0593999999996</v>
      </c>
      <c r="G5" s="10">
        <v>2210.5108</v>
      </c>
      <c r="H5" s="11">
        <v>4436.7683999999999</v>
      </c>
      <c r="I5" s="10">
        <v>8167.5767999999989</v>
      </c>
      <c r="J5" s="10">
        <v>16175.518000000004</v>
      </c>
      <c r="K5" s="10"/>
      <c r="L5" s="10"/>
    </row>
    <row r="6" spans="1:12" x14ac:dyDescent="0.25">
      <c r="C6" s="1" t="s">
        <v>27</v>
      </c>
      <c r="D6" s="10">
        <v>739.67078000000026</v>
      </c>
      <c r="E6" s="10">
        <v>953.97313999999994</v>
      </c>
      <c r="F6" s="10">
        <v>1339.2325999999998</v>
      </c>
      <c r="G6" s="10">
        <v>2207.6091999999999</v>
      </c>
      <c r="H6" s="10">
        <v>3974.5821999999989</v>
      </c>
      <c r="I6" s="10">
        <v>7162.1168000000025</v>
      </c>
      <c r="J6" s="10">
        <v>13610.748</v>
      </c>
      <c r="K6" s="10"/>
      <c r="L6" s="10"/>
    </row>
    <row r="7" spans="1:12" x14ac:dyDescent="0.25">
      <c r="C7" s="1" t="s">
        <v>28</v>
      </c>
      <c r="D7" s="10">
        <v>660.26747999999998</v>
      </c>
      <c r="E7" s="10">
        <v>975.45583999999985</v>
      </c>
      <c r="F7" s="10">
        <v>2598.6857999999988</v>
      </c>
      <c r="G7" s="10">
        <v>8764.6256000000012</v>
      </c>
      <c r="H7" s="10"/>
      <c r="I7" s="10"/>
      <c r="J7" s="10"/>
      <c r="K7" s="10"/>
      <c r="L7" s="10"/>
    </row>
    <row r="8" spans="1:12" x14ac:dyDescent="0.25">
      <c r="C8" s="1" t="s">
        <v>29</v>
      </c>
      <c r="D8" s="10">
        <v>737.9814600000002</v>
      </c>
      <c r="E8" s="10">
        <v>940.65503999999976</v>
      </c>
      <c r="F8" s="10">
        <v>1338.6938</v>
      </c>
      <c r="G8" s="10">
        <v>2208.9828000000002</v>
      </c>
      <c r="H8" s="10">
        <v>4492.0946000000004</v>
      </c>
      <c r="I8" s="10">
        <v>8202.1733999999997</v>
      </c>
      <c r="J8" s="10">
        <v>16914.277999999998</v>
      </c>
      <c r="K8" s="10"/>
      <c r="L8" s="10"/>
    </row>
    <row r="9" spans="1:12" x14ac:dyDescent="0.25">
      <c r="C9" s="1" t="s">
        <v>30</v>
      </c>
      <c r="D9" s="10">
        <v>736.75001999999995</v>
      </c>
      <c r="E9" s="10">
        <v>940.73670000000016</v>
      </c>
      <c r="F9" s="10">
        <v>1327.4454000000001</v>
      </c>
      <c r="G9" s="10">
        <v>2199.6678000000002</v>
      </c>
      <c r="H9" s="10">
        <v>4003.4428000000003</v>
      </c>
      <c r="I9" s="10">
        <v>7153.5667999999978</v>
      </c>
      <c r="J9" s="10">
        <v>13618.982000000002</v>
      </c>
      <c r="K9" s="10"/>
      <c r="L9" s="9"/>
    </row>
    <row r="10" spans="1:12" x14ac:dyDescent="0.25">
      <c r="C10" s="1" t="s">
        <v>31</v>
      </c>
      <c r="D10" s="10">
        <v>1812.1012000000003</v>
      </c>
      <c r="E10" s="10">
        <v>2665.7835999999998</v>
      </c>
      <c r="F10" s="10">
        <v>18683.676599999999</v>
      </c>
      <c r="G10" s="10">
        <v>16337.163999999999</v>
      </c>
      <c r="H10" s="10"/>
      <c r="I10" s="10" t="e">
        <v>#DIV/0!</v>
      </c>
      <c r="J10" s="10" t="e">
        <v>#DIV/0!</v>
      </c>
      <c r="K10" s="10"/>
      <c r="L10" s="10"/>
    </row>
    <row r="11" spans="1:12" x14ac:dyDescent="0.25">
      <c r="C11" s="1" t="s">
        <v>32</v>
      </c>
      <c r="D11" s="10">
        <v>20501.293999999998</v>
      </c>
      <c r="E11" s="10">
        <v>41987.94</v>
      </c>
      <c r="F11" s="10">
        <v>83325.520000000019</v>
      </c>
      <c r="G11" s="10">
        <v>167914.96</v>
      </c>
      <c r="H11" s="10">
        <v>345659.38</v>
      </c>
      <c r="I11" s="10" t="e">
        <v>#DIV/0!</v>
      </c>
      <c r="J11" s="10" t="e">
        <v>#DIV/0!</v>
      </c>
      <c r="K11" s="10"/>
      <c r="L11" s="10"/>
    </row>
    <row r="12" spans="1:12" x14ac:dyDescent="0.25">
      <c r="C12" s="1" t="s">
        <v>33</v>
      </c>
      <c r="D12" s="10">
        <v>1075.2234000000001</v>
      </c>
      <c r="E12" s="10">
        <v>2212.5600000000004</v>
      </c>
      <c r="F12" s="10">
        <v>4386.9946</v>
      </c>
      <c r="G12" s="10">
        <v>8828.2145999999993</v>
      </c>
      <c r="H12" s="10">
        <v>18276.949999999997</v>
      </c>
      <c r="I12" s="10" t="e">
        <v>#DIV/0!</v>
      </c>
      <c r="J12" s="10" t="e">
        <v>#DIV/0!</v>
      </c>
      <c r="K12" s="10"/>
      <c r="L12" s="10"/>
    </row>
    <row r="13" spans="1:12" x14ac:dyDescent="0.25">
      <c r="C13" s="1" t="s">
        <v>34</v>
      </c>
      <c r="D13" s="10">
        <v>657.61941999999999</v>
      </c>
      <c r="E13" s="10">
        <v>995.75937999999985</v>
      </c>
      <c r="F13" s="10">
        <v>2552.9067999999997</v>
      </c>
      <c r="G13" s="10">
        <v>8528.4405999999981</v>
      </c>
      <c r="H13" s="10"/>
      <c r="I13" s="10"/>
      <c r="J13" s="10" t="e">
        <v>#DIV/0!</v>
      </c>
      <c r="K13" s="10"/>
      <c r="L13" s="10"/>
    </row>
    <row r="14" spans="1:12" x14ac:dyDescent="0.25">
      <c r="C14" s="1" t="s">
        <v>35</v>
      </c>
      <c r="D14" s="10">
        <v>735.14419999999973</v>
      </c>
      <c r="E14" s="10">
        <v>963.16293999999994</v>
      </c>
      <c r="F14" s="10">
        <v>1324.4809999999998</v>
      </c>
      <c r="G14" s="10">
        <v>2133.4768000000004</v>
      </c>
      <c r="H14" s="10">
        <v>4478.8073999999997</v>
      </c>
      <c r="I14" s="10">
        <v>8118.0616</v>
      </c>
      <c r="J14" s="10" t="e">
        <v>#DIV/0!</v>
      </c>
      <c r="K14" s="10"/>
      <c r="L14" s="10"/>
    </row>
    <row r="15" spans="1:12" x14ac:dyDescent="0.25">
      <c r="C15" s="1" t="s">
        <v>36</v>
      </c>
      <c r="D15" s="10">
        <v>735.13289999999984</v>
      </c>
      <c r="E15" s="10">
        <v>965.74456000000032</v>
      </c>
      <c r="F15" s="10">
        <v>1312.1177999999998</v>
      </c>
      <c r="G15" s="10">
        <v>2104.2543999999998</v>
      </c>
      <c r="H15" s="10">
        <v>3984.5520000000006</v>
      </c>
      <c r="I15" s="10">
        <v>7103.4708000000028</v>
      </c>
      <c r="J15" s="10" t="e">
        <v>#DIV/0!</v>
      </c>
      <c r="K15" s="10"/>
      <c r="L15" s="10"/>
    </row>
    <row r="16" spans="1:12" x14ac:dyDescent="0.25">
      <c r="C16" s="1" t="s">
        <v>38</v>
      </c>
      <c r="D16" s="10">
        <v>658.24747999999988</v>
      </c>
      <c r="E16" s="10">
        <v>986.70974000000012</v>
      </c>
      <c r="F16" s="10">
        <v>2551.6206000000002</v>
      </c>
      <c r="G16" s="10">
        <v>8539.2294000000002</v>
      </c>
      <c r="H16" s="10"/>
      <c r="I16" s="10"/>
      <c r="J16" s="10" t="e">
        <v>#DIV/0!</v>
      </c>
      <c r="K16" s="10"/>
      <c r="L16" s="10"/>
    </row>
    <row r="17" spans="3:12" x14ac:dyDescent="0.25">
      <c r="C17" s="1" t="s">
        <v>39</v>
      </c>
      <c r="D17" s="10">
        <v>730.80315999999993</v>
      </c>
      <c r="E17" s="10">
        <v>956.36840000000029</v>
      </c>
      <c r="F17" s="10">
        <v>1323.8333999999998</v>
      </c>
      <c r="G17" s="10">
        <v>2122.5644000000002</v>
      </c>
      <c r="H17" s="10">
        <v>4471.84</v>
      </c>
      <c r="I17" s="10">
        <v>8145.9327999999987</v>
      </c>
      <c r="J17" s="10" t="e">
        <v>#DIV/0!</v>
      </c>
      <c r="K17" s="10"/>
      <c r="L17" s="10"/>
    </row>
    <row r="18" spans="3:12" x14ac:dyDescent="0.25">
      <c r="C18" s="1" t="s">
        <v>40</v>
      </c>
      <c r="D18" s="10">
        <v>737.1331399999998</v>
      </c>
      <c r="E18" s="10">
        <v>950.08859999999981</v>
      </c>
      <c r="F18" s="10">
        <v>1309.8776</v>
      </c>
      <c r="G18" s="10">
        <v>2100.6994000000004</v>
      </c>
      <c r="H18" s="10">
        <v>3975.7632000000008</v>
      </c>
      <c r="I18" s="10">
        <v>7103.4463999999998</v>
      </c>
      <c r="J18" s="10" t="e">
        <v>#DIV/0!</v>
      </c>
      <c r="K18" s="10"/>
      <c r="L18" s="10"/>
    </row>
    <row r="19" spans="3:12" x14ac:dyDescent="0.25">
      <c r="C19" s="1" t="s">
        <v>41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 t="s">
        <v>43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 t="s">
        <v>44</v>
      </c>
      <c r="D21" s="10">
        <v>322.6893199999999</v>
      </c>
      <c r="E21" s="10">
        <v>566.05552</v>
      </c>
      <c r="F21" s="10">
        <v>1058.8452000000002</v>
      </c>
      <c r="G21" s="10">
        <v>2135.6839999999997</v>
      </c>
      <c r="H21" s="10">
        <v>4303.4986000000008</v>
      </c>
      <c r="I21" s="10">
        <v>8174.5442000000003</v>
      </c>
      <c r="J21" s="10">
        <v>16018.514000000001</v>
      </c>
      <c r="K21" s="10"/>
      <c r="L21" s="10"/>
    </row>
    <row r="22" spans="3:12" x14ac:dyDescent="0.25">
      <c r="C22" s="1" t="s">
        <v>37</v>
      </c>
      <c r="D22" s="10">
        <v>360.00485999999995</v>
      </c>
      <c r="E22" s="10">
        <v>743.01370000000009</v>
      </c>
      <c r="F22" s="10">
        <v>1037.3917999999999</v>
      </c>
      <c r="G22" s="10">
        <v>1992.259</v>
      </c>
      <c r="H22" s="10">
        <v>4173.8776000000007</v>
      </c>
      <c r="I22" s="10">
        <v>8166.7250000000004</v>
      </c>
      <c r="J22" s="10" t="e">
        <v>#DIV/0!</v>
      </c>
      <c r="K22" s="10"/>
      <c r="L22" s="10"/>
    </row>
    <row r="23" spans="3:12" x14ac:dyDescent="0.25">
      <c r="C23" s="1" t="s">
        <v>42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3:12" x14ac:dyDescent="0.25">
      <c r="C24" s="1" t="s">
        <v>45</v>
      </c>
      <c r="D24" s="10" t="e">
        <v>#DIV/0!</v>
      </c>
      <c r="E24" s="10">
        <v>560.38250000000016</v>
      </c>
      <c r="F24" s="10">
        <v>1025.0083999999997</v>
      </c>
      <c r="G24" s="10">
        <v>2049.2228000000005</v>
      </c>
      <c r="H24" s="10">
        <v>4041.9912000000004</v>
      </c>
      <c r="I24" s="10">
        <v>7795.1165999999957</v>
      </c>
      <c r="J24" s="10">
        <v>15434.73</v>
      </c>
      <c r="K24" s="10"/>
      <c r="L24" s="10"/>
    </row>
    <row r="25" spans="3:12" x14ac:dyDescent="0.25">
      <c r="C25" s="1" t="s">
        <v>9</v>
      </c>
      <c r="D25" s="10">
        <v>939.67485999999985</v>
      </c>
      <c r="E25" s="10">
        <v>1388.7272</v>
      </c>
      <c r="F25" s="10">
        <v>2797.8443999999995</v>
      </c>
      <c r="G25" s="10">
        <v>5044.6311999999998</v>
      </c>
      <c r="H25" s="10">
        <v>9471.6297999999988</v>
      </c>
      <c r="I25" s="10">
        <v>18078.732000000004</v>
      </c>
      <c r="J25" s="10">
        <v>27833.843999999994</v>
      </c>
      <c r="K25" s="10"/>
      <c r="L25" s="10"/>
    </row>
    <row r="26" spans="3:12" x14ac:dyDescent="0.25">
      <c r="C26" s="1" t="s">
        <v>13</v>
      </c>
      <c r="D26" s="10">
        <v>496.97240000000005</v>
      </c>
      <c r="E26" s="10">
        <v>864.94587999999999</v>
      </c>
      <c r="F26" s="10">
        <v>1599.1573999999998</v>
      </c>
      <c r="G26" s="10">
        <v>3061.0534000000002</v>
      </c>
      <c r="H26" s="10">
        <v>6094.9753999999994</v>
      </c>
      <c r="I26" s="10">
        <v>12117.154000000002</v>
      </c>
      <c r="J26" s="10" t="e">
        <v>#DIV/0!</v>
      </c>
      <c r="K26" s="10"/>
      <c r="L26" s="10"/>
    </row>
    <row r="27" spans="3:12" x14ac:dyDescent="0.25">
      <c r="C27" s="1" t="s">
        <v>14</v>
      </c>
      <c r="D27" s="10">
        <v>369.48455999999999</v>
      </c>
      <c r="E27" s="10">
        <v>602.60230000000013</v>
      </c>
      <c r="F27" s="10">
        <v>1072.0265999999997</v>
      </c>
      <c r="G27" s="10">
        <v>2077.2693999999992</v>
      </c>
      <c r="H27" s="10">
        <v>4173.0254000000014</v>
      </c>
      <c r="I27" s="10">
        <v>8534.3469999999998</v>
      </c>
      <c r="J27" s="10" t="e">
        <v>#DIV/0!</v>
      </c>
      <c r="K27" s="10"/>
      <c r="L27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139.88471904761909</v>
      </c>
      <c r="E32" s="5">
        <f t="shared" ref="E32:L32" si="0">E3/E$2</f>
        <v>128.23109523809526</v>
      </c>
      <c r="F32" s="5">
        <f t="shared" si="0"/>
        <v>155.71467831813575</v>
      </c>
      <c r="G32" s="5">
        <f t="shared" si="0"/>
        <v>117.47389285714284</v>
      </c>
      <c r="H32" s="5">
        <f t="shared" si="0"/>
        <v>115.61887500000003</v>
      </c>
      <c r="I32" s="5">
        <f t="shared" si="0"/>
        <v>113.97549107142856</v>
      </c>
      <c r="J32" s="5">
        <f t="shared" si="0"/>
        <v>114.22121279761905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25</v>
      </c>
      <c r="D33" s="5">
        <f t="shared" ref="D33:L33" si="1">D4/D$2</f>
        <v>15.701342380952379</v>
      </c>
      <c r="E33" s="5">
        <f t="shared" si="1"/>
        <v>11.602608095238095</v>
      </c>
      <c r="F33" s="5">
        <f t="shared" si="1"/>
        <v>15.489105952380953</v>
      </c>
      <c r="G33" s="5">
        <f t="shared" si="1"/>
        <v>26.096312500000003</v>
      </c>
      <c r="H33" s="5">
        <f t="shared" si="1"/>
        <v>0</v>
      </c>
      <c r="I33" s="5">
        <f t="shared" si="1"/>
        <v>0</v>
      </c>
      <c r="J33" s="5">
        <f t="shared" si="1"/>
        <v>0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26</v>
      </c>
      <c r="D34" s="5">
        <f t="shared" ref="D34:L34" si="2">D5/D$2</f>
        <v>17.542831904761904</v>
      </c>
      <c r="E34" s="5">
        <f t="shared" si="2"/>
        <v>11.333068095238099</v>
      </c>
      <c r="F34" s="5">
        <f t="shared" si="2"/>
        <v>8.0301154761904741</v>
      </c>
      <c r="G34" s="5">
        <f t="shared" si="2"/>
        <v>6.5789011904761905</v>
      </c>
      <c r="H34" s="5">
        <f t="shared" si="2"/>
        <v>6.6023339285714284</v>
      </c>
      <c r="I34" s="5">
        <f t="shared" si="2"/>
        <v>6.0770660714285709</v>
      </c>
      <c r="J34" s="5">
        <f t="shared" si="2"/>
        <v>6.0176778273809539</v>
      </c>
      <c r="K34" s="5">
        <f t="shared" si="2"/>
        <v>0</v>
      </c>
      <c r="L34" s="5">
        <f t="shared" si="2"/>
        <v>0</v>
      </c>
    </row>
    <row r="35" spans="3:12" x14ac:dyDescent="0.25">
      <c r="C35" s="1" t="s">
        <v>27</v>
      </c>
      <c r="D35" s="5">
        <f t="shared" ref="D35:L35" si="3">D6/D$2</f>
        <v>17.611209047619052</v>
      </c>
      <c r="E35" s="5">
        <f t="shared" si="3"/>
        <v>11.356823095238095</v>
      </c>
      <c r="F35" s="5">
        <f t="shared" si="3"/>
        <v>7.9716226190476176</v>
      </c>
      <c r="G35" s="5">
        <f t="shared" si="3"/>
        <v>6.5702654761904755</v>
      </c>
      <c r="H35" s="5">
        <f t="shared" si="3"/>
        <v>5.9145568452380939</v>
      </c>
      <c r="I35" s="5">
        <f t="shared" si="3"/>
        <v>5.3289559523809542</v>
      </c>
      <c r="J35" s="5">
        <f t="shared" si="3"/>
        <v>5.0635223214285716</v>
      </c>
      <c r="K35" s="5">
        <f t="shared" si="3"/>
        <v>0</v>
      </c>
      <c r="L35" s="5">
        <f t="shared" si="3"/>
        <v>0</v>
      </c>
    </row>
    <row r="36" spans="3:12" x14ac:dyDescent="0.25">
      <c r="C36" s="1" t="s">
        <v>28</v>
      </c>
      <c r="D36" s="5">
        <f t="shared" ref="D36:L36" si="4">D7/D$2</f>
        <v>15.720654285714286</v>
      </c>
      <c r="E36" s="5">
        <f t="shared" si="4"/>
        <v>11.612569523809523</v>
      </c>
      <c r="F36" s="5">
        <f t="shared" si="4"/>
        <v>15.46836785714285</v>
      </c>
      <c r="G36" s="5">
        <f t="shared" si="4"/>
        <v>26.085195238095242</v>
      </c>
      <c r="H36" s="5">
        <f t="shared" si="4"/>
        <v>0</v>
      </c>
      <c r="I36" s="5">
        <f t="shared" si="4"/>
        <v>0</v>
      </c>
      <c r="J36" s="5">
        <f t="shared" si="4"/>
        <v>0</v>
      </c>
      <c r="K36" s="5">
        <f t="shared" si="4"/>
        <v>0</v>
      </c>
      <c r="L36" s="5">
        <f t="shared" si="4"/>
        <v>0</v>
      </c>
    </row>
    <row r="37" spans="3:12" x14ac:dyDescent="0.25">
      <c r="C37" s="1" t="s">
        <v>29</v>
      </c>
      <c r="D37" s="5">
        <f t="shared" ref="D37:L37" si="5">D8/D$2</f>
        <v>17.570987142857149</v>
      </c>
      <c r="E37" s="5">
        <f t="shared" si="5"/>
        <v>11.198274285714282</v>
      </c>
      <c r="F37" s="5">
        <f t="shared" si="5"/>
        <v>7.9684154761904766</v>
      </c>
      <c r="G37" s="5">
        <f t="shared" si="5"/>
        <v>6.5743535714285724</v>
      </c>
      <c r="H37" s="5">
        <f t="shared" si="5"/>
        <v>6.6846645833333342</v>
      </c>
      <c r="I37" s="5">
        <f t="shared" si="5"/>
        <v>6.1028075892857139</v>
      </c>
      <c r="J37" s="5">
        <f t="shared" si="5"/>
        <v>6.292514136904761</v>
      </c>
      <c r="K37" s="5">
        <f t="shared" si="5"/>
        <v>0</v>
      </c>
      <c r="L37" s="5">
        <f t="shared" si="5"/>
        <v>0</v>
      </c>
    </row>
    <row r="38" spans="3:12" x14ac:dyDescent="0.25">
      <c r="C38" s="1" t="s">
        <v>30</v>
      </c>
      <c r="D38" s="5">
        <f t="shared" ref="D38:L38" si="6">D9/D$2</f>
        <v>17.541667142857143</v>
      </c>
      <c r="E38" s="5">
        <f t="shared" si="6"/>
        <v>11.199246428571431</v>
      </c>
      <c r="F38" s="5">
        <f t="shared" si="6"/>
        <v>7.9014607142857143</v>
      </c>
      <c r="G38" s="5">
        <f t="shared" si="6"/>
        <v>6.5466303571428579</v>
      </c>
      <c r="H38" s="5">
        <f t="shared" si="6"/>
        <v>5.9575041666666673</v>
      </c>
      <c r="I38" s="5">
        <f t="shared" si="6"/>
        <v>5.3225943452380937</v>
      </c>
      <c r="J38" s="5">
        <f t="shared" si="6"/>
        <v>5.0665855654761911</v>
      </c>
      <c r="K38" s="5">
        <f t="shared" si="6"/>
        <v>0</v>
      </c>
      <c r="L38" s="5">
        <f t="shared" si="6"/>
        <v>0</v>
      </c>
    </row>
    <row r="39" spans="3:12" x14ac:dyDescent="0.25">
      <c r="C39" s="1" t="s">
        <v>31</v>
      </c>
      <c r="D39" s="5">
        <f t="shared" ref="D39:L39" si="7">D10/D$2</f>
        <v>43.145266666666672</v>
      </c>
      <c r="E39" s="5">
        <f t="shared" si="7"/>
        <v>31.735519047619043</v>
      </c>
      <c r="F39" s="5">
        <f t="shared" si="7"/>
        <v>111.21236071428571</v>
      </c>
      <c r="G39" s="5">
        <f t="shared" si="7"/>
        <v>48.6225119047619</v>
      </c>
      <c r="H39" s="5">
        <f t="shared" si="7"/>
        <v>0</v>
      </c>
      <c r="I39" s="5" t="e">
        <f t="shared" si="7"/>
        <v>#DIV/0!</v>
      </c>
      <c r="J39" s="5" t="e">
        <f t="shared" si="7"/>
        <v>#DIV/0!</v>
      </c>
      <c r="K39" s="5">
        <f t="shared" si="7"/>
        <v>0</v>
      </c>
      <c r="L39" s="5">
        <f t="shared" si="7"/>
        <v>0</v>
      </c>
    </row>
    <row r="40" spans="3:12" x14ac:dyDescent="0.25">
      <c r="C40" s="1" t="s">
        <v>32</v>
      </c>
      <c r="D40" s="5">
        <f t="shared" ref="D40:L40" si="8">D11/D$2</f>
        <v>488.1260476190476</v>
      </c>
      <c r="E40" s="5">
        <f t="shared" si="8"/>
        <v>499.85642857142858</v>
      </c>
      <c r="F40" s="5">
        <f t="shared" si="8"/>
        <v>495.98523809523823</v>
      </c>
      <c r="G40" s="5">
        <f t="shared" si="8"/>
        <v>499.74690476190472</v>
      </c>
      <c r="H40" s="5">
        <f t="shared" si="8"/>
        <v>514.37407738095237</v>
      </c>
      <c r="I40" s="5" t="e">
        <f t="shared" si="8"/>
        <v>#DIV/0!</v>
      </c>
      <c r="J40" s="5" t="e">
        <f t="shared" si="8"/>
        <v>#DIV/0!</v>
      </c>
      <c r="K40" s="5">
        <f t="shared" si="8"/>
        <v>0</v>
      </c>
      <c r="L40" s="5">
        <f t="shared" si="8"/>
        <v>0</v>
      </c>
    </row>
    <row r="41" spans="3:12" x14ac:dyDescent="0.25">
      <c r="C41" s="1" t="s">
        <v>33</v>
      </c>
      <c r="D41" s="5">
        <f t="shared" ref="D41:L41" si="9">D12/D$2</f>
        <v>25.600557142857145</v>
      </c>
      <c r="E41" s="5">
        <f t="shared" si="9"/>
        <v>26.340000000000003</v>
      </c>
      <c r="F41" s="5">
        <f t="shared" si="9"/>
        <v>26.113063095238097</v>
      </c>
      <c r="G41" s="5">
        <f t="shared" si="9"/>
        <v>26.274448214285712</v>
      </c>
      <c r="H41" s="5">
        <f t="shared" si="9"/>
        <v>27.197842261904757</v>
      </c>
      <c r="I41" s="5" t="e">
        <f t="shared" si="9"/>
        <v>#DIV/0!</v>
      </c>
      <c r="J41" s="5" t="e">
        <f t="shared" si="9"/>
        <v>#DIV/0!</v>
      </c>
      <c r="K41" s="5">
        <f t="shared" si="9"/>
        <v>0</v>
      </c>
      <c r="L41" s="5">
        <f t="shared" si="9"/>
        <v>0</v>
      </c>
    </row>
    <row r="42" spans="3:12" x14ac:dyDescent="0.25">
      <c r="C42" s="1" t="s">
        <v>34</v>
      </c>
      <c r="D42" s="5">
        <f t="shared" ref="D42:L42" si="10">D13/D$2</f>
        <v>15.657605238095238</v>
      </c>
      <c r="E42" s="5">
        <f t="shared" si="10"/>
        <v>11.854278333333331</v>
      </c>
      <c r="F42" s="5">
        <f t="shared" si="10"/>
        <v>15.195873809523809</v>
      </c>
      <c r="G42" s="5">
        <f t="shared" si="10"/>
        <v>25.382263690476186</v>
      </c>
      <c r="H42" s="5">
        <f t="shared" si="10"/>
        <v>0</v>
      </c>
      <c r="I42" s="5">
        <f t="shared" si="10"/>
        <v>0</v>
      </c>
      <c r="J42" s="5" t="e">
        <f t="shared" si="10"/>
        <v>#DIV/0!</v>
      </c>
      <c r="K42" s="5">
        <f t="shared" si="10"/>
        <v>0</v>
      </c>
      <c r="L42" s="5">
        <f t="shared" si="10"/>
        <v>0</v>
      </c>
    </row>
    <row r="43" spans="3:12" x14ac:dyDescent="0.25">
      <c r="C43" s="1" t="s">
        <v>35</v>
      </c>
      <c r="D43" s="5">
        <f t="shared" ref="D43:L43" si="11">D14/D$2</f>
        <v>17.503433333333327</v>
      </c>
      <c r="E43" s="5">
        <f t="shared" si="11"/>
        <v>11.466225476190475</v>
      </c>
      <c r="F43" s="5">
        <f t="shared" si="11"/>
        <v>7.8838154761904748</v>
      </c>
      <c r="G43" s="5">
        <f t="shared" si="11"/>
        <v>6.3496333333333341</v>
      </c>
      <c r="H43" s="5">
        <f t="shared" si="11"/>
        <v>6.6648919642857134</v>
      </c>
      <c r="I43" s="5">
        <f t="shared" si="11"/>
        <v>6.0402244047619051</v>
      </c>
      <c r="J43" s="5" t="e">
        <f t="shared" si="11"/>
        <v>#DIV/0!</v>
      </c>
      <c r="K43" s="5">
        <f t="shared" si="11"/>
        <v>0</v>
      </c>
      <c r="L43" s="5">
        <f t="shared" si="11"/>
        <v>0</v>
      </c>
    </row>
    <row r="44" spans="3:12" x14ac:dyDescent="0.25">
      <c r="C44" s="1" t="s">
        <v>36</v>
      </c>
      <c r="D44" s="5">
        <f t="shared" ref="D44:L44" si="12">D15/D$2</f>
        <v>17.503164285714281</v>
      </c>
      <c r="E44" s="5">
        <f t="shared" si="12"/>
        <v>11.496959047619052</v>
      </c>
      <c r="F44" s="5">
        <f t="shared" si="12"/>
        <v>7.8102249999999982</v>
      </c>
      <c r="G44" s="5">
        <f t="shared" si="12"/>
        <v>6.2626619047619041</v>
      </c>
      <c r="H44" s="5">
        <f t="shared" si="12"/>
        <v>5.929392857142858</v>
      </c>
      <c r="I44" s="5">
        <f t="shared" si="12"/>
        <v>5.2853205357142876</v>
      </c>
      <c r="J44" s="5" t="e">
        <f t="shared" si="12"/>
        <v>#DIV/0!</v>
      </c>
      <c r="K44" s="5">
        <f t="shared" si="12"/>
        <v>0</v>
      </c>
      <c r="L44" s="5">
        <f t="shared" si="12"/>
        <v>0</v>
      </c>
    </row>
    <row r="45" spans="3:12" x14ac:dyDescent="0.25">
      <c r="C45" s="1" t="s">
        <v>38</v>
      </c>
      <c r="D45" s="5">
        <f t="shared" ref="D45:L45" si="13">D16/D$2</f>
        <v>15.672559047619044</v>
      </c>
      <c r="E45" s="5">
        <f t="shared" si="13"/>
        <v>11.746544523809526</v>
      </c>
      <c r="F45" s="5">
        <f t="shared" si="13"/>
        <v>15.188217857142858</v>
      </c>
      <c r="G45" s="5">
        <f t="shared" si="13"/>
        <v>25.414373214285714</v>
      </c>
      <c r="H45" s="5">
        <f t="shared" si="13"/>
        <v>0</v>
      </c>
      <c r="I45" s="5">
        <f t="shared" si="13"/>
        <v>0</v>
      </c>
      <c r="J45" s="5" t="e">
        <f t="shared" si="13"/>
        <v>#DIV/0!</v>
      </c>
      <c r="K45" s="5">
        <f t="shared" si="13"/>
        <v>0</v>
      </c>
      <c r="L45" s="5">
        <f t="shared" si="13"/>
        <v>0</v>
      </c>
    </row>
    <row r="46" spans="3:12" x14ac:dyDescent="0.25">
      <c r="C46" s="1" t="s">
        <v>39</v>
      </c>
      <c r="D46" s="5">
        <f t="shared" ref="D46:L46" si="14">D17/D$2</f>
        <v>17.400075238095237</v>
      </c>
      <c r="E46" s="5">
        <f t="shared" si="14"/>
        <v>11.385338095238099</v>
      </c>
      <c r="F46" s="5">
        <f t="shared" si="14"/>
        <v>7.8799607142857129</v>
      </c>
      <c r="G46" s="5">
        <f t="shared" si="14"/>
        <v>6.3171559523809533</v>
      </c>
      <c r="H46" s="5">
        <f t="shared" si="14"/>
        <v>6.65452380952381</v>
      </c>
      <c r="I46" s="5">
        <f t="shared" si="14"/>
        <v>6.0609619047619034</v>
      </c>
      <c r="J46" s="5" t="e">
        <f t="shared" si="14"/>
        <v>#DIV/0!</v>
      </c>
      <c r="K46" s="5">
        <f t="shared" si="14"/>
        <v>0</v>
      </c>
      <c r="L46" s="5">
        <f t="shared" si="14"/>
        <v>0</v>
      </c>
    </row>
    <row r="47" spans="3:12" x14ac:dyDescent="0.25">
      <c r="C47" s="1" t="s">
        <v>40</v>
      </c>
      <c r="D47" s="5">
        <f t="shared" ref="D47:L47" si="15">D18/D$2</f>
        <v>17.550789047619041</v>
      </c>
      <c r="E47" s="5">
        <f t="shared" si="15"/>
        <v>11.31057857142857</v>
      </c>
      <c r="F47" s="5">
        <f t="shared" si="15"/>
        <v>7.7968904761904767</v>
      </c>
      <c r="G47" s="5">
        <f t="shared" si="15"/>
        <v>6.2520815476190492</v>
      </c>
      <c r="H47" s="5">
        <f t="shared" si="15"/>
        <v>5.9163142857142867</v>
      </c>
      <c r="I47" s="5">
        <f t="shared" si="15"/>
        <v>5.2853023809523805</v>
      </c>
      <c r="J47" s="5" t="e">
        <f t="shared" si="15"/>
        <v>#DIV/0!</v>
      </c>
      <c r="K47" s="5">
        <f t="shared" si="15"/>
        <v>0</v>
      </c>
      <c r="L47" s="5">
        <f t="shared" si="15"/>
        <v>0</v>
      </c>
    </row>
    <row r="48" spans="3:12" x14ac:dyDescent="0.25">
      <c r="C48" s="1" t="s">
        <v>41</v>
      </c>
      <c r="D48" s="5">
        <f t="shared" ref="D48:L48" si="16">D19/D$2</f>
        <v>0</v>
      </c>
      <c r="E48" s="5">
        <f t="shared" si="16"/>
        <v>0</v>
      </c>
      <c r="F48" s="5">
        <f t="shared" si="16"/>
        <v>0</v>
      </c>
      <c r="G48" s="5">
        <f t="shared" si="16"/>
        <v>0</v>
      </c>
      <c r="H48" s="5">
        <f t="shared" si="16"/>
        <v>0</v>
      </c>
      <c r="I48" s="5">
        <f t="shared" si="16"/>
        <v>0</v>
      </c>
      <c r="J48" s="5">
        <f t="shared" si="16"/>
        <v>0</v>
      </c>
      <c r="K48" s="5">
        <f t="shared" si="16"/>
        <v>0</v>
      </c>
      <c r="L48" s="5">
        <f t="shared" si="16"/>
        <v>0</v>
      </c>
    </row>
    <row r="49" spans="3:12" x14ac:dyDescent="0.25">
      <c r="C49" s="1" t="s">
        <v>43</v>
      </c>
      <c r="D49" s="5">
        <f t="shared" ref="D49:L49" si="17">D20/D$2</f>
        <v>0</v>
      </c>
      <c r="E49" s="5">
        <f t="shared" si="17"/>
        <v>0</v>
      </c>
      <c r="F49" s="5">
        <f t="shared" si="17"/>
        <v>0</v>
      </c>
      <c r="G49" s="5">
        <f t="shared" si="17"/>
        <v>0</v>
      </c>
      <c r="H49" s="5">
        <f t="shared" si="17"/>
        <v>0</v>
      </c>
      <c r="I49" s="5">
        <f t="shared" si="17"/>
        <v>0</v>
      </c>
      <c r="J49" s="5">
        <f t="shared" si="17"/>
        <v>0</v>
      </c>
      <c r="K49" s="5">
        <f t="shared" si="17"/>
        <v>0</v>
      </c>
      <c r="L49" s="5">
        <f t="shared" si="17"/>
        <v>0</v>
      </c>
    </row>
    <row r="50" spans="3:12" x14ac:dyDescent="0.25">
      <c r="C50" s="1" t="s">
        <v>44</v>
      </c>
      <c r="D50" s="5">
        <f t="shared" ref="D50:L50" si="18">D21/D$2</f>
        <v>7.6830790476190449</v>
      </c>
      <c r="E50" s="5">
        <f t="shared" si="18"/>
        <v>6.7387561904761908</v>
      </c>
      <c r="F50" s="5">
        <f t="shared" si="18"/>
        <v>6.3026500000000016</v>
      </c>
      <c r="G50" s="5">
        <f t="shared" si="18"/>
        <v>6.3562023809523804</v>
      </c>
      <c r="H50" s="5">
        <f t="shared" si="18"/>
        <v>6.4040157738095251</v>
      </c>
      <c r="I50" s="5">
        <f t="shared" si="18"/>
        <v>6.082250148809524</v>
      </c>
      <c r="J50" s="5">
        <f t="shared" si="18"/>
        <v>5.9592686011904767</v>
      </c>
      <c r="K50" s="5">
        <f t="shared" si="18"/>
        <v>0</v>
      </c>
      <c r="L50" s="5">
        <f t="shared" si="18"/>
        <v>0</v>
      </c>
    </row>
    <row r="51" spans="3:12" x14ac:dyDescent="0.25">
      <c r="C51" s="1" t="s">
        <v>37</v>
      </c>
      <c r="D51" s="5">
        <f t="shared" ref="D51:L51" si="19">D22/D$2</f>
        <v>8.5715442857142854</v>
      </c>
      <c r="E51" s="5">
        <f t="shared" si="19"/>
        <v>8.845401190476192</v>
      </c>
      <c r="F51" s="5">
        <f t="shared" si="19"/>
        <v>6.1749511904761896</v>
      </c>
      <c r="G51" s="5">
        <f t="shared" si="19"/>
        <v>5.929342261904762</v>
      </c>
      <c r="H51" s="5">
        <f t="shared" si="19"/>
        <v>6.2111273809523819</v>
      </c>
      <c r="I51" s="5">
        <f t="shared" si="19"/>
        <v>6.0764322916666673</v>
      </c>
      <c r="J51" s="5" t="e">
        <f t="shared" si="19"/>
        <v>#DIV/0!</v>
      </c>
      <c r="K51" s="5">
        <f t="shared" si="19"/>
        <v>0</v>
      </c>
      <c r="L51" s="5">
        <f t="shared" si="19"/>
        <v>0</v>
      </c>
    </row>
    <row r="52" spans="3:12" x14ac:dyDescent="0.25">
      <c r="C52" s="1" t="s">
        <v>42</v>
      </c>
      <c r="D52" s="5">
        <f t="shared" ref="D52:L52" si="20">D23/D$2</f>
        <v>0</v>
      </c>
      <c r="E52" s="5">
        <f t="shared" si="20"/>
        <v>0</v>
      </c>
      <c r="F52" s="5">
        <f t="shared" si="20"/>
        <v>0</v>
      </c>
      <c r="G52" s="5">
        <f t="shared" si="20"/>
        <v>0</v>
      </c>
      <c r="H52" s="5">
        <f t="shared" si="20"/>
        <v>0</v>
      </c>
      <c r="I52" s="5">
        <f t="shared" si="20"/>
        <v>0</v>
      </c>
      <c r="J52" s="5">
        <f t="shared" si="20"/>
        <v>0</v>
      </c>
      <c r="K52" s="5">
        <f t="shared" si="20"/>
        <v>0</v>
      </c>
      <c r="L52" s="5">
        <f t="shared" si="20"/>
        <v>0</v>
      </c>
    </row>
    <row r="53" spans="3:12" x14ac:dyDescent="0.25">
      <c r="C53" s="1" t="s">
        <v>45</v>
      </c>
      <c r="D53" s="5" t="e">
        <f t="shared" ref="D53:L53" si="21">D24/D$2</f>
        <v>#DIV/0!</v>
      </c>
      <c r="E53" s="5">
        <f t="shared" si="21"/>
        <v>6.6712202380952403</v>
      </c>
      <c r="F53" s="5">
        <f t="shared" si="21"/>
        <v>6.1012404761904744</v>
      </c>
      <c r="G53" s="5">
        <f t="shared" si="21"/>
        <v>6.0988773809523824</v>
      </c>
      <c r="H53" s="5">
        <f t="shared" si="21"/>
        <v>6.0148678571428578</v>
      </c>
      <c r="I53" s="5">
        <f t="shared" si="21"/>
        <v>5.7999379464285683</v>
      </c>
      <c r="J53" s="5">
        <f t="shared" si="21"/>
        <v>5.7420870535714288</v>
      </c>
      <c r="K53" s="5">
        <f t="shared" si="21"/>
        <v>0</v>
      </c>
      <c r="L53" s="5">
        <f t="shared" si="21"/>
        <v>0</v>
      </c>
    </row>
    <row r="54" spans="3:12" x14ac:dyDescent="0.25">
      <c r="C54" s="1" t="s">
        <v>9</v>
      </c>
      <c r="D54" s="5">
        <f t="shared" ref="D54:L54" si="22">D25/D$2</f>
        <v>22.373210952380948</v>
      </c>
      <c r="E54" s="5">
        <f t="shared" si="22"/>
        <v>16.532466666666668</v>
      </c>
      <c r="F54" s="5">
        <f t="shared" si="22"/>
        <v>16.653835714285712</v>
      </c>
      <c r="G54" s="5">
        <f t="shared" si="22"/>
        <v>15.013783333333333</v>
      </c>
      <c r="H54" s="5">
        <f t="shared" si="22"/>
        <v>14.09468720238095</v>
      </c>
      <c r="I54" s="5">
        <f t="shared" si="22"/>
        <v>13.451437500000003</v>
      </c>
      <c r="J54" s="5">
        <f t="shared" si="22"/>
        <v>10.354852678571426</v>
      </c>
      <c r="K54" s="5">
        <f t="shared" si="22"/>
        <v>0</v>
      </c>
      <c r="L54" s="5">
        <f t="shared" si="22"/>
        <v>0</v>
      </c>
    </row>
    <row r="55" spans="3:12" x14ac:dyDescent="0.25">
      <c r="C55" s="1" t="s">
        <v>13</v>
      </c>
      <c r="D55" s="5">
        <f t="shared" ref="D55:L55" si="23">D26/D$2</f>
        <v>11.832676190476192</v>
      </c>
      <c r="E55" s="5">
        <f t="shared" si="23"/>
        <v>10.296974761904762</v>
      </c>
      <c r="F55" s="5">
        <f t="shared" si="23"/>
        <v>9.5187940476190462</v>
      </c>
      <c r="G55" s="5">
        <f t="shared" si="23"/>
        <v>9.1102779761904777</v>
      </c>
      <c r="H55" s="5">
        <f t="shared" si="23"/>
        <v>9.0699038690476179</v>
      </c>
      <c r="I55" s="5">
        <f t="shared" si="23"/>
        <v>9.0157395833333354</v>
      </c>
      <c r="J55" s="5" t="e">
        <f t="shared" si="23"/>
        <v>#DIV/0!</v>
      </c>
      <c r="K55" s="5">
        <f t="shared" si="23"/>
        <v>0</v>
      </c>
      <c r="L55" s="5">
        <f t="shared" si="23"/>
        <v>0</v>
      </c>
    </row>
    <row r="56" spans="3:12" x14ac:dyDescent="0.25">
      <c r="C56" s="1" t="s">
        <v>14</v>
      </c>
      <c r="D56" s="5">
        <f t="shared" ref="D56:L56" si="24">D27/D$2</f>
        <v>8.7972514285714283</v>
      </c>
      <c r="E56" s="5">
        <f t="shared" si="24"/>
        <v>7.1738369047619059</v>
      </c>
      <c r="F56" s="5">
        <f t="shared" si="24"/>
        <v>6.3811107142857129</v>
      </c>
      <c r="G56" s="5">
        <f t="shared" si="24"/>
        <v>6.1823494047619025</v>
      </c>
      <c r="H56" s="5">
        <f t="shared" si="24"/>
        <v>6.2098592261904786</v>
      </c>
      <c r="I56" s="5">
        <f t="shared" si="24"/>
        <v>6.3499605654761906</v>
      </c>
      <c r="J56" s="5" t="e">
        <f t="shared" si="24"/>
        <v>#DIV/0!</v>
      </c>
      <c r="K56" s="5">
        <f t="shared" si="24"/>
        <v>0</v>
      </c>
      <c r="L56" s="5">
        <f t="shared" si="24"/>
        <v>0</v>
      </c>
    </row>
    <row r="60" spans="3:12" x14ac:dyDescent="0.25">
      <c r="C60" s="1">
        <v>50</v>
      </c>
      <c r="D60" s="2">
        <v>2</v>
      </c>
      <c r="E60" s="3">
        <v>4</v>
      </c>
      <c r="F60" s="2">
        <v>8</v>
      </c>
      <c r="G60" s="2">
        <v>16</v>
      </c>
      <c r="H60" s="2">
        <v>32</v>
      </c>
      <c r="I60" s="2">
        <v>64</v>
      </c>
      <c r="J60" s="2">
        <v>128</v>
      </c>
      <c r="K60" s="2">
        <v>256</v>
      </c>
      <c r="L60" s="2">
        <v>512</v>
      </c>
    </row>
    <row r="61" spans="3:12" x14ac:dyDescent="0.25">
      <c r="C61" s="1"/>
      <c r="D61" s="4">
        <v>42</v>
      </c>
      <c r="E61" s="4">
        <v>84</v>
      </c>
      <c r="F61" s="4">
        <v>168</v>
      </c>
      <c r="G61" s="4">
        <v>336</v>
      </c>
      <c r="H61" s="4">
        <v>672</v>
      </c>
      <c r="I61" s="4">
        <v>1344</v>
      </c>
      <c r="J61" s="4">
        <v>2688</v>
      </c>
      <c r="K61" s="4">
        <v>5376</v>
      </c>
      <c r="L61" s="4">
        <v>10752</v>
      </c>
    </row>
    <row r="62" spans="3:12" x14ac:dyDescent="0.25">
      <c r="C62" s="1" t="s">
        <v>1</v>
      </c>
      <c r="D62" s="12">
        <f t="shared" ref="D62:L62" si="25">D$3/D3</f>
        <v>1</v>
      </c>
      <c r="E62" s="12">
        <f t="shared" si="25"/>
        <v>1</v>
      </c>
      <c r="F62" s="12">
        <f t="shared" si="25"/>
        <v>1</v>
      </c>
      <c r="G62" s="12">
        <f t="shared" si="25"/>
        <v>1</v>
      </c>
      <c r="H62" s="12">
        <f t="shared" si="25"/>
        <v>1</v>
      </c>
      <c r="I62" s="12">
        <f t="shared" si="25"/>
        <v>1</v>
      </c>
      <c r="J62" s="12">
        <f t="shared" si="25"/>
        <v>1</v>
      </c>
      <c r="K62" s="12" t="e">
        <f t="shared" si="25"/>
        <v>#DIV/0!</v>
      </c>
      <c r="L62" s="12" t="e">
        <f t="shared" si="25"/>
        <v>#DIV/0!</v>
      </c>
    </row>
    <row r="63" spans="3:12" x14ac:dyDescent="0.25">
      <c r="C63" s="1" t="s">
        <v>25</v>
      </c>
      <c r="D63" s="12">
        <f t="shared" ref="D63:L63" si="26">D$3/D4</f>
        <v>8.9090929713956246</v>
      </c>
      <c r="E63" s="12">
        <f t="shared" si="26"/>
        <v>11.051919894693631</v>
      </c>
      <c r="F63" s="12">
        <f t="shared" si="26"/>
        <v>10.053174069365806</v>
      </c>
      <c r="G63" s="12">
        <f t="shared" si="26"/>
        <v>4.5015514301931674</v>
      </c>
      <c r="H63" s="12" t="e">
        <f t="shared" si="26"/>
        <v>#DIV/0!</v>
      </c>
      <c r="I63" s="12" t="e">
        <f t="shared" si="26"/>
        <v>#DIV/0!</v>
      </c>
      <c r="J63" s="12" t="e">
        <f t="shared" si="26"/>
        <v>#DIV/0!</v>
      </c>
      <c r="K63" s="12" t="e">
        <f t="shared" si="26"/>
        <v>#DIV/0!</v>
      </c>
      <c r="L63" s="12" t="e">
        <f t="shared" si="26"/>
        <v>#DIV/0!</v>
      </c>
    </row>
    <row r="64" spans="3:12" x14ac:dyDescent="0.25">
      <c r="C64" s="1" t="s">
        <v>26</v>
      </c>
      <c r="D64" s="12">
        <f t="shared" ref="D64:L64" si="27">D$3/D5</f>
        <v>7.9738961079395709</v>
      </c>
      <c r="E64" s="12">
        <f t="shared" si="27"/>
        <v>11.31477320708724</v>
      </c>
      <c r="F64" s="12">
        <f t="shared" si="27"/>
        <v>19.39133736990885</v>
      </c>
      <c r="G64" s="12">
        <f t="shared" si="27"/>
        <v>17.856157047502322</v>
      </c>
      <c r="H64" s="12">
        <f t="shared" si="27"/>
        <v>17.511818737259311</v>
      </c>
      <c r="I64" s="12">
        <f t="shared" si="27"/>
        <v>18.755019236550066</v>
      </c>
      <c r="J64" s="12">
        <f t="shared" si="27"/>
        <v>18.980945154275734</v>
      </c>
      <c r="K64" s="12" t="e">
        <f t="shared" si="27"/>
        <v>#DIV/0!</v>
      </c>
      <c r="L64" s="12" t="e">
        <f t="shared" si="27"/>
        <v>#DIV/0!</v>
      </c>
    </row>
    <row r="65" spans="3:12" x14ac:dyDescent="0.25">
      <c r="C65" s="1" t="s">
        <v>27</v>
      </c>
      <c r="D65" s="12">
        <f t="shared" ref="D65:L65" si="28">D$3/D6</f>
        <v>7.9429367211180084</v>
      </c>
      <c r="E65" s="12">
        <f t="shared" si="28"/>
        <v>11.291106162590703</v>
      </c>
      <c r="F65" s="12">
        <f t="shared" si="28"/>
        <v>19.533623925707012</v>
      </c>
      <c r="G65" s="12">
        <f t="shared" si="28"/>
        <v>17.879626520853417</v>
      </c>
      <c r="H65" s="12">
        <f t="shared" si="28"/>
        <v>19.548188989524494</v>
      </c>
      <c r="I65" s="12">
        <f t="shared" si="28"/>
        <v>21.387958934151975</v>
      </c>
      <c r="J65" s="12">
        <f t="shared" si="28"/>
        <v>22.557659579032688</v>
      </c>
      <c r="K65" s="12" t="e">
        <f t="shared" si="28"/>
        <v>#DIV/0!</v>
      </c>
      <c r="L65" s="12" t="e">
        <f t="shared" si="28"/>
        <v>#DIV/0!</v>
      </c>
    </row>
    <row r="66" spans="3:12" x14ac:dyDescent="0.25">
      <c r="C66" s="1" t="s">
        <v>28</v>
      </c>
      <c r="D66" s="12">
        <f t="shared" ref="D66:L66" si="29">D$3/D7</f>
        <v>8.8981486715050728</v>
      </c>
      <c r="E66" s="12">
        <f t="shared" si="29"/>
        <v>11.042439399409412</v>
      </c>
      <c r="F66" s="12">
        <f t="shared" si="29"/>
        <v>10.066652135262684</v>
      </c>
      <c r="G66" s="12">
        <f t="shared" si="29"/>
        <v>4.5034699485623193</v>
      </c>
      <c r="H66" s="12" t="e">
        <f t="shared" si="29"/>
        <v>#DIV/0!</v>
      </c>
      <c r="I66" s="12" t="e">
        <f t="shared" si="29"/>
        <v>#DIV/0!</v>
      </c>
      <c r="J66" s="12" t="e">
        <f t="shared" si="29"/>
        <v>#DIV/0!</v>
      </c>
      <c r="K66" s="12" t="e">
        <f t="shared" si="29"/>
        <v>#DIV/0!</v>
      </c>
      <c r="L66" s="12" t="e">
        <f t="shared" si="29"/>
        <v>#DIV/0!</v>
      </c>
    </row>
    <row r="67" spans="3:12" x14ac:dyDescent="0.25">
      <c r="C67" s="1" t="s">
        <v>29</v>
      </c>
      <c r="D67" s="12">
        <f t="shared" ref="D67:L67" si="30">D$3/D8</f>
        <v>7.9611189690320945</v>
      </c>
      <c r="E67" s="12">
        <f t="shared" si="30"/>
        <v>11.450969316020467</v>
      </c>
      <c r="F67" s="12">
        <f t="shared" si="30"/>
        <v>19.541485855426242</v>
      </c>
      <c r="G67" s="12">
        <f t="shared" si="30"/>
        <v>17.868508527997587</v>
      </c>
      <c r="H67" s="12">
        <f t="shared" si="30"/>
        <v>17.296137084913575</v>
      </c>
      <c r="I67" s="12">
        <f t="shared" si="30"/>
        <v>18.675910948188442</v>
      </c>
      <c r="J67" s="12">
        <f t="shared" si="30"/>
        <v>18.151919934152673</v>
      </c>
      <c r="K67" s="12" t="e">
        <f t="shared" si="30"/>
        <v>#DIV/0!</v>
      </c>
      <c r="L67" s="12" t="e">
        <f t="shared" si="30"/>
        <v>#DIV/0!</v>
      </c>
    </row>
    <row r="68" spans="3:12" x14ac:dyDescent="0.25">
      <c r="C68" s="1" t="s">
        <v>30</v>
      </c>
      <c r="D68" s="12">
        <f t="shared" ref="D68:L68" si="31">D$3/D9</f>
        <v>7.9744255724621524</v>
      </c>
      <c r="E68" s="12">
        <f t="shared" si="31"/>
        <v>11.449975322531799</v>
      </c>
      <c r="F68" s="12">
        <f t="shared" si="31"/>
        <v>19.707074925602818</v>
      </c>
      <c r="G68" s="12">
        <f t="shared" si="31"/>
        <v>17.944176843430629</v>
      </c>
      <c r="H68" s="12">
        <f t="shared" si="31"/>
        <v>19.407267165150959</v>
      </c>
      <c r="I68" s="12">
        <f t="shared" si="31"/>
        <v>21.4135219929728</v>
      </c>
      <c r="J68" s="12">
        <f t="shared" si="31"/>
        <v>22.544021278536086</v>
      </c>
      <c r="K68" s="12" t="e">
        <f t="shared" si="31"/>
        <v>#DIV/0!</v>
      </c>
      <c r="L68" s="12" t="e">
        <f t="shared" si="31"/>
        <v>#DIV/0!</v>
      </c>
    </row>
    <row r="69" spans="3:12" x14ac:dyDescent="0.25">
      <c r="C69" s="1" t="s">
        <v>31</v>
      </c>
      <c r="D69" s="12">
        <f t="shared" ref="D69:L69" si="32">D$3/D10</f>
        <v>3.2421799621345655</v>
      </c>
      <c r="E69" s="12">
        <f t="shared" si="32"/>
        <v>4.0406175505018496</v>
      </c>
      <c r="F69" s="12">
        <f t="shared" si="32"/>
        <v>1.4001562175105731</v>
      </c>
      <c r="G69" s="12">
        <f t="shared" si="32"/>
        <v>2.4160391607747829</v>
      </c>
      <c r="H69" s="12" t="e">
        <f t="shared" si="32"/>
        <v>#DIV/0!</v>
      </c>
      <c r="I69" s="12" t="e">
        <f t="shared" si="32"/>
        <v>#DIV/0!</v>
      </c>
      <c r="J69" s="12" t="e">
        <f t="shared" si="32"/>
        <v>#DIV/0!</v>
      </c>
      <c r="K69" s="12" t="e">
        <f t="shared" si="32"/>
        <v>#DIV/0!</v>
      </c>
      <c r="L69" s="12" t="e">
        <f t="shared" si="32"/>
        <v>#DIV/0!</v>
      </c>
    </row>
    <row r="70" spans="3:12" x14ac:dyDescent="0.25">
      <c r="C70" s="1" t="s">
        <v>32</v>
      </c>
      <c r="D70" s="12">
        <f t="shared" ref="D70:L70" si="33">D$3/D11</f>
        <v>0.28657499375405288</v>
      </c>
      <c r="E70" s="12">
        <f t="shared" si="33"/>
        <v>0.25653585291395581</v>
      </c>
      <c r="F70" s="12">
        <f t="shared" si="33"/>
        <v>0.31395022746268847</v>
      </c>
      <c r="G70" s="12">
        <f t="shared" si="33"/>
        <v>0.23506677427669337</v>
      </c>
      <c r="H70" s="12">
        <f t="shared" si="33"/>
        <v>0.22477585882379358</v>
      </c>
      <c r="I70" s="12" t="e">
        <f t="shared" si="33"/>
        <v>#DIV/0!</v>
      </c>
      <c r="J70" s="12" t="e">
        <f t="shared" si="33"/>
        <v>#DIV/0!</v>
      </c>
      <c r="K70" s="12" t="e">
        <f t="shared" si="33"/>
        <v>#DIV/0!</v>
      </c>
      <c r="L70" s="12" t="e">
        <f t="shared" si="33"/>
        <v>#DIV/0!</v>
      </c>
    </row>
    <row r="71" spans="3:12" x14ac:dyDescent="0.25">
      <c r="C71" s="1" t="s">
        <v>33</v>
      </c>
      <c r="D71" s="12">
        <f t="shared" ref="D71:L71" si="34">D$3/D12</f>
        <v>5.4641279198350787</v>
      </c>
      <c r="E71" s="12">
        <f t="shared" si="34"/>
        <v>4.8683027804895689</v>
      </c>
      <c r="F71" s="12">
        <f t="shared" si="34"/>
        <v>5.9630950896193955</v>
      </c>
      <c r="G71" s="12">
        <f t="shared" si="34"/>
        <v>4.4710317757794424</v>
      </c>
      <c r="H71" s="12">
        <f t="shared" si="34"/>
        <v>4.2510311622015724</v>
      </c>
      <c r="I71" s="12" t="e">
        <f t="shared" si="34"/>
        <v>#DIV/0!</v>
      </c>
      <c r="J71" s="12" t="e">
        <f t="shared" si="34"/>
        <v>#DIV/0!</v>
      </c>
      <c r="K71" s="12" t="e">
        <f t="shared" si="34"/>
        <v>#DIV/0!</v>
      </c>
      <c r="L71" s="12" t="e">
        <f t="shared" si="34"/>
        <v>#DIV/0!</v>
      </c>
    </row>
    <row r="72" spans="3:12" x14ac:dyDescent="0.25">
      <c r="C72" s="1" t="s">
        <v>34</v>
      </c>
      <c r="D72" s="12">
        <f t="shared" ref="D72:L72" si="35">D$3/D13</f>
        <v>8.9339791698973876</v>
      </c>
      <c r="E72" s="12">
        <f t="shared" si="35"/>
        <v>10.817283990837227</v>
      </c>
      <c r="F72" s="12">
        <f t="shared" si="35"/>
        <v>10.247168426770147</v>
      </c>
      <c r="G72" s="12">
        <f t="shared" si="35"/>
        <v>4.6281881824914164</v>
      </c>
      <c r="H72" s="12" t="e">
        <f t="shared" si="35"/>
        <v>#DIV/0!</v>
      </c>
      <c r="I72" s="12" t="e">
        <f t="shared" si="35"/>
        <v>#DIV/0!</v>
      </c>
      <c r="J72" s="12" t="e">
        <f t="shared" si="35"/>
        <v>#DIV/0!</v>
      </c>
      <c r="K72" s="12" t="e">
        <f t="shared" si="35"/>
        <v>#DIV/0!</v>
      </c>
      <c r="L72" s="12" t="e">
        <f t="shared" si="35"/>
        <v>#DIV/0!</v>
      </c>
    </row>
    <row r="73" spans="3:12" x14ac:dyDescent="0.25">
      <c r="C73" s="1" t="s">
        <v>35</v>
      </c>
      <c r="D73" s="12">
        <f t="shared" ref="D73:L73" si="36">D$3/D14</f>
        <v>7.9918445932104261</v>
      </c>
      <c r="E73" s="12">
        <f t="shared" si="36"/>
        <v>11.183374642716219</v>
      </c>
      <c r="F73" s="12">
        <f t="shared" si="36"/>
        <v>19.751182506541664</v>
      </c>
      <c r="G73" s="12">
        <f t="shared" si="36"/>
        <v>18.500893939882538</v>
      </c>
      <c r="H73" s="12">
        <f t="shared" si="36"/>
        <v>17.347449233918837</v>
      </c>
      <c r="I73" s="12">
        <f t="shared" si="36"/>
        <v>18.869413358479566</v>
      </c>
      <c r="J73" s="12" t="e">
        <f t="shared" si="36"/>
        <v>#DIV/0!</v>
      </c>
      <c r="K73" s="12" t="e">
        <f t="shared" si="36"/>
        <v>#DIV/0!</v>
      </c>
      <c r="L73" s="12" t="e">
        <f t="shared" si="36"/>
        <v>#DIV/0!</v>
      </c>
    </row>
    <row r="74" spans="3:12" x14ac:dyDescent="0.25">
      <c r="C74" s="1" t="s">
        <v>36</v>
      </c>
      <c r="D74" s="12">
        <f t="shared" ref="D74:L74" si="37">D$3/D15</f>
        <v>7.9919674388127682</v>
      </c>
      <c r="E74" s="12">
        <f t="shared" si="37"/>
        <v>11.153479342404992</v>
      </c>
      <c r="F74" s="12">
        <f t="shared" si="37"/>
        <v>19.93728456198583</v>
      </c>
      <c r="G74" s="12">
        <f t="shared" si="37"/>
        <v>18.757821297652985</v>
      </c>
      <c r="H74" s="12">
        <f t="shared" si="37"/>
        <v>19.499277208579535</v>
      </c>
      <c r="I74" s="12">
        <f t="shared" si="37"/>
        <v>21.564537155554991</v>
      </c>
      <c r="J74" s="12" t="e">
        <f t="shared" si="37"/>
        <v>#DIV/0!</v>
      </c>
      <c r="K74" s="12" t="e">
        <f t="shared" si="37"/>
        <v>#DIV/0!</v>
      </c>
      <c r="L74" s="12" t="e">
        <f t="shared" si="37"/>
        <v>#DIV/0!</v>
      </c>
    </row>
    <row r="75" spans="3:12" x14ac:dyDescent="0.25">
      <c r="C75" s="1" t="s">
        <v>38</v>
      </c>
      <c r="D75" s="12">
        <f t="shared" ref="D75:L75" si="38">D$3/D16</f>
        <v>8.9254549064130142</v>
      </c>
      <c r="E75" s="12">
        <f t="shared" si="38"/>
        <v>10.916495057604276</v>
      </c>
      <c r="F75" s="12">
        <f t="shared" si="38"/>
        <v>10.252333735449072</v>
      </c>
      <c r="G75" s="12">
        <f t="shared" si="38"/>
        <v>4.6223407465783737</v>
      </c>
      <c r="H75" s="12" t="e">
        <f t="shared" si="38"/>
        <v>#DIV/0!</v>
      </c>
      <c r="I75" s="12" t="e">
        <f t="shared" si="38"/>
        <v>#DIV/0!</v>
      </c>
      <c r="J75" s="12" t="e">
        <f t="shared" si="38"/>
        <v>#DIV/0!</v>
      </c>
      <c r="K75" s="12" t="e">
        <f t="shared" si="38"/>
        <v>#DIV/0!</v>
      </c>
      <c r="L75" s="12" t="e">
        <f t="shared" si="38"/>
        <v>#DIV/0!</v>
      </c>
    </row>
    <row r="76" spans="3:12" x14ac:dyDescent="0.25">
      <c r="C76" s="1" t="s">
        <v>39</v>
      </c>
      <c r="D76" s="12">
        <f t="shared" ref="D76:L76" si="39">D$3/D17</f>
        <v>8.039316907168276</v>
      </c>
      <c r="E76" s="12">
        <f t="shared" si="39"/>
        <v>11.262827169948316</v>
      </c>
      <c r="F76" s="12">
        <f t="shared" si="39"/>
        <v>19.760844497084609</v>
      </c>
      <c r="G76" s="12">
        <f t="shared" si="39"/>
        <v>18.596009619307662</v>
      </c>
      <c r="H76" s="12">
        <f t="shared" si="39"/>
        <v>17.374477619950628</v>
      </c>
      <c r="I76" s="12">
        <f t="shared" si="39"/>
        <v>18.804851913337661</v>
      </c>
      <c r="J76" s="12" t="e">
        <f t="shared" si="39"/>
        <v>#DIV/0!</v>
      </c>
      <c r="K76" s="12" t="e">
        <f t="shared" si="39"/>
        <v>#DIV/0!</v>
      </c>
      <c r="L76" s="12" t="e">
        <f t="shared" si="39"/>
        <v>#DIV/0!</v>
      </c>
    </row>
    <row r="77" spans="3:12" x14ac:dyDescent="0.25">
      <c r="C77" s="1" t="s">
        <v>40</v>
      </c>
      <c r="D77" s="12">
        <f t="shared" ref="D77:L77" si="40">D$3/D18</f>
        <v>7.9702809183155203</v>
      </c>
      <c r="E77" s="12">
        <f t="shared" si="40"/>
        <v>11.337271071350614</v>
      </c>
      <c r="F77" s="12">
        <f t="shared" si="40"/>
        <v>19.971382026417434</v>
      </c>
      <c r="G77" s="12">
        <f t="shared" si="40"/>
        <v>18.789565037244255</v>
      </c>
      <c r="H77" s="12">
        <f t="shared" si="40"/>
        <v>19.542382202239814</v>
      </c>
      <c r="I77" s="12">
        <f t="shared" si="40"/>
        <v>21.56461122871287</v>
      </c>
      <c r="J77" s="12" t="e">
        <f t="shared" si="40"/>
        <v>#DIV/0!</v>
      </c>
      <c r="K77" s="12" t="e">
        <f t="shared" si="40"/>
        <v>#DIV/0!</v>
      </c>
      <c r="L77" s="12" t="e">
        <f t="shared" si="40"/>
        <v>#DIV/0!</v>
      </c>
    </row>
    <row r="78" spans="3:12" x14ac:dyDescent="0.25">
      <c r="C78" s="1" t="s">
        <v>41</v>
      </c>
      <c r="D78" s="12" t="e">
        <f t="shared" ref="D78:L78" si="41">D$3/D19</f>
        <v>#DIV/0!</v>
      </c>
      <c r="E78" s="12" t="e">
        <f t="shared" si="41"/>
        <v>#DIV/0!</v>
      </c>
      <c r="F78" s="12" t="e">
        <f t="shared" si="41"/>
        <v>#DIV/0!</v>
      </c>
      <c r="G78" s="12" t="e">
        <f t="shared" si="41"/>
        <v>#DIV/0!</v>
      </c>
      <c r="H78" s="12" t="e">
        <f t="shared" si="41"/>
        <v>#DIV/0!</v>
      </c>
      <c r="I78" s="12" t="e">
        <f t="shared" si="41"/>
        <v>#DIV/0!</v>
      </c>
      <c r="J78" s="12" t="e">
        <f t="shared" si="41"/>
        <v>#DIV/0!</v>
      </c>
      <c r="K78" s="12" t="e">
        <f t="shared" si="41"/>
        <v>#DIV/0!</v>
      </c>
      <c r="L78" s="12" t="e">
        <f t="shared" si="41"/>
        <v>#DIV/0!</v>
      </c>
    </row>
    <row r="79" spans="3:12" x14ac:dyDescent="0.25">
      <c r="C79" s="1" t="s">
        <v>43</v>
      </c>
      <c r="D79" s="12" t="e">
        <f t="shared" ref="D79:L79" si="42">D$3/D20</f>
        <v>#DIV/0!</v>
      </c>
      <c r="E79" s="12" t="e">
        <f t="shared" si="42"/>
        <v>#DIV/0!</v>
      </c>
      <c r="F79" s="12" t="e">
        <f t="shared" si="42"/>
        <v>#DIV/0!</v>
      </c>
      <c r="G79" s="12" t="e">
        <f t="shared" si="42"/>
        <v>#DIV/0!</v>
      </c>
      <c r="H79" s="12" t="e">
        <f t="shared" si="42"/>
        <v>#DIV/0!</v>
      </c>
      <c r="I79" s="12" t="e">
        <f t="shared" si="42"/>
        <v>#DIV/0!</v>
      </c>
      <c r="J79" s="12" t="e">
        <f t="shared" si="42"/>
        <v>#DIV/0!</v>
      </c>
      <c r="K79" s="12" t="e">
        <f t="shared" si="42"/>
        <v>#DIV/0!</v>
      </c>
      <c r="L79" s="12" t="e">
        <f t="shared" si="42"/>
        <v>#DIV/0!</v>
      </c>
    </row>
    <row r="80" spans="3:12" x14ac:dyDescent="0.25">
      <c r="C80" s="1" t="s">
        <v>44</v>
      </c>
      <c r="D80" s="12">
        <f t="shared" ref="D80:L80" si="43">D$3/D21</f>
        <v>18.206856675640839</v>
      </c>
      <c r="E80" s="12">
        <f t="shared" si="43"/>
        <v>19.028896670771804</v>
      </c>
      <c r="F80" s="12">
        <f t="shared" si="43"/>
        <v>24.706223305773875</v>
      </c>
      <c r="G80" s="12">
        <f t="shared" si="43"/>
        <v>18.481773520801767</v>
      </c>
      <c r="H80" s="12">
        <f t="shared" si="43"/>
        <v>18.054120895961255</v>
      </c>
      <c r="I80" s="12">
        <f t="shared" si="43"/>
        <v>18.739033792244953</v>
      </c>
      <c r="J80" s="12">
        <f t="shared" si="43"/>
        <v>19.166985152305635</v>
      </c>
      <c r="K80" s="12" t="e">
        <f t="shared" si="43"/>
        <v>#DIV/0!</v>
      </c>
      <c r="L80" s="12" t="e">
        <f t="shared" si="43"/>
        <v>#DIV/0!</v>
      </c>
    </row>
    <row r="81" spans="3:12" x14ac:dyDescent="0.25">
      <c r="C81" s="1" t="s">
        <v>37</v>
      </c>
      <c r="D81" s="12">
        <f t="shared" ref="D81:L81" si="44">D$3/D22</f>
        <v>16.319663573430656</v>
      </c>
      <c r="E81" s="12">
        <f t="shared" si="44"/>
        <v>14.496922465898006</v>
      </c>
      <c r="F81" s="12">
        <f t="shared" si="44"/>
        <v>25.217151280207542</v>
      </c>
      <c r="G81" s="12">
        <f t="shared" si="44"/>
        <v>19.812297497463931</v>
      </c>
      <c r="H81" s="12">
        <f t="shared" si="44"/>
        <v>18.614796945650731</v>
      </c>
      <c r="I81" s="12">
        <f t="shared" si="44"/>
        <v>18.75697540935932</v>
      </c>
      <c r="J81" s="12" t="e">
        <f t="shared" si="44"/>
        <v>#DIV/0!</v>
      </c>
      <c r="K81" s="12" t="e">
        <f t="shared" si="44"/>
        <v>#DIV/0!</v>
      </c>
      <c r="L81" s="12" t="e">
        <f t="shared" si="44"/>
        <v>#DIV/0!</v>
      </c>
    </row>
    <row r="82" spans="3:12" x14ac:dyDescent="0.25">
      <c r="C82" s="1" t="s">
        <v>42</v>
      </c>
      <c r="D82" s="12" t="e">
        <f t="shared" ref="D82:L82" si="45">D$3/D23</f>
        <v>#DIV/0!</v>
      </c>
      <c r="E82" s="12" t="e">
        <f t="shared" si="45"/>
        <v>#DIV/0!</v>
      </c>
      <c r="F82" s="12" t="e">
        <f t="shared" si="45"/>
        <v>#DIV/0!</v>
      </c>
      <c r="G82" s="12" t="e">
        <f t="shared" si="45"/>
        <v>#DIV/0!</v>
      </c>
      <c r="H82" s="12" t="e">
        <f t="shared" si="45"/>
        <v>#DIV/0!</v>
      </c>
      <c r="I82" s="12" t="e">
        <f t="shared" si="45"/>
        <v>#DIV/0!</v>
      </c>
      <c r="J82" s="12" t="e">
        <f t="shared" si="45"/>
        <v>#DIV/0!</v>
      </c>
      <c r="K82" s="12" t="e">
        <f t="shared" si="45"/>
        <v>#DIV/0!</v>
      </c>
      <c r="L82" s="12" t="e">
        <f t="shared" si="45"/>
        <v>#DIV/0!</v>
      </c>
    </row>
    <row r="83" spans="3:12" x14ac:dyDescent="0.25">
      <c r="C83" s="1" t="s">
        <v>45</v>
      </c>
      <c r="D83" s="12" t="e">
        <f t="shared" ref="D83:L83" si="46">D$3/D24</f>
        <v>#DIV/0!</v>
      </c>
      <c r="E83" s="12">
        <f t="shared" si="46"/>
        <v>19.221535290627383</v>
      </c>
      <c r="F83" s="12">
        <f t="shared" si="46"/>
        <v>25.521806413924814</v>
      </c>
      <c r="G83" s="12">
        <f t="shared" si="46"/>
        <v>19.261560041201957</v>
      </c>
      <c r="H83" s="12">
        <f t="shared" si="46"/>
        <v>19.222180394653016</v>
      </c>
      <c r="I83" s="12">
        <f t="shared" si="46"/>
        <v>19.651156982052083</v>
      </c>
      <c r="J83" s="12">
        <f t="shared" si="46"/>
        <v>19.891933321800899</v>
      </c>
      <c r="K83" s="12" t="e">
        <f t="shared" si="46"/>
        <v>#DIV/0!</v>
      </c>
      <c r="L83" s="12" t="e">
        <f t="shared" si="46"/>
        <v>#DIV/0!</v>
      </c>
    </row>
    <row r="84" spans="3:12" x14ac:dyDescent="0.25">
      <c r="C84" s="1" t="s">
        <v>9</v>
      </c>
      <c r="D84" s="12">
        <f t="shared" ref="D84:L84" si="47">D$3/D25</f>
        <v>6.2523309392357298</v>
      </c>
      <c r="E84" s="12">
        <f t="shared" si="47"/>
        <v>7.7563195997025201</v>
      </c>
      <c r="F84" s="12">
        <f t="shared" si="47"/>
        <v>9.3500789241341682</v>
      </c>
      <c r="G84" s="12">
        <f t="shared" si="47"/>
        <v>7.8244031000720122</v>
      </c>
      <c r="H84" s="12">
        <f t="shared" si="47"/>
        <v>8.2030110594060623</v>
      </c>
      <c r="I84" s="12">
        <f t="shared" si="47"/>
        <v>8.4731086228835064</v>
      </c>
      <c r="J84" s="12">
        <f t="shared" si="47"/>
        <v>11.030694143432006</v>
      </c>
      <c r="K84" s="12" t="e">
        <f t="shared" si="47"/>
        <v>#DIV/0!</v>
      </c>
      <c r="L84" s="12" t="e">
        <f t="shared" si="47"/>
        <v>#DIV/0!</v>
      </c>
    </row>
    <row r="85" spans="3:12" x14ac:dyDescent="0.25">
      <c r="C85" s="1" t="s">
        <v>13</v>
      </c>
      <c r="D85" s="12">
        <f t="shared" ref="D85:L85" si="48">D$3/D26</f>
        <v>11.821900371127251</v>
      </c>
      <c r="E85" s="12">
        <f t="shared" si="48"/>
        <v>12.453278579695647</v>
      </c>
      <c r="F85" s="12">
        <f t="shared" si="48"/>
        <v>16.358656100673272</v>
      </c>
      <c r="G85" s="12">
        <f t="shared" si="48"/>
        <v>12.8946551536801</v>
      </c>
      <c r="H85" s="12">
        <f t="shared" si="48"/>
        <v>12.747530367390823</v>
      </c>
      <c r="I85" s="12">
        <f t="shared" si="48"/>
        <v>12.641834873106339</v>
      </c>
      <c r="J85" s="12" t="e">
        <f t="shared" si="48"/>
        <v>#DIV/0!</v>
      </c>
      <c r="K85" s="12" t="e">
        <f t="shared" si="48"/>
        <v>#DIV/0!</v>
      </c>
      <c r="L85" s="12" t="e">
        <f t="shared" si="48"/>
        <v>#DIV/0!</v>
      </c>
    </row>
    <row r="86" spans="3:12" x14ac:dyDescent="0.25">
      <c r="C86" s="1" t="s">
        <v>14</v>
      </c>
      <c r="D86" s="12">
        <f t="shared" ref="D86:L86" si="49">D$3/D27</f>
        <v>15.900957268688039</v>
      </c>
      <c r="E86" s="12">
        <f t="shared" si="49"/>
        <v>17.874827228505435</v>
      </c>
      <c r="F86" s="12">
        <f t="shared" si="49"/>
        <v>24.402441093762796</v>
      </c>
      <c r="G86" s="12">
        <f t="shared" si="49"/>
        <v>19.001496868918402</v>
      </c>
      <c r="H86" s="12">
        <f t="shared" si="49"/>
        <v>18.61859839146917</v>
      </c>
      <c r="I86" s="12">
        <f t="shared" si="49"/>
        <v>17.949007697952755</v>
      </c>
      <c r="J86" s="12" t="e">
        <f t="shared" si="49"/>
        <v>#DIV/0!</v>
      </c>
      <c r="K86" s="12" t="e">
        <f t="shared" si="49"/>
        <v>#DIV/0!</v>
      </c>
      <c r="L86" s="12" t="e">
        <f t="shared" si="49"/>
        <v>#DIV/0!</v>
      </c>
    </row>
    <row r="91" spans="3:12" x14ac:dyDescent="0.25">
      <c r="C91" t="s">
        <v>3</v>
      </c>
    </row>
    <row r="92" spans="3:12" x14ac:dyDescent="0.25">
      <c r="C92" s="1">
        <v>50</v>
      </c>
      <c r="D92" s="2">
        <v>2</v>
      </c>
      <c r="E92" s="3">
        <v>4</v>
      </c>
      <c r="F92" s="2">
        <v>8</v>
      </c>
      <c r="G92" s="2">
        <v>16</v>
      </c>
      <c r="H92" s="2">
        <v>32</v>
      </c>
      <c r="I92" s="2">
        <v>64</v>
      </c>
      <c r="J92" s="2">
        <v>128</v>
      </c>
      <c r="K92" s="2">
        <v>256</v>
      </c>
      <c r="L92" s="2">
        <v>512</v>
      </c>
    </row>
    <row r="93" spans="3:12" x14ac:dyDescent="0.25">
      <c r="C93" s="1"/>
      <c r="D93" s="4">
        <v>42</v>
      </c>
      <c r="E93" s="4">
        <v>84</v>
      </c>
      <c r="F93" s="4">
        <v>168</v>
      </c>
      <c r="G93" s="4">
        <v>336</v>
      </c>
      <c r="H93" s="4">
        <v>672</v>
      </c>
      <c r="I93" s="4">
        <v>1344</v>
      </c>
      <c r="J93" s="4">
        <v>2688</v>
      </c>
      <c r="K93" s="4">
        <v>5376</v>
      </c>
      <c r="L93" s="4">
        <v>10752</v>
      </c>
    </row>
    <row r="94" spans="3:12" x14ac:dyDescent="0.25">
      <c r="C94" s="1" t="s">
        <v>1</v>
      </c>
      <c r="D94" s="1">
        <v>187.82211075999936</v>
      </c>
      <c r="E94" s="1">
        <v>348.40793299999888</v>
      </c>
      <c r="F94" s="1">
        <v>11994814.939800894</v>
      </c>
      <c r="G94" s="1">
        <v>280627.53779300017</v>
      </c>
      <c r="H94" s="1">
        <v>9291.8558870000088</v>
      </c>
      <c r="I94" s="1">
        <v>120647.68389600002</v>
      </c>
      <c r="J94" s="1">
        <v>3194504.0458090003</v>
      </c>
      <c r="K94" s="1"/>
      <c r="L94" s="1"/>
    </row>
    <row r="95" spans="3:12" x14ac:dyDescent="0.25">
      <c r="C95" s="1" t="s">
        <v>25</v>
      </c>
      <c r="D95" s="1">
        <v>106.66040851559998</v>
      </c>
      <c r="E95" s="1">
        <v>106.90178231359992</v>
      </c>
      <c r="F95" s="1">
        <v>282.03951796000104</v>
      </c>
      <c r="G95" s="1">
        <v>2686.6955729999977</v>
      </c>
      <c r="H95" s="1">
        <v>201.15577479359996</v>
      </c>
      <c r="I95" s="1"/>
      <c r="J95" s="1"/>
      <c r="K95" s="1"/>
      <c r="L95" s="1"/>
    </row>
    <row r="96" spans="3:12" x14ac:dyDescent="0.25">
      <c r="C96" s="1" t="s">
        <v>26</v>
      </c>
      <c r="D96" s="1">
        <v>6.4636704964000096</v>
      </c>
      <c r="E96" s="1">
        <v>368.80619088160006</v>
      </c>
      <c r="F96" s="1">
        <v>72.457267640000026</v>
      </c>
      <c r="G96" s="1">
        <v>241.89791936000017</v>
      </c>
      <c r="H96" s="1">
        <v>703.25308544000063</v>
      </c>
      <c r="I96" s="1">
        <v>3431.2448767600013</v>
      </c>
      <c r="J96" s="1">
        <v>14218.422126000001</v>
      </c>
      <c r="K96" s="1"/>
      <c r="L96" s="1"/>
    </row>
    <row r="97" spans="3:12" x14ac:dyDescent="0.25">
      <c r="C97" s="1" t="s">
        <v>27</v>
      </c>
      <c r="D97" s="1">
        <v>37.446529131600023</v>
      </c>
      <c r="E97" s="1">
        <v>102.76476192040002</v>
      </c>
      <c r="F97" s="1">
        <v>101.31279623999977</v>
      </c>
      <c r="G97" s="1">
        <v>284.99011135999973</v>
      </c>
      <c r="H97" s="1">
        <v>710.49400215999867</v>
      </c>
      <c r="I97" s="1">
        <v>2237.6902067600013</v>
      </c>
      <c r="J97" s="1">
        <v>10342.381101000004</v>
      </c>
      <c r="K97" s="1"/>
      <c r="L97" s="1"/>
    </row>
    <row r="98" spans="3:12" x14ac:dyDescent="0.25">
      <c r="C98" s="1" t="s">
        <v>46</v>
      </c>
      <c r="D98" s="1">
        <v>1.2351040096000157</v>
      </c>
      <c r="E98" s="1">
        <v>7.446715673600016</v>
      </c>
      <c r="F98" s="1">
        <v>84.602631360000572</v>
      </c>
      <c r="G98" s="1">
        <v>1081.6076329999973</v>
      </c>
      <c r="H98" s="1"/>
      <c r="I98" s="1"/>
      <c r="J98" s="1"/>
      <c r="K98" s="1"/>
      <c r="L98" s="1"/>
    </row>
    <row r="99" spans="3:12" x14ac:dyDescent="0.25">
      <c r="C99" s="1" t="s">
        <v>29</v>
      </c>
      <c r="D99" s="1">
        <v>2.2139196483999926</v>
      </c>
      <c r="E99" s="1">
        <v>12.312027598399979</v>
      </c>
      <c r="F99" s="1">
        <v>86.53055056000025</v>
      </c>
      <c r="G99" s="1">
        <v>293.4922551599999</v>
      </c>
      <c r="H99" s="1">
        <v>744.15884684000139</v>
      </c>
      <c r="I99" s="1">
        <v>1600.6806654399977</v>
      </c>
      <c r="J99" s="1">
        <v>1049498.988601</v>
      </c>
      <c r="K99" s="1"/>
      <c r="L99" s="1"/>
    </row>
    <row r="100" spans="3:12" x14ac:dyDescent="0.25">
      <c r="C100" s="1" t="s">
        <v>30</v>
      </c>
      <c r="D100" s="1">
        <v>5.8865228596000136</v>
      </c>
      <c r="E100" s="1">
        <v>19.460514410000002</v>
      </c>
      <c r="F100" s="1">
        <v>65.28749184000003</v>
      </c>
      <c r="G100" s="1">
        <v>199.18713016000032</v>
      </c>
      <c r="H100" s="1">
        <v>498.36374016000008</v>
      </c>
      <c r="I100" s="1">
        <v>1499.6017257600001</v>
      </c>
      <c r="J100" s="1">
        <v>44656.18092199997</v>
      </c>
      <c r="K100" s="1"/>
      <c r="L100" s="1"/>
    </row>
    <row r="101" spans="3:12" x14ac:dyDescent="0.25">
      <c r="C101" s="1" t="s">
        <v>31</v>
      </c>
      <c r="D101" s="1">
        <v>48.38041455999992</v>
      </c>
      <c r="E101" s="1">
        <v>685.25645503999954</v>
      </c>
      <c r="F101" s="1">
        <v>157312919.80507457</v>
      </c>
      <c r="G101" s="1">
        <v>359.91950400000246</v>
      </c>
      <c r="H101" s="1"/>
      <c r="I101" s="1"/>
      <c r="J101" s="1"/>
      <c r="K101" s="1"/>
      <c r="L101" s="1"/>
    </row>
    <row r="102" spans="3:12" x14ac:dyDescent="0.25">
      <c r="C102" s="1" t="s">
        <v>32</v>
      </c>
      <c r="D102" s="1">
        <v>3057.8961639999975</v>
      </c>
      <c r="E102" s="1">
        <v>283597.10160000046</v>
      </c>
      <c r="F102" s="1">
        <v>20138.744400000211</v>
      </c>
      <c r="G102" s="1">
        <v>713734.51839999994</v>
      </c>
      <c r="H102" s="1">
        <v>39347016.675600007</v>
      </c>
      <c r="I102" s="1">
        <v>75691650.885813147</v>
      </c>
      <c r="J102" s="1"/>
      <c r="K102" s="1"/>
      <c r="L102" s="1"/>
    </row>
    <row r="103" spans="3:12" x14ac:dyDescent="0.25">
      <c r="C103" s="1" t="s">
        <v>33</v>
      </c>
      <c r="D103" s="1">
        <v>5.7923904400000161</v>
      </c>
      <c r="E103" s="1">
        <v>780.23724399999833</v>
      </c>
      <c r="F103" s="1">
        <v>213.21820084000134</v>
      </c>
      <c r="G103" s="1">
        <v>4413.8421008399991</v>
      </c>
      <c r="H103" s="1">
        <v>12264.076900000022</v>
      </c>
      <c r="I103" s="1" t="e">
        <v>#DIV/0!</v>
      </c>
      <c r="J103" s="1"/>
      <c r="K103" s="1"/>
      <c r="L103" s="1"/>
    </row>
    <row r="104" spans="3:12" x14ac:dyDescent="0.25">
      <c r="C104" s="1" t="s">
        <v>34</v>
      </c>
      <c r="D104" s="1">
        <v>8.7140536035999769</v>
      </c>
      <c r="E104" s="1">
        <v>2323.1860723155996</v>
      </c>
      <c r="F104" s="1">
        <v>147.37039076000013</v>
      </c>
      <c r="G104" s="1">
        <v>12420.629968639996</v>
      </c>
      <c r="H104" s="1"/>
      <c r="I104" s="1"/>
      <c r="J104" s="1"/>
      <c r="K104" s="1"/>
      <c r="L104" s="1"/>
    </row>
    <row r="105" spans="3:12" x14ac:dyDescent="0.25">
      <c r="C105" s="1" t="s">
        <v>35</v>
      </c>
      <c r="D105" s="1">
        <v>11.924941160000017</v>
      </c>
      <c r="E105" s="1">
        <v>1855.8579346563997</v>
      </c>
      <c r="F105" s="1">
        <v>54.869637000000125</v>
      </c>
      <c r="G105" s="1">
        <v>16.747200760000013</v>
      </c>
      <c r="H105" s="1">
        <v>3513.9669792399964</v>
      </c>
      <c r="I105" s="1">
        <v>3243.0470924400029</v>
      </c>
      <c r="J105" s="1"/>
      <c r="K105" s="1"/>
      <c r="L105" s="1"/>
    </row>
    <row r="106" spans="3:12" x14ac:dyDescent="0.25">
      <c r="C106" s="1" t="s">
        <v>36</v>
      </c>
      <c r="D106" s="1">
        <v>30.493353009999996</v>
      </c>
      <c r="E106" s="1">
        <v>1401.2809206864006</v>
      </c>
      <c r="F106" s="1">
        <v>47.93301615999998</v>
      </c>
      <c r="G106" s="1">
        <v>134.03613864000025</v>
      </c>
      <c r="H106" s="1">
        <v>304.76741599999968</v>
      </c>
      <c r="I106" s="1">
        <v>2141.249984359999</v>
      </c>
      <c r="J106" s="1"/>
      <c r="K106" s="1"/>
      <c r="L106" s="1"/>
    </row>
    <row r="107" spans="3:12" x14ac:dyDescent="0.25">
      <c r="C107" s="1" t="s">
        <v>38</v>
      </c>
      <c r="D107" s="1">
        <v>4.7878198896000166</v>
      </c>
      <c r="E107" s="1">
        <v>1370.6030733923994</v>
      </c>
      <c r="F107" s="1">
        <v>81.295343640000269</v>
      </c>
      <c r="G107" s="1">
        <v>3372.6599596399997</v>
      </c>
      <c r="H107" s="1"/>
      <c r="I107" s="1"/>
      <c r="J107" s="1"/>
      <c r="K107" s="1"/>
      <c r="L107" s="1"/>
    </row>
    <row r="108" spans="3:12" x14ac:dyDescent="0.25">
      <c r="C108" s="1" t="s">
        <v>39</v>
      </c>
      <c r="D108" s="1">
        <v>19.868367854399995</v>
      </c>
      <c r="E108" s="1">
        <v>2386.0215794800001</v>
      </c>
      <c r="F108" s="1">
        <v>10.978858440000041</v>
      </c>
      <c r="G108" s="1">
        <v>138.94215264000019</v>
      </c>
      <c r="H108" s="1">
        <v>194.73064000000019</v>
      </c>
      <c r="I108" s="1">
        <v>2354.6158991600018</v>
      </c>
      <c r="J108" s="1"/>
      <c r="K108" s="1"/>
      <c r="L108" s="1"/>
    </row>
    <row r="109" spans="3:12" x14ac:dyDescent="0.25">
      <c r="C109" s="1" t="s">
        <v>40</v>
      </c>
      <c r="D109" s="1">
        <v>4.7128803204000045</v>
      </c>
      <c r="E109" s="1">
        <v>660.02669088000005</v>
      </c>
      <c r="F109" s="1">
        <v>41.500802240000056</v>
      </c>
      <c r="G109" s="1">
        <v>101.07654464000015</v>
      </c>
      <c r="H109" s="1">
        <v>399.07518175999968</v>
      </c>
      <c r="I109" s="1">
        <v>1879.4938460400001</v>
      </c>
      <c r="J109" s="1"/>
      <c r="K109" s="1"/>
      <c r="L109" s="1"/>
    </row>
    <row r="110" spans="3:12" x14ac:dyDescent="0.25">
      <c r="C110" s="1" t="s">
        <v>41</v>
      </c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 t="s">
        <v>43</v>
      </c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 t="s">
        <v>8</v>
      </c>
      <c r="D112" s="1">
        <v>3.1259738815999989</v>
      </c>
      <c r="E112" s="1">
        <v>47.55181772639996</v>
      </c>
      <c r="F112" s="1">
        <v>348.99936823999991</v>
      </c>
      <c r="G112" s="1">
        <v>147.77678735999922</v>
      </c>
      <c r="H112" s="1">
        <v>525.77814304000208</v>
      </c>
      <c r="I112" s="1">
        <v>1970.1635708399988</v>
      </c>
      <c r="J112" s="1">
        <v>25516.545751000012</v>
      </c>
      <c r="K112" s="1"/>
      <c r="L112" s="1"/>
    </row>
    <row r="113" spans="3:12" x14ac:dyDescent="0.25">
      <c r="C113" s="1" t="s">
        <v>37</v>
      </c>
      <c r="D113" s="1">
        <v>3.3070899604000012</v>
      </c>
      <c r="E113" s="1">
        <v>29904.544968569742</v>
      </c>
      <c r="F113" s="1">
        <v>37.734038759999926</v>
      </c>
      <c r="G113" s="1">
        <v>121.97034699999998</v>
      </c>
      <c r="H113" s="1">
        <v>60.713590240000549</v>
      </c>
      <c r="I113" s="1">
        <v>2387.1480359999941</v>
      </c>
      <c r="J113" s="1"/>
      <c r="K113" s="1"/>
      <c r="L113" s="1"/>
    </row>
    <row r="114" spans="3:12" x14ac:dyDescent="0.25">
      <c r="C114" s="1" t="s">
        <v>42</v>
      </c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 t="s">
        <v>10</v>
      </c>
      <c r="D115" s="1" t="e">
        <v>#DIV/0!</v>
      </c>
      <c r="E115" s="1">
        <v>8.8991868036000099</v>
      </c>
      <c r="F115" s="1">
        <v>43.717849640000011</v>
      </c>
      <c r="G115" s="1">
        <v>156.08249963999975</v>
      </c>
      <c r="H115" s="1">
        <v>1158.4631291600012</v>
      </c>
      <c r="I115" s="1">
        <v>2542.2347984400008</v>
      </c>
      <c r="J115" s="1">
        <v>38701.170635000017</v>
      </c>
      <c r="K115" s="1"/>
      <c r="L115" s="1"/>
    </row>
    <row r="116" spans="3:12" x14ac:dyDescent="0.25">
      <c r="C116" s="1" t="s">
        <v>9</v>
      </c>
      <c r="D116" s="1">
        <v>40.263418040400005</v>
      </c>
      <c r="E116" s="1">
        <v>150.67747616000008</v>
      </c>
      <c r="F116" s="1">
        <v>10730.379941640002</v>
      </c>
      <c r="G116" s="1">
        <v>6123.9213675600058</v>
      </c>
      <c r="H116" s="1">
        <v>40603.020940959999</v>
      </c>
      <c r="I116" s="1">
        <v>5944.7663879999936</v>
      </c>
      <c r="J116" s="1">
        <v>2759231.0743089998</v>
      </c>
      <c r="K116" s="1"/>
      <c r="L116" s="1"/>
    </row>
    <row r="117" spans="3:12" x14ac:dyDescent="0.25">
      <c r="C117" s="1" t="s">
        <v>13</v>
      </c>
      <c r="D117" s="1">
        <v>354.86351665000012</v>
      </c>
      <c r="E117" s="1">
        <v>211.53417922239998</v>
      </c>
      <c r="F117" s="1">
        <v>131.42343203999997</v>
      </c>
      <c r="G117" s="1">
        <v>2265.30429624</v>
      </c>
      <c r="H117" s="1">
        <v>7514333.2865064796</v>
      </c>
      <c r="I117" s="1">
        <v>26625.248338000045</v>
      </c>
      <c r="J117" s="1">
        <v>115320.49434500014</v>
      </c>
      <c r="K117" s="1"/>
      <c r="L117" s="1"/>
    </row>
    <row r="118" spans="3:12" x14ac:dyDescent="0.25">
      <c r="C118" s="1" t="s">
        <v>14</v>
      </c>
      <c r="D118" s="1">
        <v>7.0095744784000011</v>
      </c>
      <c r="E118" s="1">
        <v>11.43930481160001</v>
      </c>
      <c r="F118" s="1">
        <v>35.070325639999979</v>
      </c>
      <c r="G118" s="1">
        <v>132.93824504000003</v>
      </c>
      <c r="H118" s="1">
        <v>60203.508728360001</v>
      </c>
      <c r="I118" s="1">
        <v>1167.5653664400045</v>
      </c>
      <c r="J118" s="1">
        <v>6209.70505400002</v>
      </c>
      <c r="K118" s="1"/>
      <c r="L118" s="1"/>
    </row>
    <row r="119" spans="3:12" x14ac:dyDescent="0.25">
      <c r="E119" s="110"/>
    </row>
    <row r="120" spans="3:12" x14ac:dyDescent="0.25">
      <c r="C120" t="s">
        <v>15</v>
      </c>
      <c r="D120">
        <v>1.96</v>
      </c>
      <c r="E120" s="110">
        <v>50</v>
      </c>
    </row>
    <row r="121" spans="3:12" x14ac:dyDescent="0.25">
      <c r="C121" s="1">
        <v>50</v>
      </c>
      <c r="D121" s="2">
        <v>2</v>
      </c>
      <c r="E121" s="3">
        <v>4</v>
      </c>
      <c r="F121" s="2">
        <v>8</v>
      </c>
      <c r="G121" s="2">
        <v>16</v>
      </c>
      <c r="H121" s="2">
        <v>32</v>
      </c>
      <c r="I121" s="2">
        <v>64</v>
      </c>
      <c r="J121" s="2">
        <v>128</v>
      </c>
      <c r="K121" s="2">
        <v>256</v>
      </c>
      <c r="L121" s="2">
        <v>512</v>
      </c>
    </row>
    <row r="122" spans="3:12" x14ac:dyDescent="0.25">
      <c r="C122" s="1"/>
      <c r="D122" s="4">
        <v>42</v>
      </c>
      <c r="E122" s="4">
        <v>84</v>
      </c>
      <c r="F122" s="4">
        <v>168</v>
      </c>
      <c r="G122" s="4">
        <v>336</v>
      </c>
      <c r="H122" s="4">
        <v>672</v>
      </c>
      <c r="I122" s="4">
        <v>1344</v>
      </c>
      <c r="J122" s="4">
        <v>2688</v>
      </c>
      <c r="K122" s="4">
        <v>5376</v>
      </c>
      <c r="L122" s="4">
        <v>10752</v>
      </c>
    </row>
    <row r="123" spans="3:12" x14ac:dyDescent="0.25">
      <c r="C123" s="1" t="s">
        <v>1</v>
      </c>
      <c r="D123" s="1">
        <f>$D$120*SQRT(D94)/SQRT($E$120)</f>
        <v>3.7987824909979078</v>
      </c>
      <c r="E123" s="1">
        <f t="shared" ref="E123:L123" si="50">$D$120*SQRT(E94)/SQRT($E$120)</f>
        <v>5.1738649294561121</v>
      </c>
      <c r="F123" s="1">
        <f t="shared" si="50"/>
        <v>959.99251114515585</v>
      </c>
      <c r="G123" s="1">
        <f t="shared" si="50"/>
        <v>146.83723977149592</v>
      </c>
      <c r="H123" s="1">
        <f t="shared" si="50"/>
        <v>26.71912931796215</v>
      </c>
      <c r="I123" s="1">
        <f t="shared" si="50"/>
        <v>96.278776732452684</v>
      </c>
      <c r="J123" s="1">
        <f t="shared" si="50"/>
        <v>495.41915066698533</v>
      </c>
      <c r="K123" s="1">
        <f t="shared" si="50"/>
        <v>0</v>
      </c>
      <c r="L123" s="1">
        <f t="shared" si="50"/>
        <v>0</v>
      </c>
    </row>
    <row r="124" spans="3:12" x14ac:dyDescent="0.25">
      <c r="C124" s="1" t="s">
        <v>25</v>
      </c>
      <c r="D124" s="1">
        <f t="shared" ref="D124:L139" si="51">$D$120*SQRT(D95)/SQRT($E$120)</f>
        <v>2.8626792532644267</v>
      </c>
      <c r="E124" s="1">
        <f t="shared" si="51"/>
        <v>2.8659165617160784</v>
      </c>
      <c r="F124" s="1">
        <f t="shared" si="51"/>
        <v>4.6550682319277339</v>
      </c>
      <c r="G124" s="1">
        <f t="shared" si="51"/>
        <v>14.367470002221538</v>
      </c>
      <c r="H124" s="1">
        <f t="shared" si="51"/>
        <v>3.9313102763508594</v>
      </c>
      <c r="I124" s="1">
        <f t="shared" si="51"/>
        <v>0</v>
      </c>
      <c r="J124" s="1">
        <f t="shared" si="51"/>
        <v>0</v>
      </c>
      <c r="K124" s="1">
        <f t="shared" si="51"/>
        <v>0</v>
      </c>
      <c r="L124" s="1">
        <f t="shared" si="51"/>
        <v>0</v>
      </c>
    </row>
    <row r="125" spans="3:12" x14ac:dyDescent="0.25">
      <c r="C125" s="1" t="s">
        <v>26</v>
      </c>
      <c r="D125" s="1">
        <f t="shared" si="51"/>
        <v>0.70471038844294431</v>
      </c>
      <c r="E125" s="1">
        <f t="shared" si="51"/>
        <v>5.3231679719707419</v>
      </c>
      <c r="F125" s="1">
        <f t="shared" si="51"/>
        <v>2.3594568839706485</v>
      </c>
      <c r="G125" s="1">
        <f t="shared" si="51"/>
        <v>4.3110904583721661</v>
      </c>
      <c r="H125" s="1">
        <f t="shared" si="51"/>
        <v>7.350669429414312</v>
      </c>
      <c r="I125" s="1">
        <f t="shared" si="51"/>
        <v>16.236668573670659</v>
      </c>
      <c r="J125" s="1">
        <f t="shared" si="51"/>
        <v>33.0519259466802</v>
      </c>
      <c r="K125" s="1">
        <f t="shared" si="51"/>
        <v>0</v>
      </c>
      <c r="L125" s="1">
        <f t="shared" si="51"/>
        <v>0</v>
      </c>
    </row>
    <row r="126" spans="3:12" x14ac:dyDescent="0.25">
      <c r="C126" s="1" t="s">
        <v>27</v>
      </c>
      <c r="D126" s="1">
        <f t="shared" si="51"/>
        <v>1.6961992000467081</v>
      </c>
      <c r="E126" s="1">
        <f t="shared" si="51"/>
        <v>2.8099149787614879</v>
      </c>
      <c r="F126" s="1">
        <f t="shared" si="51"/>
        <v>2.7899936847082039</v>
      </c>
      <c r="G126" s="1">
        <f t="shared" si="51"/>
        <v>4.6793546815785936</v>
      </c>
      <c r="H126" s="1">
        <f t="shared" si="51"/>
        <v>7.388414929736757</v>
      </c>
      <c r="I126" s="1">
        <f t="shared" si="51"/>
        <v>13.112063680663864</v>
      </c>
      <c r="J126" s="1">
        <f t="shared" si="51"/>
        <v>28.189108264576806</v>
      </c>
      <c r="K126" s="1">
        <f t="shared" si="51"/>
        <v>0</v>
      </c>
      <c r="L126" s="1">
        <f t="shared" si="51"/>
        <v>0</v>
      </c>
    </row>
    <row r="127" spans="3:12" x14ac:dyDescent="0.25">
      <c r="C127" s="1" t="s">
        <v>46</v>
      </c>
      <c r="D127" s="1">
        <f t="shared" si="51"/>
        <v>0.30805115040458525</v>
      </c>
      <c r="E127" s="1">
        <f t="shared" si="51"/>
        <v>0.75640337032170635</v>
      </c>
      <c r="F127" s="1">
        <f t="shared" si="51"/>
        <v>2.5495468955584171</v>
      </c>
      <c r="G127" s="1">
        <f t="shared" si="51"/>
        <v>9.1160340970542553</v>
      </c>
      <c r="H127" s="1">
        <f t="shared" si="51"/>
        <v>0</v>
      </c>
      <c r="I127" s="1">
        <f t="shared" si="51"/>
        <v>0</v>
      </c>
      <c r="J127" s="1">
        <f t="shared" si="51"/>
        <v>0</v>
      </c>
      <c r="K127" s="1">
        <f t="shared" si="51"/>
        <v>0</v>
      </c>
      <c r="L127" s="1">
        <f t="shared" si="51"/>
        <v>0</v>
      </c>
    </row>
    <row r="128" spans="3:12" x14ac:dyDescent="0.25">
      <c r="C128" s="1" t="s">
        <v>29</v>
      </c>
      <c r="D128" s="1">
        <f t="shared" si="51"/>
        <v>0.41243166030976358</v>
      </c>
      <c r="E128" s="1">
        <f t="shared" si="51"/>
        <v>0.97260357003265585</v>
      </c>
      <c r="F128" s="1">
        <f t="shared" si="51"/>
        <v>2.5784327140001033</v>
      </c>
      <c r="G128" s="1">
        <f t="shared" si="51"/>
        <v>4.74864158980788</v>
      </c>
      <c r="H128" s="1">
        <f t="shared" si="51"/>
        <v>7.561429264392479</v>
      </c>
      <c r="I128" s="1">
        <f t="shared" si="51"/>
        <v>11.089792463661613</v>
      </c>
      <c r="J128" s="1">
        <f t="shared" si="51"/>
        <v>283.96321292060355</v>
      </c>
      <c r="K128" s="1">
        <f t="shared" si="51"/>
        <v>0</v>
      </c>
      <c r="L128" s="1">
        <f t="shared" si="51"/>
        <v>0</v>
      </c>
    </row>
    <row r="129" spans="3:12" x14ac:dyDescent="0.25">
      <c r="C129" s="1" t="s">
        <v>30</v>
      </c>
      <c r="D129" s="1">
        <f t="shared" si="51"/>
        <v>0.67251269456329832</v>
      </c>
      <c r="E129" s="1">
        <f t="shared" si="51"/>
        <v>1.2227797197979364</v>
      </c>
      <c r="F129" s="1">
        <f t="shared" si="51"/>
        <v>2.2396804622648476</v>
      </c>
      <c r="G129" s="1">
        <f t="shared" si="51"/>
        <v>3.9120257647992482</v>
      </c>
      <c r="H129" s="1">
        <f t="shared" si="51"/>
        <v>6.1879142595848178</v>
      </c>
      <c r="I129" s="1">
        <f t="shared" si="51"/>
        <v>10.733936826420784</v>
      </c>
      <c r="J129" s="1">
        <f t="shared" si="51"/>
        <v>58.57494082454631</v>
      </c>
      <c r="K129" s="1">
        <f t="shared" si="51"/>
        <v>0</v>
      </c>
      <c r="L129" s="1">
        <f t="shared" si="51"/>
        <v>0</v>
      </c>
    </row>
    <row r="130" spans="3:12" x14ac:dyDescent="0.25">
      <c r="C130" s="1" t="s">
        <v>31</v>
      </c>
      <c r="D130" s="1">
        <f t="shared" si="51"/>
        <v>1.9279948162466396</v>
      </c>
      <c r="E130" s="1">
        <f t="shared" si="51"/>
        <v>7.2560060607494838</v>
      </c>
      <c r="F130" s="1">
        <f t="shared" si="51"/>
        <v>3476.5883067259329</v>
      </c>
      <c r="G130" s="1">
        <f t="shared" si="51"/>
        <v>5.2586438680831185</v>
      </c>
      <c r="H130" s="1">
        <f t="shared" si="51"/>
        <v>0</v>
      </c>
      <c r="I130" s="1">
        <f t="shared" si="51"/>
        <v>0</v>
      </c>
      <c r="J130" s="1">
        <f t="shared" si="51"/>
        <v>0</v>
      </c>
      <c r="K130" s="1">
        <f t="shared" si="51"/>
        <v>0</v>
      </c>
      <c r="L130" s="1">
        <f t="shared" si="51"/>
        <v>0</v>
      </c>
    </row>
    <row r="131" spans="3:12" x14ac:dyDescent="0.25">
      <c r="C131" s="1" t="s">
        <v>32</v>
      </c>
      <c r="D131" s="1">
        <f t="shared" si="51"/>
        <v>15.32789216012586</v>
      </c>
      <c r="E131" s="1">
        <f t="shared" si="51"/>
        <v>147.61210150299752</v>
      </c>
      <c r="F131" s="1">
        <f t="shared" si="51"/>
        <v>39.335734513808376</v>
      </c>
      <c r="G131" s="1">
        <f t="shared" si="51"/>
        <v>234.17440192665975</v>
      </c>
      <c r="H131" s="1">
        <f t="shared" si="51"/>
        <v>1738.7092871494358</v>
      </c>
      <c r="I131" s="1">
        <f t="shared" si="51"/>
        <v>2411.5432653922667</v>
      </c>
      <c r="J131" s="1">
        <f t="shared" si="51"/>
        <v>0</v>
      </c>
      <c r="K131" s="1">
        <f t="shared" si="51"/>
        <v>0</v>
      </c>
      <c r="L131" s="1">
        <f t="shared" si="51"/>
        <v>0</v>
      </c>
    </row>
    <row r="132" spans="3:12" x14ac:dyDescent="0.25">
      <c r="C132" s="1" t="s">
        <v>33</v>
      </c>
      <c r="D132" s="1">
        <f t="shared" si="51"/>
        <v>0.66711389004133403</v>
      </c>
      <c r="E132" s="1">
        <f t="shared" si="51"/>
        <v>7.7425569375373575</v>
      </c>
      <c r="F132" s="1">
        <f t="shared" si="51"/>
        <v>4.0474659735368972</v>
      </c>
      <c r="G132" s="1">
        <f t="shared" si="51"/>
        <v>18.415328297147973</v>
      </c>
      <c r="H132" s="1">
        <f t="shared" si="51"/>
        <v>30.69647465721107</v>
      </c>
      <c r="I132" s="1" t="e">
        <f t="shared" si="51"/>
        <v>#DIV/0!</v>
      </c>
      <c r="J132" s="1">
        <f t="shared" si="51"/>
        <v>0</v>
      </c>
      <c r="K132" s="1">
        <f t="shared" si="51"/>
        <v>0</v>
      </c>
      <c r="L132" s="1">
        <f t="shared" si="51"/>
        <v>0</v>
      </c>
    </row>
    <row r="133" spans="3:12" x14ac:dyDescent="0.25">
      <c r="C133" s="1" t="s">
        <v>34</v>
      </c>
      <c r="D133" s="1">
        <f t="shared" si="51"/>
        <v>0.81824089757955354</v>
      </c>
      <c r="E133" s="1">
        <f t="shared" si="51"/>
        <v>13.360203303398949</v>
      </c>
      <c r="F133" s="1">
        <f t="shared" si="51"/>
        <v>3.3649311824868469</v>
      </c>
      <c r="G133" s="1">
        <f t="shared" si="51"/>
        <v>30.89177628027479</v>
      </c>
      <c r="H133" s="1">
        <f t="shared" si="51"/>
        <v>0</v>
      </c>
      <c r="I133" s="1">
        <f t="shared" si="51"/>
        <v>0</v>
      </c>
      <c r="J133" s="1">
        <f t="shared" si="51"/>
        <v>0</v>
      </c>
      <c r="K133" s="1">
        <f t="shared" si="51"/>
        <v>0</v>
      </c>
      <c r="L133" s="1">
        <f t="shared" si="51"/>
        <v>0</v>
      </c>
    </row>
    <row r="134" spans="3:12" x14ac:dyDescent="0.25">
      <c r="C134" s="1" t="s">
        <v>35</v>
      </c>
      <c r="D134" s="1">
        <f t="shared" si="51"/>
        <v>0.95719228956627178</v>
      </c>
      <c r="E134" s="1">
        <f t="shared" si="51"/>
        <v>11.941075195957879</v>
      </c>
      <c r="F134" s="1">
        <f t="shared" si="51"/>
        <v>2.0532276907308673</v>
      </c>
      <c r="G134" s="1">
        <f t="shared" si="51"/>
        <v>1.1343372200506872</v>
      </c>
      <c r="H134" s="1">
        <f t="shared" si="51"/>
        <v>16.43122365951384</v>
      </c>
      <c r="I134" s="1">
        <f t="shared" si="51"/>
        <v>15.785113056495677</v>
      </c>
      <c r="J134" s="1">
        <f t="shared" si="51"/>
        <v>0</v>
      </c>
      <c r="K134" s="1">
        <f t="shared" si="51"/>
        <v>0</v>
      </c>
      <c r="L134" s="1">
        <f t="shared" si="51"/>
        <v>0</v>
      </c>
    </row>
    <row r="135" spans="3:12" x14ac:dyDescent="0.25">
      <c r="C135" s="1" t="s">
        <v>36</v>
      </c>
      <c r="D135" s="1">
        <f t="shared" si="51"/>
        <v>1.5306421196557736</v>
      </c>
      <c r="E135" s="1">
        <f t="shared" si="51"/>
        <v>10.37608865122969</v>
      </c>
      <c r="F135" s="1">
        <f t="shared" si="51"/>
        <v>1.9190595346692916</v>
      </c>
      <c r="G135" s="1">
        <f t="shared" si="51"/>
        <v>3.2090909310875717</v>
      </c>
      <c r="H135" s="1">
        <f t="shared" si="51"/>
        <v>4.8389968078220473</v>
      </c>
      <c r="I135" s="1">
        <f t="shared" si="51"/>
        <v>12.826399292020634</v>
      </c>
      <c r="J135" s="1">
        <f t="shared" si="51"/>
        <v>0</v>
      </c>
      <c r="K135" s="1">
        <f t="shared" si="51"/>
        <v>0</v>
      </c>
      <c r="L135" s="1">
        <f t="shared" si="51"/>
        <v>0</v>
      </c>
    </row>
    <row r="136" spans="3:12" x14ac:dyDescent="0.25">
      <c r="C136" s="1" t="s">
        <v>38</v>
      </c>
      <c r="D136" s="1">
        <f t="shared" si="51"/>
        <v>0.6065128009842401</v>
      </c>
      <c r="E136" s="1">
        <f t="shared" si="51"/>
        <v>10.26187971742433</v>
      </c>
      <c r="F136" s="1">
        <f t="shared" si="51"/>
        <v>2.4992166457809333</v>
      </c>
      <c r="G136" s="1">
        <f t="shared" si="51"/>
        <v>16.097459738078566</v>
      </c>
      <c r="H136" s="1">
        <f t="shared" si="51"/>
        <v>0</v>
      </c>
      <c r="I136" s="1">
        <f t="shared" si="51"/>
        <v>0</v>
      </c>
      <c r="J136" s="1">
        <f t="shared" si="51"/>
        <v>0</v>
      </c>
      <c r="K136" s="1">
        <f t="shared" si="51"/>
        <v>0</v>
      </c>
      <c r="L136" s="1">
        <f t="shared" si="51"/>
        <v>0</v>
      </c>
    </row>
    <row r="137" spans="3:12" x14ac:dyDescent="0.25">
      <c r="C137" s="1" t="s">
        <v>39</v>
      </c>
      <c r="D137" s="1">
        <f t="shared" si="51"/>
        <v>1.2355267860266161</v>
      </c>
      <c r="E137" s="1">
        <f t="shared" si="51"/>
        <v>13.53967540211387</v>
      </c>
      <c r="F137" s="1">
        <f t="shared" si="51"/>
        <v>0.9184376144638694</v>
      </c>
      <c r="G137" s="1">
        <f t="shared" si="51"/>
        <v>3.2672929883370565</v>
      </c>
      <c r="H137" s="1">
        <f t="shared" si="51"/>
        <v>3.8680155806925094</v>
      </c>
      <c r="I137" s="1">
        <f t="shared" si="51"/>
        <v>13.450273185488138</v>
      </c>
      <c r="J137" s="1">
        <f t="shared" si="51"/>
        <v>0</v>
      </c>
      <c r="K137" s="1">
        <f t="shared" si="51"/>
        <v>0</v>
      </c>
      <c r="L137" s="1">
        <f t="shared" si="51"/>
        <v>0</v>
      </c>
    </row>
    <row r="138" spans="3:12" x14ac:dyDescent="0.25">
      <c r="C138" s="1" t="s">
        <v>40</v>
      </c>
      <c r="D138" s="1">
        <f t="shared" si="51"/>
        <v>0.60174747259707972</v>
      </c>
      <c r="E138" s="1">
        <f t="shared" si="51"/>
        <v>7.1211776212710882</v>
      </c>
      <c r="F138" s="1">
        <f t="shared" si="51"/>
        <v>1.7856622406557419</v>
      </c>
      <c r="G138" s="1">
        <f t="shared" si="51"/>
        <v>2.7867387889395894</v>
      </c>
      <c r="H138" s="1">
        <f t="shared" si="51"/>
        <v>5.5373047924946572</v>
      </c>
      <c r="I138" s="1">
        <f t="shared" si="51"/>
        <v>12.016874434683308</v>
      </c>
      <c r="J138" s="1">
        <f t="shared" si="51"/>
        <v>0</v>
      </c>
      <c r="K138" s="1">
        <f t="shared" si="51"/>
        <v>0</v>
      </c>
      <c r="L138" s="1">
        <f t="shared" si="51"/>
        <v>0</v>
      </c>
    </row>
    <row r="139" spans="3:12" x14ac:dyDescent="0.25">
      <c r="C139" s="1" t="s">
        <v>41</v>
      </c>
      <c r="D139" s="1">
        <f t="shared" si="51"/>
        <v>0</v>
      </c>
      <c r="E139" s="1">
        <f t="shared" si="51"/>
        <v>0</v>
      </c>
      <c r="F139" s="1">
        <f t="shared" si="51"/>
        <v>0</v>
      </c>
      <c r="G139" s="1">
        <f t="shared" si="51"/>
        <v>0</v>
      </c>
      <c r="H139" s="1">
        <f t="shared" si="51"/>
        <v>0</v>
      </c>
      <c r="I139" s="1">
        <f t="shared" si="51"/>
        <v>0</v>
      </c>
      <c r="J139" s="1">
        <f t="shared" si="51"/>
        <v>0</v>
      </c>
      <c r="K139" s="1">
        <f t="shared" si="51"/>
        <v>0</v>
      </c>
      <c r="L139" s="1">
        <f t="shared" si="51"/>
        <v>0</v>
      </c>
    </row>
    <row r="140" spans="3:12" x14ac:dyDescent="0.25">
      <c r="C140" s="1" t="s">
        <v>43</v>
      </c>
      <c r="D140" s="1">
        <f t="shared" ref="D140:L147" si="52">$D$120*SQRT(D111)/SQRT($E$120)</f>
        <v>0</v>
      </c>
      <c r="E140" s="1">
        <f t="shared" si="52"/>
        <v>0</v>
      </c>
      <c r="F140" s="1">
        <f t="shared" si="52"/>
        <v>0</v>
      </c>
      <c r="G140" s="1">
        <f t="shared" si="52"/>
        <v>0</v>
      </c>
      <c r="H140" s="1">
        <f t="shared" si="52"/>
        <v>0</v>
      </c>
      <c r="I140" s="1">
        <f t="shared" si="52"/>
        <v>0</v>
      </c>
      <c r="J140" s="1">
        <f t="shared" si="52"/>
        <v>0</v>
      </c>
      <c r="K140" s="1">
        <f t="shared" si="52"/>
        <v>0</v>
      </c>
      <c r="L140" s="1">
        <f t="shared" si="52"/>
        <v>0</v>
      </c>
    </row>
    <row r="141" spans="3:12" x14ac:dyDescent="0.25">
      <c r="C141" s="1" t="s">
        <v>8</v>
      </c>
      <c r="D141" s="1">
        <f t="shared" si="52"/>
        <v>0.49007634636971725</v>
      </c>
      <c r="E141" s="1">
        <f t="shared" si="52"/>
        <v>1.9114134193195258</v>
      </c>
      <c r="F141" s="1">
        <f t="shared" si="52"/>
        <v>5.1782544800942016</v>
      </c>
      <c r="G141" s="1">
        <f t="shared" si="52"/>
        <v>3.3695676468121927</v>
      </c>
      <c r="H141" s="1">
        <f t="shared" si="52"/>
        <v>6.3558308887233173</v>
      </c>
      <c r="I141" s="1">
        <f t="shared" si="52"/>
        <v>12.303316929786812</v>
      </c>
      <c r="J141" s="1">
        <f t="shared" si="52"/>
        <v>44.277389750761429</v>
      </c>
      <c r="K141" s="1">
        <f t="shared" si="52"/>
        <v>0</v>
      </c>
      <c r="L141" s="1">
        <f t="shared" si="52"/>
        <v>0</v>
      </c>
    </row>
    <row r="142" spans="3:12" x14ac:dyDescent="0.25">
      <c r="C142" s="1" t="s">
        <v>37</v>
      </c>
      <c r="D142" s="1">
        <f t="shared" si="52"/>
        <v>0.50407374047598719</v>
      </c>
      <c r="E142" s="1">
        <f t="shared" si="52"/>
        <v>47.933558171964975</v>
      </c>
      <c r="F142" s="1">
        <f t="shared" si="52"/>
        <v>1.7026983485069556</v>
      </c>
      <c r="G142" s="1">
        <f t="shared" si="52"/>
        <v>3.0612457759389393</v>
      </c>
      <c r="H142" s="1">
        <f t="shared" si="52"/>
        <v>2.1598024366408426</v>
      </c>
      <c r="I142" s="1">
        <f t="shared" si="52"/>
        <v>13.542871109995529</v>
      </c>
      <c r="J142" s="1">
        <f t="shared" si="52"/>
        <v>0</v>
      </c>
      <c r="K142" s="1">
        <f t="shared" si="52"/>
        <v>0</v>
      </c>
      <c r="L142" s="1">
        <f t="shared" si="52"/>
        <v>0</v>
      </c>
    </row>
    <row r="143" spans="3:12" x14ac:dyDescent="0.25">
      <c r="C143" s="1" t="s">
        <v>42</v>
      </c>
      <c r="D143" s="1">
        <f t="shared" si="52"/>
        <v>0</v>
      </c>
      <c r="E143" s="1">
        <f t="shared" si="52"/>
        <v>0</v>
      </c>
      <c r="F143" s="1">
        <f t="shared" si="52"/>
        <v>0</v>
      </c>
      <c r="G143" s="1">
        <f t="shared" si="52"/>
        <v>0</v>
      </c>
      <c r="H143" s="1">
        <f t="shared" si="52"/>
        <v>0</v>
      </c>
      <c r="I143" s="1">
        <f t="shared" si="52"/>
        <v>0</v>
      </c>
      <c r="J143" s="1">
        <f t="shared" si="52"/>
        <v>0</v>
      </c>
      <c r="K143" s="1">
        <f t="shared" si="52"/>
        <v>0</v>
      </c>
      <c r="L143" s="1">
        <f t="shared" si="52"/>
        <v>0</v>
      </c>
    </row>
    <row r="144" spans="3:12" x14ac:dyDescent="0.25">
      <c r="C144" s="1" t="s">
        <v>10</v>
      </c>
      <c r="D144" s="1" t="e">
        <f t="shared" si="52"/>
        <v>#DIV/0!</v>
      </c>
      <c r="E144" s="1">
        <f t="shared" si="52"/>
        <v>0.82688712681610654</v>
      </c>
      <c r="F144" s="1">
        <f t="shared" si="52"/>
        <v>1.8327383401731083</v>
      </c>
      <c r="G144" s="1">
        <f t="shared" si="52"/>
        <v>3.4629655805884729</v>
      </c>
      <c r="H144" s="1">
        <f t="shared" si="52"/>
        <v>9.4343541983339385</v>
      </c>
      <c r="I144" s="1">
        <f t="shared" si="52"/>
        <v>13.975871494606057</v>
      </c>
      <c r="J144" s="1">
        <f t="shared" si="52"/>
        <v>54.529701468358695</v>
      </c>
      <c r="K144" s="1">
        <f t="shared" si="52"/>
        <v>0</v>
      </c>
      <c r="L144" s="1">
        <f t="shared" si="52"/>
        <v>0</v>
      </c>
    </row>
    <row r="145" spans="3:12" x14ac:dyDescent="0.25">
      <c r="C145" s="1" t="s">
        <v>9</v>
      </c>
      <c r="D145" s="1">
        <f t="shared" si="52"/>
        <v>1.7588402243751458</v>
      </c>
      <c r="E145" s="1">
        <f t="shared" si="52"/>
        <v>3.4024773104791048</v>
      </c>
      <c r="F145" s="1">
        <f t="shared" si="52"/>
        <v>28.713003181069105</v>
      </c>
      <c r="G145" s="1">
        <f t="shared" si="52"/>
        <v>21.69131454090255</v>
      </c>
      <c r="H145" s="1">
        <f t="shared" si="52"/>
        <v>55.853480687740827</v>
      </c>
      <c r="I145" s="1">
        <f t="shared" si="52"/>
        <v>21.371670293236686</v>
      </c>
      <c r="J145" s="1">
        <f t="shared" si="52"/>
        <v>460.43158221532661</v>
      </c>
      <c r="K145" s="1">
        <f t="shared" si="52"/>
        <v>0</v>
      </c>
      <c r="L145" s="1">
        <f t="shared" si="52"/>
        <v>0</v>
      </c>
    </row>
    <row r="146" spans="3:12" x14ac:dyDescent="0.25">
      <c r="C146" s="1" t="s">
        <v>13</v>
      </c>
      <c r="D146" s="1">
        <f t="shared" si="52"/>
        <v>5.2215777032667816</v>
      </c>
      <c r="E146" s="1">
        <f t="shared" si="52"/>
        <v>4.0314506146070341</v>
      </c>
      <c r="F146" s="1">
        <f t="shared" si="52"/>
        <v>3.177660323334965</v>
      </c>
      <c r="G146" s="1">
        <f t="shared" si="52"/>
        <v>13.192719950363218</v>
      </c>
      <c r="H146" s="1">
        <f t="shared" si="52"/>
        <v>759.82975400339899</v>
      </c>
      <c r="I146" s="1">
        <f t="shared" si="52"/>
        <v>45.229095506158636</v>
      </c>
      <c r="J146" s="1">
        <f t="shared" si="52"/>
        <v>94.129188998498506</v>
      </c>
      <c r="K146" s="1">
        <f t="shared" si="52"/>
        <v>0</v>
      </c>
      <c r="L146" s="1">
        <f t="shared" si="52"/>
        <v>0</v>
      </c>
    </row>
    <row r="147" spans="3:12" x14ac:dyDescent="0.25">
      <c r="C147" s="1" t="s">
        <v>14</v>
      </c>
      <c r="D147" s="1">
        <f t="shared" si="52"/>
        <v>0.73386621827444043</v>
      </c>
      <c r="E147" s="1">
        <f t="shared" si="52"/>
        <v>0.93749915588487431</v>
      </c>
      <c r="F147" s="1">
        <f t="shared" si="52"/>
        <v>1.6415003075151946</v>
      </c>
      <c r="G147" s="1">
        <f t="shared" si="52"/>
        <v>3.1959210320208604</v>
      </c>
      <c r="H147" s="1">
        <f t="shared" si="52"/>
        <v>68.01144008633662</v>
      </c>
      <c r="I147" s="1">
        <f t="shared" si="52"/>
        <v>9.4713453233592126</v>
      </c>
      <c r="J147" s="1">
        <f t="shared" si="52"/>
        <v>21.842711798422133</v>
      </c>
      <c r="K147" s="1">
        <f t="shared" si="52"/>
        <v>0</v>
      </c>
      <c r="L147" s="1">
        <f t="shared" si="52"/>
        <v>0</v>
      </c>
    </row>
    <row r="148" spans="3:12" x14ac:dyDescent="0.25">
      <c r="C148" t="s">
        <v>3</v>
      </c>
    </row>
    <row r="149" spans="3:12" x14ac:dyDescent="0.25">
      <c r="C149" s="1">
        <v>50</v>
      </c>
      <c r="D149" s="2">
        <v>2</v>
      </c>
      <c r="E149" s="3">
        <v>4</v>
      </c>
      <c r="F149" s="2">
        <v>8</v>
      </c>
      <c r="G149" s="2">
        <v>16</v>
      </c>
      <c r="H149" s="2">
        <v>32</v>
      </c>
      <c r="I149" s="2">
        <v>64</v>
      </c>
      <c r="J149" s="2">
        <v>128</v>
      </c>
      <c r="K149" s="2">
        <v>256</v>
      </c>
      <c r="L149" s="2">
        <v>512</v>
      </c>
    </row>
    <row r="150" spans="3:12" x14ac:dyDescent="0.25">
      <c r="C150" s="1"/>
      <c r="D150" s="15">
        <v>42</v>
      </c>
      <c r="E150" s="15">
        <v>84</v>
      </c>
      <c r="F150" s="15">
        <v>168</v>
      </c>
      <c r="G150" s="15">
        <v>336</v>
      </c>
      <c r="H150" s="15">
        <v>672</v>
      </c>
      <c r="I150" s="15">
        <v>1344</v>
      </c>
      <c r="J150" s="15">
        <v>2688</v>
      </c>
      <c r="K150" s="4">
        <v>5376</v>
      </c>
      <c r="L150" s="4">
        <v>10752</v>
      </c>
    </row>
    <row r="151" spans="3:12" x14ac:dyDescent="0.25">
      <c r="C151" s="1" t="s">
        <v>1</v>
      </c>
      <c r="D151" s="1">
        <v>187.82211075999936</v>
      </c>
      <c r="E151" s="1">
        <v>348.40793299999888</v>
      </c>
      <c r="F151" s="1">
        <v>11994814.939800894</v>
      </c>
      <c r="G151" s="1">
        <v>280627.53779300017</v>
      </c>
      <c r="H151" s="1">
        <v>9291.8558870000088</v>
      </c>
      <c r="I151" s="1">
        <v>120647.68389600002</v>
      </c>
      <c r="J151" s="1">
        <v>3194504.0458090003</v>
      </c>
      <c r="K151" s="1"/>
      <c r="L151" s="1"/>
    </row>
    <row r="152" spans="3:12" x14ac:dyDescent="0.25">
      <c r="C152" s="1" t="s">
        <v>2</v>
      </c>
      <c r="D152" s="1">
        <v>7.7330889699999936</v>
      </c>
      <c r="E152" s="1">
        <v>23.535970401600004</v>
      </c>
      <c r="F152" s="1">
        <v>27.264492160000017</v>
      </c>
      <c r="G152" s="1">
        <v>64.042607639999886</v>
      </c>
      <c r="H152" s="1">
        <v>3689.8884180000005</v>
      </c>
      <c r="I152" s="1">
        <v>454.11805600000167</v>
      </c>
      <c r="J152" s="1">
        <v>11547.008193000011</v>
      </c>
      <c r="K152" s="1"/>
      <c r="L152" s="1"/>
    </row>
    <row r="153" spans="3:12" x14ac:dyDescent="0.25">
      <c r="C153" s="1" t="s">
        <v>4</v>
      </c>
      <c r="D153" s="1">
        <v>2.597736192399998</v>
      </c>
      <c r="E153" s="1">
        <v>13.732762627599998</v>
      </c>
      <c r="F153" s="1">
        <v>25.630896840000048</v>
      </c>
      <c r="G153" s="1">
        <v>1013.2887437599992</v>
      </c>
      <c r="H153" s="6">
        <v>56.085583840000247</v>
      </c>
      <c r="I153" s="1">
        <v>350.70088400000299</v>
      </c>
      <c r="J153" s="1">
        <v>3779.3627620000048</v>
      </c>
      <c r="K153" s="1"/>
      <c r="L153" s="1"/>
    </row>
    <row r="154" spans="3:12" x14ac:dyDescent="0.25">
      <c r="C154" s="1" t="s">
        <v>5</v>
      </c>
      <c r="D154" s="1">
        <v>2.9110268244000004</v>
      </c>
      <c r="E154" s="1">
        <v>28.63837871359997</v>
      </c>
      <c r="F154" s="1">
        <v>35.52681935999999</v>
      </c>
      <c r="G154" s="1">
        <v>58.906994359999857</v>
      </c>
      <c r="H154" s="1">
        <v>87.296801000000144</v>
      </c>
      <c r="I154" s="1">
        <v>448.63866200000018</v>
      </c>
      <c r="J154" s="1">
        <v>486.19346100000439</v>
      </c>
      <c r="K154" s="1"/>
      <c r="L154" s="1"/>
    </row>
    <row r="155" spans="3:12" x14ac:dyDescent="0.25">
      <c r="C155" s="1" t="s">
        <v>6</v>
      </c>
      <c r="D155" s="1"/>
      <c r="E155" s="1">
        <v>24.887744919999992</v>
      </c>
      <c r="F155" s="1">
        <v>33.004312000000006</v>
      </c>
      <c r="G155" s="1">
        <v>41.457714960000068</v>
      </c>
      <c r="H155" s="1">
        <v>720.64622943999927</v>
      </c>
      <c r="I155" s="1">
        <v>436.83135399999986</v>
      </c>
      <c r="J155" s="1">
        <v>565.61101000000269</v>
      </c>
      <c r="K155" s="1"/>
      <c r="L155" s="1"/>
    </row>
    <row r="156" spans="3:12" x14ac:dyDescent="0.25">
      <c r="C156" s="1" t="s">
        <v>7</v>
      </c>
      <c r="D156" s="1"/>
      <c r="E156" s="1">
        <v>39.598018211599964</v>
      </c>
      <c r="F156" s="1">
        <v>39.503277960000034</v>
      </c>
      <c r="G156" s="1">
        <v>71.002016039999873</v>
      </c>
      <c r="H156" s="1">
        <v>202.09293184000006</v>
      </c>
      <c r="I156" s="1">
        <v>499.80581799999936</v>
      </c>
      <c r="J156" s="1">
        <v>727.92468600000313</v>
      </c>
      <c r="K156" s="1"/>
      <c r="L156" s="1"/>
    </row>
    <row r="157" spans="3:12" x14ac:dyDescent="0.25">
      <c r="C157" s="1" t="s">
        <v>8</v>
      </c>
      <c r="D157" s="1">
        <v>3.1259738815999989</v>
      </c>
      <c r="E157" s="1">
        <v>47.55181772639996</v>
      </c>
      <c r="F157" s="1">
        <v>348.99936823999991</v>
      </c>
      <c r="G157" s="1">
        <v>147.77678735999922</v>
      </c>
      <c r="H157" s="1">
        <v>525.77814304000208</v>
      </c>
      <c r="I157" s="1">
        <v>1970.1635708399988</v>
      </c>
      <c r="J157" s="1">
        <v>25516.545751000012</v>
      </c>
      <c r="K157" s="1"/>
      <c r="L157" s="4"/>
    </row>
    <row r="158" spans="3:12" x14ac:dyDescent="0.25">
      <c r="C158" s="1" t="s">
        <v>9</v>
      </c>
      <c r="D158" s="1">
        <v>40.263418040400005</v>
      </c>
      <c r="E158" s="1">
        <v>150.67747616000008</v>
      </c>
      <c r="F158" s="1">
        <v>10730.379941640002</v>
      </c>
      <c r="G158" s="1">
        <v>6123.9213675600058</v>
      </c>
      <c r="H158" s="1">
        <v>40603.020940959999</v>
      </c>
      <c r="I158" s="1">
        <v>5944.7663879999936</v>
      </c>
      <c r="J158" s="1">
        <v>2759231.0743089998</v>
      </c>
      <c r="K158" s="1"/>
      <c r="L158" s="1"/>
    </row>
    <row r="159" spans="3:12" x14ac:dyDescent="0.25">
      <c r="C159" s="1" t="s">
        <v>10</v>
      </c>
      <c r="D159" s="1"/>
      <c r="E159" s="1">
        <v>8.8991868036000099</v>
      </c>
      <c r="F159" s="1">
        <v>43.717849640000011</v>
      </c>
      <c r="G159" s="1">
        <v>156.08249963999975</v>
      </c>
      <c r="H159" s="1">
        <v>1158.4631291600012</v>
      </c>
      <c r="I159" s="1">
        <v>2542.2347984400008</v>
      </c>
      <c r="J159" s="1">
        <v>38701.170635000017</v>
      </c>
      <c r="K159" s="1"/>
      <c r="L159" s="1"/>
    </row>
    <row r="160" spans="3:12" x14ac:dyDescent="0.25">
      <c r="C160" s="1" t="s">
        <v>13</v>
      </c>
      <c r="D160" s="1">
        <v>79.720366320000025</v>
      </c>
      <c r="E160" s="1">
        <v>68.385865545599984</v>
      </c>
      <c r="F160" s="1">
        <v>75.919874240000027</v>
      </c>
      <c r="G160" s="1">
        <v>89.284647439999929</v>
      </c>
      <c r="H160" s="1">
        <v>392.17984143999985</v>
      </c>
      <c r="I160" s="1">
        <v>44603.892137000017</v>
      </c>
      <c r="J160" s="1" t="e">
        <v>#DIV/0!</v>
      </c>
      <c r="K160" s="1"/>
      <c r="L160" s="1"/>
    </row>
    <row r="161" spans="3:12" x14ac:dyDescent="0.25">
      <c r="C161" s="1" t="s">
        <v>14</v>
      </c>
      <c r="D161" s="1">
        <v>4.2862472464000092</v>
      </c>
      <c r="E161" s="1">
        <v>11.868346609999978</v>
      </c>
      <c r="F161" s="1">
        <v>31.477970439999982</v>
      </c>
      <c r="G161" s="1">
        <v>226.51827463999945</v>
      </c>
      <c r="H161" s="1">
        <v>338.5742203599998</v>
      </c>
      <c r="I161" s="1">
        <v>2262.6137560000016</v>
      </c>
      <c r="J161" s="1" t="e">
        <v>#DIV/0!</v>
      </c>
      <c r="K161" s="1"/>
      <c r="L161" s="1"/>
    </row>
    <row r="162" spans="3:12" x14ac:dyDescent="0.25">
      <c r="C162" s="1" t="s">
        <v>13</v>
      </c>
      <c r="D162" s="1">
        <v>354.86351665000012</v>
      </c>
      <c r="E162" s="1">
        <v>211.53417922239998</v>
      </c>
      <c r="F162" s="1">
        <v>131.42343203999997</v>
      </c>
      <c r="G162" s="1">
        <v>2265.30429624</v>
      </c>
      <c r="H162" s="1" t="e">
        <v>#DIV/0!</v>
      </c>
      <c r="I162" s="1" t="e">
        <v>#DIV/0!</v>
      </c>
      <c r="J162" s="1">
        <v>115320.49434500014</v>
      </c>
      <c r="K162" s="1"/>
      <c r="L162" s="1"/>
    </row>
    <row r="163" spans="3:12" x14ac:dyDescent="0.25">
      <c r="C163" s="1" t="s">
        <v>14</v>
      </c>
      <c r="D163" s="1">
        <v>7.0095744784000011</v>
      </c>
      <c r="E163" s="1">
        <v>11.43930481160001</v>
      </c>
      <c r="F163" s="1">
        <v>35.070325639999979</v>
      </c>
      <c r="G163" s="1">
        <v>132.93824504000003</v>
      </c>
      <c r="H163" s="1" t="e">
        <v>#DIV/0!</v>
      </c>
      <c r="I163" s="1" t="e">
        <v>#DIV/0!</v>
      </c>
      <c r="J163" s="1">
        <v>6209.70505400002</v>
      </c>
      <c r="K163" s="1"/>
      <c r="L163" s="1"/>
    </row>
    <row r="164" spans="3:12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3:12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3:12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3:12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3:12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3:12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1" spans="3:12" x14ac:dyDescent="0.25">
      <c r="C171" t="s">
        <v>15</v>
      </c>
    </row>
    <row r="172" spans="3:12" x14ac:dyDescent="0.25">
      <c r="C172" s="1">
        <v>50</v>
      </c>
      <c r="D172" s="2">
        <v>2</v>
      </c>
      <c r="E172" s="3">
        <v>4</v>
      </c>
      <c r="F172" s="2">
        <v>8</v>
      </c>
      <c r="G172" s="2">
        <v>16</v>
      </c>
      <c r="H172" s="2">
        <v>32</v>
      </c>
      <c r="I172" s="2">
        <v>64</v>
      </c>
      <c r="J172" s="2">
        <v>128</v>
      </c>
      <c r="K172" s="2">
        <v>256</v>
      </c>
      <c r="L172" s="2">
        <v>512</v>
      </c>
    </row>
    <row r="173" spans="3:12" x14ac:dyDescent="0.25">
      <c r="C173" s="1"/>
      <c r="D173" s="4">
        <v>42</v>
      </c>
      <c r="E173" s="4">
        <v>84</v>
      </c>
      <c r="F173" s="4">
        <v>168</v>
      </c>
      <c r="G173" s="4">
        <v>336</v>
      </c>
      <c r="H173" s="4">
        <v>672</v>
      </c>
      <c r="I173" s="4">
        <v>1344</v>
      </c>
      <c r="J173" s="4">
        <v>2688</v>
      </c>
      <c r="K173" s="4">
        <v>5376</v>
      </c>
      <c r="L173" s="4">
        <v>10752</v>
      </c>
    </row>
    <row r="174" spans="3:12" x14ac:dyDescent="0.25">
      <c r="C174" s="1" t="s">
        <v>1</v>
      </c>
      <c r="D174" s="1">
        <v>3.7987824909979078</v>
      </c>
      <c r="E174" s="1">
        <v>5.1738649294561121</v>
      </c>
      <c r="F174" s="1">
        <v>959.99251114515585</v>
      </c>
      <c r="G174" s="1">
        <v>146.83723977149592</v>
      </c>
      <c r="H174" s="1">
        <v>26.71912931796215</v>
      </c>
      <c r="I174" s="1">
        <v>96.278776732452684</v>
      </c>
      <c r="J174" s="1">
        <v>495.41915066698533</v>
      </c>
      <c r="K174" s="1"/>
      <c r="L174" s="1"/>
    </row>
    <row r="175" spans="3:12" x14ac:dyDescent="0.25">
      <c r="C175" s="1" t="s">
        <v>2</v>
      </c>
      <c r="D175" s="1">
        <v>0.77081041232136926</v>
      </c>
      <c r="E175" s="1">
        <v>1.3447362856321425</v>
      </c>
      <c r="F175" s="1">
        <v>1.4473373696678742</v>
      </c>
      <c r="G175" s="1">
        <v>2.2182248826925712</v>
      </c>
      <c r="H175" s="1">
        <v>16.837502989807486</v>
      </c>
      <c r="I175" s="1">
        <v>5.9068433599167092</v>
      </c>
      <c r="J175" s="1">
        <v>29.785562500724687</v>
      </c>
      <c r="K175" s="1"/>
      <c r="L175" s="1"/>
    </row>
    <row r="176" spans="3:12" x14ac:dyDescent="0.25">
      <c r="C176" s="1" t="s">
        <v>4</v>
      </c>
      <c r="D176" s="1">
        <v>0.44675414618610604</v>
      </c>
      <c r="E176" s="1">
        <v>1.0271882097277807</v>
      </c>
      <c r="F176" s="1">
        <v>1.4033079013569627</v>
      </c>
      <c r="G176" s="1">
        <v>8.8234347484734226</v>
      </c>
      <c r="H176" s="6">
        <v>2.0758534576397483</v>
      </c>
      <c r="I176" s="1">
        <v>5.1908621942301867</v>
      </c>
      <c r="J176" s="1">
        <v>17.040422522049866</v>
      </c>
      <c r="K176" s="1"/>
      <c r="L176" s="1"/>
    </row>
    <row r="177" spans="3:12" x14ac:dyDescent="0.25">
      <c r="C177" s="1" t="s">
        <v>5</v>
      </c>
      <c r="D177" s="1">
        <v>0.4729270694010872</v>
      </c>
      <c r="E177" s="1">
        <v>1.4833556260463345</v>
      </c>
      <c r="F177" s="1">
        <v>1.6521490807634518</v>
      </c>
      <c r="G177" s="1">
        <v>2.1274261892407709</v>
      </c>
      <c r="H177" s="1">
        <v>2.5898238964130376</v>
      </c>
      <c r="I177" s="1">
        <v>5.8710991882937913</v>
      </c>
      <c r="J177" s="1">
        <v>6.1118913599271645</v>
      </c>
      <c r="K177" s="1"/>
      <c r="L177" s="1"/>
    </row>
    <row r="178" spans="3:12" x14ac:dyDescent="0.25">
      <c r="C178" s="1" t="s">
        <v>6</v>
      </c>
      <c r="D178" s="1"/>
      <c r="E178" s="1">
        <v>1.3828142383174391</v>
      </c>
      <c r="F178" s="1">
        <v>1.5924155549303078</v>
      </c>
      <c r="G178" s="1">
        <v>1.7847350379837128</v>
      </c>
      <c r="H178" s="1">
        <v>7.4410141177351639</v>
      </c>
      <c r="I178" s="1">
        <v>5.7933260386869287</v>
      </c>
      <c r="J178" s="1">
        <v>6.5921942568707879</v>
      </c>
      <c r="K178" s="1"/>
      <c r="L178" s="1"/>
    </row>
    <row r="179" spans="3:12" x14ac:dyDescent="0.25">
      <c r="C179" s="1" t="s">
        <v>7</v>
      </c>
      <c r="D179" s="1"/>
      <c r="E179" s="1">
        <v>1.7442462369842304</v>
      </c>
      <c r="F179" s="1">
        <v>1.7421583889597185</v>
      </c>
      <c r="G179" s="1">
        <v>2.335642715910391</v>
      </c>
      <c r="H179" s="1">
        <v>3.9404573515178263</v>
      </c>
      <c r="I179" s="1">
        <v>6.1968605445480165</v>
      </c>
      <c r="J179" s="1">
        <v>7.4784964715343838</v>
      </c>
      <c r="K179" s="1"/>
      <c r="L179" s="1"/>
    </row>
    <row r="180" spans="3:12" x14ac:dyDescent="0.25">
      <c r="C180" s="1" t="s">
        <v>8</v>
      </c>
      <c r="D180" s="1">
        <v>0.49007634636971725</v>
      </c>
      <c r="E180" s="1">
        <v>1.9114134193195258</v>
      </c>
      <c r="F180" s="1">
        <v>5.1782544800942016</v>
      </c>
      <c r="G180" s="1">
        <v>3.3695676468121927</v>
      </c>
      <c r="H180" s="1">
        <v>6.3558308887233173</v>
      </c>
      <c r="I180" s="1">
        <v>12.303316929786812</v>
      </c>
      <c r="J180" s="1">
        <v>44.277389750761429</v>
      </c>
      <c r="K180" s="1"/>
      <c r="L180" s="4"/>
    </row>
    <row r="181" spans="3:12" x14ac:dyDescent="0.25">
      <c r="C181" s="1" t="s">
        <v>9</v>
      </c>
      <c r="D181" s="1">
        <v>1.7588402243751458</v>
      </c>
      <c r="E181" s="1">
        <v>3.4024773104791048</v>
      </c>
      <c r="F181" s="1">
        <v>28.713003181069105</v>
      </c>
      <c r="G181" s="1">
        <v>21.69131454090255</v>
      </c>
      <c r="H181" s="1">
        <v>55.853480687740827</v>
      </c>
      <c r="I181" s="1">
        <v>21.371670293236686</v>
      </c>
      <c r="J181" s="1">
        <v>460.43158221532661</v>
      </c>
      <c r="K181" s="1"/>
      <c r="L181" s="1"/>
    </row>
    <row r="182" spans="3:12" x14ac:dyDescent="0.25">
      <c r="C182" s="1" t="s">
        <v>10</v>
      </c>
      <c r="D182" s="1"/>
      <c r="E182" s="1">
        <v>0.82688712681610654</v>
      </c>
      <c r="F182" s="1">
        <v>1.8327383401731083</v>
      </c>
      <c r="G182" s="1">
        <v>3.4629655805884729</v>
      </c>
      <c r="H182" s="1">
        <v>9.4343541983339385</v>
      </c>
      <c r="I182" s="1">
        <v>13.975871494606057</v>
      </c>
      <c r="J182" s="1">
        <v>54.529701468358695</v>
      </c>
      <c r="K182" s="1"/>
      <c r="L182" s="1"/>
    </row>
    <row r="183" spans="3:12" x14ac:dyDescent="0.25">
      <c r="C183" s="1" t="s">
        <v>13</v>
      </c>
      <c r="D183" s="1">
        <v>2.4748889237899632</v>
      </c>
      <c r="E183" s="1">
        <v>2.2922091574722274</v>
      </c>
      <c r="F183" s="1">
        <v>2.4151761380089201</v>
      </c>
      <c r="G183" s="1">
        <v>2.6191445229521175</v>
      </c>
      <c r="H183" s="1">
        <v>5.4892587457249693</v>
      </c>
      <c r="I183" s="1">
        <v>58.540637515062855</v>
      </c>
      <c r="J183" s="1" t="e">
        <v>#DIV/0!</v>
      </c>
      <c r="K183" s="1"/>
      <c r="L183" s="1"/>
    </row>
    <row r="184" spans="3:12" x14ac:dyDescent="0.25">
      <c r="C184" s="1" t="s">
        <v>14</v>
      </c>
      <c r="D184" s="1">
        <v>0.57386492176766257</v>
      </c>
      <c r="E184" s="1">
        <v>0.95491821992227088</v>
      </c>
      <c r="F184" s="1">
        <v>1.5551576848815296</v>
      </c>
      <c r="G184" s="1">
        <v>4.1717924297764908</v>
      </c>
      <c r="H184" s="1">
        <v>5.1003269011603072</v>
      </c>
      <c r="I184" s="1">
        <v>13.18488301430817</v>
      </c>
      <c r="J184" s="1" t="e">
        <v>#DIV/0!</v>
      </c>
      <c r="K184" s="1"/>
      <c r="L184" s="1"/>
    </row>
    <row r="185" spans="3:12" x14ac:dyDescent="0.25">
      <c r="C185" s="1" t="s">
        <v>13</v>
      </c>
      <c r="D185" s="1">
        <v>5.2215777032667816</v>
      </c>
      <c r="E185" s="1">
        <v>4.0314506146070341</v>
      </c>
      <c r="F185" s="1">
        <v>3.177660323334965</v>
      </c>
      <c r="G185" s="1">
        <v>13.192719950363218</v>
      </c>
      <c r="H185" s="1" t="e">
        <v>#DIV/0!</v>
      </c>
      <c r="I185" s="1" t="e">
        <v>#DIV/0!</v>
      </c>
      <c r="J185" s="1" t="e">
        <v>#DIV/0!</v>
      </c>
      <c r="K185" s="1"/>
      <c r="L185" s="1"/>
    </row>
    <row r="186" spans="3:12" x14ac:dyDescent="0.25">
      <c r="C186" s="1" t="s">
        <v>14</v>
      </c>
      <c r="D186" s="1">
        <v>0.73386621827444043</v>
      </c>
      <c r="E186" s="1">
        <v>0.93749915588487431</v>
      </c>
      <c r="F186" s="1">
        <v>1.6415003075151946</v>
      </c>
      <c r="G186" s="1">
        <v>3.1959210320208604</v>
      </c>
      <c r="H186" s="1" t="e">
        <v>#DIV/0!</v>
      </c>
      <c r="I186" s="1" t="e">
        <v>#DIV/0!</v>
      </c>
      <c r="J186" s="1" t="e">
        <v>#DIV/0!</v>
      </c>
      <c r="K186" s="1"/>
      <c r="L186" s="1"/>
    </row>
    <row r="187" spans="3:12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3:12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3:12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3:12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3:12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3:12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</row>
  </sheetData>
  <conditionalFormatting sqref="D62:D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E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:F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:G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:H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:I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zoomScale="85" zoomScaleNormal="85" workbookViewId="0">
      <pane xSplit="3" ySplit="2" topLeftCell="D47" activePane="bottomRight" state="frozen"/>
      <selection pane="topRight" activeCell="D1" sqref="D1"/>
      <selection pane="bottomLeft" activeCell="A3" sqref="A3"/>
      <selection pane="bottomRight" activeCell="I1" sqref="I1:I1048576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11</v>
      </c>
    </row>
    <row r="2" spans="1:13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  <c r="M2" t="s">
        <v>12</v>
      </c>
    </row>
    <row r="3" spans="1:13" x14ac:dyDescent="0.25">
      <c r="A3">
        <v>1</v>
      </c>
      <c r="C3" s="1" t="s">
        <v>1</v>
      </c>
      <c r="D3" s="10">
        <v>6732.0454</v>
      </c>
      <c r="E3" s="10">
        <v>12795.570000000002</v>
      </c>
      <c r="F3" s="10">
        <v>24112.532000000003</v>
      </c>
      <c r="G3" s="10">
        <v>46059.343999999997</v>
      </c>
      <c r="H3" s="10">
        <v>91907.945999999982</v>
      </c>
      <c r="I3" s="10">
        <v>184408.08</v>
      </c>
      <c r="J3" s="10">
        <v>367570.34</v>
      </c>
      <c r="K3" s="10"/>
      <c r="L3" s="10"/>
    </row>
    <row r="4" spans="1:13" x14ac:dyDescent="0.25">
      <c r="C4" s="1" t="s">
        <v>25</v>
      </c>
      <c r="D4" s="10">
        <v>602.02755999999999</v>
      </c>
      <c r="E4" s="10">
        <v>916.12924000000021</v>
      </c>
      <c r="F4" s="10">
        <v>2494.2466000000004</v>
      </c>
      <c r="G4" s="10">
        <v>7974.9374000000007</v>
      </c>
      <c r="H4" s="10"/>
      <c r="I4" s="10"/>
      <c r="J4" s="10"/>
      <c r="K4" s="10"/>
      <c r="L4" s="10"/>
    </row>
    <row r="5" spans="1:13" x14ac:dyDescent="0.25">
      <c r="C5" s="1" t="s">
        <v>26</v>
      </c>
      <c r="D5" s="10">
        <v>682.94254000000001</v>
      </c>
      <c r="E5" s="10">
        <v>883.29402000000016</v>
      </c>
      <c r="F5" s="10">
        <v>1272.4981999999995</v>
      </c>
      <c r="G5" s="10">
        <v>2115.9987999999994</v>
      </c>
      <c r="H5" s="11">
        <v>4199.7956000000013</v>
      </c>
      <c r="I5" s="10">
        <v>8039.922599999999</v>
      </c>
      <c r="J5" s="10">
        <v>15961.626000000007</v>
      </c>
      <c r="K5" s="10"/>
      <c r="L5" s="10"/>
    </row>
    <row r="6" spans="1:13" x14ac:dyDescent="0.25">
      <c r="C6" s="1" t="s">
        <v>27</v>
      </c>
      <c r="D6" s="10">
        <v>701.23329999999999</v>
      </c>
      <c r="E6" s="10">
        <v>891.24810000000002</v>
      </c>
      <c r="F6" s="10">
        <v>1267.7213999999999</v>
      </c>
      <c r="G6" s="10">
        <v>2061.9694</v>
      </c>
      <c r="H6" s="10">
        <v>3765.8012000000003</v>
      </c>
      <c r="I6" s="10">
        <v>7191.5302000000029</v>
      </c>
      <c r="J6" s="10">
        <v>13626.968000000003</v>
      </c>
      <c r="K6" s="10"/>
      <c r="L6" s="10"/>
    </row>
    <row r="7" spans="1:13" x14ac:dyDescent="0.25">
      <c r="C7" s="1" t="s">
        <v>28</v>
      </c>
      <c r="D7" s="10">
        <v>616.45874000000015</v>
      </c>
      <c r="E7" s="10">
        <v>926.26502000000005</v>
      </c>
      <c r="F7" s="10">
        <v>2512.3227999999999</v>
      </c>
      <c r="G7" s="10">
        <v>7989.6568000000025</v>
      </c>
      <c r="H7" s="10"/>
      <c r="I7" s="10"/>
      <c r="J7" s="10"/>
      <c r="K7" s="10"/>
      <c r="L7" s="10"/>
    </row>
    <row r="8" spans="1:13" x14ac:dyDescent="0.25">
      <c r="C8" s="1" t="s">
        <v>29</v>
      </c>
      <c r="D8" s="10">
        <v>702.30982000000006</v>
      </c>
      <c r="E8" s="10">
        <v>884.50074000000018</v>
      </c>
      <c r="F8" s="10">
        <v>1275.471</v>
      </c>
      <c r="G8" s="10">
        <v>2112.4066000000003</v>
      </c>
      <c r="H8" s="10">
        <v>4260.4547999999995</v>
      </c>
      <c r="I8" s="10">
        <v>8042.1618000000008</v>
      </c>
      <c r="J8" s="10">
        <v>15982.660000000002</v>
      </c>
      <c r="K8" s="10"/>
      <c r="L8" s="10"/>
    </row>
    <row r="9" spans="1:13" x14ac:dyDescent="0.25">
      <c r="C9" s="1" t="s">
        <v>30</v>
      </c>
      <c r="D9" s="10">
        <v>678.05697999999984</v>
      </c>
      <c r="E9" s="10">
        <v>889.98907999999972</v>
      </c>
      <c r="F9" s="10">
        <v>1277.9308000000003</v>
      </c>
      <c r="G9" s="10">
        <v>2061.6282000000001</v>
      </c>
      <c r="H9" s="10">
        <v>3775.5272000000009</v>
      </c>
      <c r="I9" s="10">
        <v>7188.3613999999998</v>
      </c>
      <c r="J9" s="10">
        <v>13638.665999999999</v>
      </c>
      <c r="K9" s="10"/>
      <c r="L9" s="9"/>
    </row>
    <row r="10" spans="1:13" x14ac:dyDescent="0.25">
      <c r="C10" s="1" t="s">
        <v>31</v>
      </c>
      <c r="D10" s="10">
        <v>1741.6023999999995</v>
      </c>
      <c r="E10" s="10">
        <v>2556.7883999999995</v>
      </c>
      <c r="F10" s="10">
        <v>13890.750600000001</v>
      </c>
      <c r="G10" s="10">
        <v>14775.812000000002</v>
      </c>
      <c r="H10" s="10"/>
      <c r="I10" s="10"/>
      <c r="J10" s="10"/>
      <c r="K10" s="10"/>
      <c r="L10" s="10"/>
    </row>
    <row r="11" spans="1:13" x14ac:dyDescent="0.25">
      <c r="C11" s="1" t="s">
        <v>32</v>
      </c>
      <c r="D11" s="10">
        <v>19848.524000000005</v>
      </c>
      <c r="E11" s="10">
        <v>39737.915999999997</v>
      </c>
      <c r="F11" s="10">
        <v>80165.326000000015</v>
      </c>
      <c r="G11" s="10">
        <v>161035.51999999999</v>
      </c>
      <c r="H11" s="10">
        <v>324793.52</v>
      </c>
      <c r="I11" s="10">
        <v>646981.78</v>
      </c>
      <c r="J11" s="10">
        <v>1288508.3999999999</v>
      </c>
      <c r="K11" s="10"/>
      <c r="L11" s="10"/>
    </row>
    <row r="12" spans="1:13" x14ac:dyDescent="0.25">
      <c r="C12" s="1" t="s">
        <v>33</v>
      </c>
      <c r="D12" s="10">
        <v>1052.6186</v>
      </c>
      <c r="E12" s="10">
        <v>2068.7274000000007</v>
      </c>
      <c r="F12" s="10">
        <v>4224.1412</v>
      </c>
      <c r="G12" s="10">
        <v>8412.2148000000016</v>
      </c>
      <c r="H12" s="10">
        <v>17360.922000000002</v>
      </c>
      <c r="I12" s="10">
        <v>34022.140000000007</v>
      </c>
      <c r="J12" s="10">
        <v>91296.23000000004</v>
      </c>
      <c r="K12" s="10"/>
      <c r="L12" s="10"/>
    </row>
    <row r="13" spans="1:13" x14ac:dyDescent="0.25">
      <c r="C13" s="1" t="s">
        <v>34</v>
      </c>
      <c r="D13" s="10">
        <v>597.66330000000028</v>
      </c>
      <c r="E13" s="10">
        <v>905.70018000000016</v>
      </c>
      <c r="F13" s="10">
        <v>2478.1705999999995</v>
      </c>
      <c r="G13" s="10">
        <v>7898.8652000000002</v>
      </c>
      <c r="H13" s="10"/>
      <c r="I13" s="10"/>
      <c r="J13" s="10"/>
      <c r="K13" s="10"/>
      <c r="L13" s="10"/>
    </row>
    <row r="14" spans="1:13" x14ac:dyDescent="0.25">
      <c r="C14" s="1" t="s">
        <v>35</v>
      </c>
      <c r="D14" s="10">
        <v>676.94801999999993</v>
      </c>
      <c r="E14" s="10">
        <v>871.44981999999993</v>
      </c>
      <c r="F14" s="10">
        <v>1263.1996000000006</v>
      </c>
      <c r="G14" s="10">
        <v>2061.6228000000001</v>
      </c>
      <c r="H14" s="10">
        <v>4230.7204000000002</v>
      </c>
      <c r="I14" s="10">
        <v>7728.6802000000016</v>
      </c>
      <c r="J14" s="10"/>
      <c r="K14" s="10"/>
      <c r="L14" s="10"/>
    </row>
    <row r="15" spans="1:13" x14ac:dyDescent="0.25">
      <c r="C15" s="1" t="s">
        <v>36</v>
      </c>
      <c r="D15" s="10">
        <v>683.76670000000001</v>
      </c>
      <c r="E15" s="10">
        <v>879.88921999999957</v>
      </c>
      <c r="F15" s="10">
        <v>1247.2268000000001</v>
      </c>
      <c r="G15" s="10">
        <v>2046.3763999999996</v>
      </c>
      <c r="H15" s="10">
        <v>3799.7439999999979</v>
      </c>
      <c r="I15" s="10">
        <v>6779.9826000000012</v>
      </c>
      <c r="J15" s="10"/>
      <c r="K15" s="10"/>
      <c r="L15" s="10"/>
    </row>
    <row r="16" spans="1:13" x14ac:dyDescent="0.25">
      <c r="C16" s="1" t="s">
        <v>38</v>
      </c>
      <c r="D16" s="10">
        <v>607.84375999999986</v>
      </c>
      <c r="E16" s="10">
        <v>914.01154000000008</v>
      </c>
      <c r="F16" s="10">
        <v>2485.1992000000014</v>
      </c>
      <c r="G16" s="10">
        <v>7915.2970000000005</v>
      </c>
      <c r="H16" s="10"/>
      <c r="I16" s="10"/>
      <c r="J16" s="10"/>
      <c r="K16" s="10"/>
      <c r="L16" s="10"/>
    </row>
    <row r="17" spans="3:12" x14ac:dyDescent="0.25">
      <c r="C17" s="1" t="s">
        <v>39</v>
      </c>
      <c r="D17" s="10">
        <v>685.26215999999999</v>
      </c>
      <c r="E17" s="10">
        <v>869.14463999999975</v>
      </c>
      <c r="F17" s="10">
        <v>1256.723</v>
      </c>
      <c r="G17" s="10">
        <v>2064.6823999999997</v>
      </c>
      <c r="H17" s="10">
        <v>4139.9785999999995</v>
      </c>
      <c r="I17" s="10">
        <v>7798.3312000000014</v>
      </c>
      <c r="J17" s="10"/>
      <c r="K17" s="10"/>
      <c r="L17" s="10"/>
    </row>
    <row r="18" spans="3:12" x14ac:dyDescent="0.25">
      <c r="C18" s="1" t="s">
        <v>40</v>
      </c>
      <c r="D18" s="10">
        <v>691.47868000000017</v>
      </c>
      <c r="E18" s="10">
        <v>870.64390000000014</v>
      </c>
      <c r="F18" s="10">
        <v>1260.9803999999997</v>
      </c>
      <c r="G18" s="10">
        <v>2020.7416000000001</v>
      </c>
      <c r="H18" s="10">
        <v>3658.6106000000004</v>
      </c>
      <c r="I18" s="10">
        <v>6777.2741999999989</v>
      </c>
      <c r="J18" s="10"/>
      <c r="K18" s="10"/>
      <c r="L18" s="10"/>
    </row>
    <row r="19" spans="3:12" x14ac:dyDescent="0.25">
      <c r="C19" s="1" t="s">
        <v>41</v>
      </c>
      <c r="D19" s="10">
        <v>695.85011999999972</v>
      </c>
      <c r="E19" s="10">
        <v>888.48990000000038</v>
      </c>
      <c r="F19" s="10">
        <v>1268.7298000000001</v>
      </c>
      <c r="G19" s="10">
        <v>2021.9382000000005</v>
      </c>
      <c r="H19" s="10">
        <v>3664.5096000000008</v>
      </c>
      <c r="I19" s="10">
        <v>6818.3273999999983</v>
      </c>
      <c r="J19" s="10">
        <v>13123.250000000002</v>
      </c>
      <c r="K19" s="10"/>
      <c r="L19" s="10"/>
    </row>
    <row r="20" spans="3:12" x14ac:dyDescent="0.25">
      <c r="C20" s="1" t="s">
        <v>43</v>
      </c>
      <c r="D20" s="10">
        <v>690.54556000000014</v>
      </c>
      <c r="E20" s="10">
        <v>873.05579999999986</v>
      </c>
      <c r="F20" s="10">
        <v>1256.7892000000002</v>
      </c>
      <c r="G20" s="10">
        <v>2023.7960000000007</v>
      </c>
      <c r="H20" s="10">
        <v>3666.4727999999991</v>
      </c>
      <c r="I20" s="10">
        <v>6814.1783999999998</v>
      </c>
      <c r="J20" s="10">
        <v>13132.234000000006</v>
      </c>
      <c r="K20" s="10"/>
      <c r="L20" s="10"/>
    </row>
    <row r="21" spans="3:12" x14ac:dyDescent="0.25">
      <c r="C21" s="1" t="s">
        <v>44</v>
      </c>
      <c r="D21" s="10">
        <v>320.60223999999999</v>
      </c>
      <c r="E21" s="10">
        <v>573.33996000000013</v>
      </c>
      <c r="F21" s="10">
        <v>1089.6977999999997</v>
      </c>
      <c r="G21" s="10">
        <v>2122.6612000000005</v>
      </c>
      <c r="H21" s="10">
        <v>4315.1707999999999</v>
      </c>
      <c r="I21" s="10">
        <v>8536.6304000000018</v>
      </c>
      <c r="J21" s="10">
        <v>16876.297999999999</v>
      </c>
      <c r="K21" s="10"/>
      <c r="L21" s="10"/>
    </row>
    <row r="22" spans="3:12" x14ac:dyDescent="0.25">
      <c r="C22" s="1" t="s">
        <v>37</v>
      </c>
      <c r="D22" s="10">
        <v>300.95565999999997</v>
      </c>
      <c r="E22" s="10">
        <v>525.43118000000004</v>
      </c>
      <c r="F22" s="10">
        <v>971.50001999999984</v>
      </c>
      <c r="G22" s="10">
        <v>2146.0228000000006</v>
      </c>
      <c r="H22" s="10">
        <v>4249.0002000000004</v>
      </c>
      <c r="I22" s="10">
        <v>7883.4109999999982</v>
      </c>
      <c r="J22" s="10"/>
      <c r="K22" s="10"/>
      <c r="L22" s="10"/>
    </row>
    <row r="23" spans="3:12" x14ac:dyDescent="0.25">
      <c r="C23" s="1" t="s">
        <v>42</v>
      </c>
      <c r="D23" s="10">
        <v>315.73246</v>
      </c>
      <c r="E23" s="10">
        <v>531.62171999999987</v>
      </c>
      <c r="F23" s="10">
        <v>1011.1601799999999</v>
      </c>
      <c r="G23" s="10">
        <v>1970.9377999999997</v>
      </c>
      <c r="H23" s="10">
        <v>4014.7164000000002</v>
      </c>
      <c r="I23" s="10">
        <v>7941.4599999999991</v>
      </c>
      <c r="J23" s="10">
        <v>15797.563999999998</v>
      </c>
      <c r="K23" s="10"/>
      <c r="L23" s="10"/>
    </row>
    <row r="24" spans="3:12" x14ac:dyDescent="0.25">
      <c r="C24" s="1" t="s">
        <v>45</v>
      </c>
      <c r="D24" s="10" t="e">
        <v>#DIV/0!</v>
      </c>
      <c r="E24" s="10">
        <v>573.73595999999998</v>
      </c>
      <c r="F24" s="10">
        <v>1002.7777400000003</v>
      </c>
      <c r="G24" s="10">
        <v>1954.2058000000004</v>
      </c>
      <c r="H24" s="10">
        <v>3930.8109999999997</v>
      </c>
      <c r="I24" s="10">
        <v>7862.3825999999999</v>
      </c>
      <c r="J24" s="10">
        <v>15532.907999999996</v>
      </c>
      <c r="K24" s="10"/>
      <c r="L24" s="10"/>
    </row>
    <row r="25" spans="3:12" x14ac:dyDescent="0.25">
      <c r="C25" s="1" t="s">
        <v>9</v>
      </c>
      <c r="D25" s="10">
        <v>1001.4924800000001</v>
      </c>
      <c r="E25" s="10">
        <v>1662.8521999999998</v>
      </c>
      <c r="F25" s="10">
        <v>3342.1845999999996</v>
      </c>
      <c r="G25" s="10">
        <v>6069.613400000002</v>
      </c>
      <c r="H25" s="10">
        <v>11814.460000000006</v>
      </c>
      <c r="I25" s="10">
        <v>21886.495999999999</v>
      </c>
      <c r="J25" s="10">
        <v>36632.952000000005</v>
      </c>
      <c r="K25" s="10"/>
      <c r="L25" s="10"/>
    </row>
    <row r="26" spans="3:12" x14ac:dyDescent="0.25">
      <c r="C26" s="1" t="s">
        <v>13</v>
      </c>
      <c r="D26" s="10">
        <v>573.63522</v>
      </c>
      <c r="E26" s="10">
        <v>1033.2558000000004</v>
      </c>
      <c r="F26" s="10">
        <v>1921.5246000000002</v>
      </c>
      <c r="G26" s="10">
        <v>3649.9785999999999</v>
      </c>
      <c r="H26" s="10">
        <v>7160.9678000000013</v>
      </c>
      <c r="I26" s="10">
        <v>14267.314000000002</v>
      </c>
      <c r="J26" s="10">
        <v>27570.591999999997</v>
      </c>
      <c r="K26" s="10"/>
      <c r="L26" s="10"/>
    </row>
    <row r="27" spans="3:12" x14ac:dyDescent="0.25">
      <c r="C27" s="1" t="s">
        <v>14</v>
      </c>
      <c r="D27" s="10">
        <v>312.60660000000001</v>
      </c>
      <c r="E27" s="10">
        <v>548.42255999999975</v>
      </c>
      <c r="F27" s="10">
        <v>1018.17294</v>
      </c>
      <c r="G27" s="10">
        <v>2016.2661999999996</v>
      </c>
      <c r="H27" s="10">
        <v>4164.2593999999999</v>
      </c>
      <c r="I27" s="10">
        <v>8335.7697999999982</v>
      </c>
      <c r="J27" s="10">
        <v>16520.026000000002</v>
      </c>
      <c r="K27" s="10"/>
      <c r="L27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160.28679523809524</v>
      </c>
      <c r="E32" s="5">
        <f t="shared" ref="E32:L32" si="0">E3/E$2</f>
        <v>152.3282142857143</v>
      </c>
      <c r="F32" s="5">
        <f t="shared" si="0"/>
        <v>143.5269761904762</v>
      </c>
      <c r="G32" s="5">
        <f t="shared" si="0"/>
        <v>137.08138095238095</v>
      </c>
      <c r="H32" s="5">
        <f t="shared" si="0"/>
        <v>136.76777678571426</v>
      </c>
      <c r="I32" s="5">
        <f t="shared" si="0"/>
        <v>137.20839285714285</v>
      </c>
      <c r="J32" s="5">
        <f t="shared" si="0"/>
        <v>136.7449181547619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25</v>
      </c>
      <c r="D33" s="5">
        <f t="shared" ref="D33:L33" si="1">D4/D$2</f>
        <v>14.333989523809525</v>
      </c>
      <c r="E33" s="5">
        <f t="shared" si="1"/>
        <v>10.906300476190479</v>
      </c>
      <c r="F33" s="5">
        <f t="shared" si="1"/>
        <v>14.846705952380955</v>
      </c>
      <c r="G33" s="5">
        <f t="shared" si="1"/>
        <v>23.734932738095239</v>
      </c>
      <c r="H33" s="5">
        <f t="shared" si="1"/>
        <v>0</v>
      </c>
      <c r="I33" s="5">
        <f t="shared" si="1"/>
        <v>0</v>
      </c>
      <c r="J33" s="5">
        <f t="shared" si="1"/>
        <v>0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26</v>
      </c>
      <c r="D34" s="5">
        <f t="shared" ref="D34:L34" si="2">D5/D$2</f>
        <v>16.260536666666667</v>
      </c>
      <c r="E34" s="5">
        <f t="shared" si="2"/>
        <v>10.515405000000001</v>
      </c>
      <c r="F34" s="5">
        <f t="shared" si="2"/>
        <v>7.5743940476190446</v>
      </c>
      <c r="G34" s="5">
        <f t="shared" si="2"/>
        <v>6.2976154761904741</v>
      </c>
      <c r="H34" s="5">
        <f t="shared" si="2"/>
        <v>6.2496958333333357</v>
      </c>
      <c r="I34" s="5">
        <f t="shared" si="2"/>
        <v>5.9820852678571423</v>
      </c>
      <c r="J34" s="5">
        <f t="shared" si="2"/>
        <v>5.9381049107142889</v>
      </c>
      <c r="K34" s="5">
        <f t="shared" si="2"/>
        <v>0</v>
      </c>
      <c r="L34" s="5">
        <f t="shared" si="2"/>
        <v>0</v>
      </c>
    </row>
    <row r="35" spans="3:12" x14ac:dyDescent="0.25">
      <c r="C35" s="1" t="s">
        <v>27</v>
      </c>
      <c r="D35" s="5">
        <f t="shared" ref="D35:L35" si="3">D6/D$2</f>
        <v>16.696030952380951</v>
      </c>
      <c r="E35" s="5">
        <f t="shared" si="3"/>
        <v>10.610096428571429</v>
      </c>
      <c r="F35" s="5">
        <f t="shared" si="3"/>
        <v>7.5459607142857141</v>
      </c>
      <c r="G35" s="5">
        <f t="shared" si="3"/>
        <v>6.1368136904761901</v>
      </c>
      <c r="H35" s="5">
        <f t="shared" si="3"/>
        <v>5.6038708333333336</v>
      </c>
      <c r="I35" s="5">
        <f t="shared" si="3"/>
        <v>5.3508409226190494</v>
      </c>
      <c r="J35" s="5">
        <f t="shared" si="3"/>
        <v>5.0695565476190483</v>
      </c>
      <c r="K35" s="5">
        <f t="shared" si="3"/>
        <v>0</v>
      </c>
      <c r="L35" s="5">
        <f t="shared" si="3"/>
        <v>0</v>
      </c>
    </row>
    <row r="36" spans="3:12" x14ac:dyDescent="0.25">
      <c r="C36" s="1" t="s">
        <v>28</v>
      </c>
      <c r="D36" s="5">
        <f t="shared" ref="D36:L36" si="4">D7/D$2</f>
        <v>14.677589047619051</v>
      </c>
      <c r="E36" s="5">
        <f t="shared" si="4"/>
        <v>11.026964523809525</v>
      </c>
      <c r="F36" s="5">
        <f t="shared" si="4"/>
        <v>14.954302380952381</v>
      </c>
      <c r="G36" s="5">
        <f t="shared" si="4"/>
        <v>23.778740476190485</v>
      </c>
      <c r="H36" s="5">
        <f t="shared" si="4"/>
        <v>0</v>
      </c>
      <c r="I36" s="5">
        <f t="shared" si="4"/>
        <v>0</v>
      </c>
      <c r="J36" s="5">
        <f t="shared" si="4"/>
        <v>0</v>
      </c>
      <c r="K36" s="5">
        <f t="shared" si="4"/>
        <v>0</v>
      </c>
      <c r="L36" s="5">
        <f t="shared" si="4"/>
        <v>0</v>
      </c>
    </row>
    <row r="37" spans="3:12" x14ac:dyDescent="0.25">
      <c r="C37" s="1" t="s">
        <v>29</v>
      </c>
      <c r="D37" s="5">
        <f t="shared" ref="D37:L37" si="5">D8/D$2</f>
        <v>16.721662380952381</v>
      </c>
      <c r="E37" s="5">
        <f t="shared" si="5"/>
        <v>10.529770714285716</v>
      </c>
      <c r="F37" s="5">
        <f t="shared" si="5"/>
        <v>7.5920892857142857</v>
      </c>
      <c r="G37" s="5">
        <f t="shared" si="5"/>
        <v>6.2869244047619057</v>
      </c>
      <c r="H37" s="5">
        <f t="shared" si="5"/>
        <v>6.3399624999999995</v>
      </c>
      <c r="I37" s="5">
        <f t="shared" si="5"/>
        <v>5.9837513392857149</v>
      </c>
      <c r="J37" s="5">
        <f t="shared" si="5"/>
        <v>5.9459300595238105</v>
      </c>
      <c r="K37" s="5">
        <f t="shared" si="5"/>
        <v>0</v>
      </c>
      <c r="L37" s="5">
        <f t="shared" si="5"/>
        <v>0</v>
      </c>
    </row>
    <row r="38" spans="3:12" x14ac:dyDescent="0.25">
      <c r="C38" s="1" t="s">
        <v>30</v>
      </c>
      <c r="D38" s="5">
        <f t="shared" ref="D38:L38" si="6">D9/D$2</f>
        <v>16.144213809523805</v>
      </c>
      <c r="E38" s="5">
        <f t="shared" si="6"/>
        <v>10.595108095238093</v>
      </c>
      <c r="F38" s="5">
        <f t="shared" si="6"/>
        <v>7.6067309523809543</v>
      </c>
      <c r="G38" s="5">
        <f t="shared" si="6"/>
        <v>6.1357982142857148</v>
      </c>
      <c r="H38" s="5">
        <f t="shared" si="6"/>
        <v>5.6183440476190487</v>
      </c>
      <c r="I38" s="5">
        <f t="shared" si="6"/>
        <v>5.3484831845238094</v>
      </c>
      <c r="J38" s="5">
        <f t="shared" si="6"/>
        <v>5.0739084821428566</v>
      </c>
      <c r="K38" s="5">
        <f t="shared" si="6"/>
        <v>0</v>
      </c>
      <c r="L38" s="5">
        <f t="shared" si="6"/>
        <v>0</v>
      </c>
    </row>
    <row r="39" spans="3:12" x14ac:dyDescent="0.25">
      <c r="C39" s="1" t="s">
        <v>31</v>
      </c>
      <c r="D39" s="5">
        <f t="shared" ref="D39:L39" si="7">D10/D$2</f>
        <v>41.466723809523799</v>
      </c>
      <c r="E39" s="5">
        <f t="shared" si="7"/>
        <v>30.437957142857137</v>
      </c>
      <c r="F39" s="5">
        <f t="shared" si="7"/>
        <v>82.683039285714287</v>
      </c>
      <c r="G39" s="5">
        <f t="shared" si="7"/>
        <v>43.975630952380961</v>
      </c>
      <c r="H39" s="5">
        <f t="shared" si="7"/>
        <v>0</v>
      </c>
      <c r="I39" s="5">
        <f t="shared" si="7"/>
        <v>0</v>
      </c>
      <c r="J39" s="5">
        <f t="shared" si="7"/>
        <v>0</v>
      </c>
      <c r="K39" s="5">
        <f t="shared" si="7"/>
        <v>0</v>
      </c>
      <c r="L39" s="5">
        <f t="shared" si="7"/>
        <v>0</v>
      </c>
    </row>
    <row r="40" spans="3:12" x14ac:dyDescent="0.25">
      <c r="C40" s="1" t="s">
        <v>32</v>
      </c>
      <c r="D40" s="5">
        <f t="shared" ref="D40:L40" si="8">D11/D$2</f>
        <v>472.58390476190488</v>
      </c>
      <c r="E40" s="5">
        <f t="shared" si="8"/>
        <v>473.07042857142852</v>
      </c>
      <c r="F40" s="5">
        <f t="shared" si="8"/>
        <v>477.17455952380959</v>
      </c>
      <c r="G40" s="5">
        <f t="shared" si="8"/>
        <v>479.2723809523809</v>
      </c>
      <c r="H40" s="5">
        <f t="shared" si="8"/>
        <v>483.32369047619051</v>
      </c>
      <c r="I40" s="5">
        <f t="shared" si="8"/>
        <v>481.38525297619049</v>
      </c>
      <c r="J40" s="5">
        <f t="shared" si="8"/>
        <v>479.35580357142851</v>
      </c>
      <c r="K40" s="5">
        <f t="shared" si="8"/>
        <v>0</v>
      </c>
      <c r="L40" s="5">
        <f t="shared" si="8"/>
        <v>0</v>
      </c>
    </row>
    <row r="41" spans="3:12" x14ac:dyDescent="0.25">
      <c r="C41" s="1" t="s">
        <v>33</v>
      </c>
      <c r="D41" s="5">
        <f t="shared" ref="D41:L41" si="9">D12/D$2</f>
        <v>25.062347619047621</v>
      </c>
      <c r="E41" s="5">
        <f t="shared" si="9"/>
        <v>24.627707142857151</v>
      </c>
      <c r="F41" s="5">
        <f t="shared" si="9"/>
        <v>25.143697619047618</v>
      </c>
      <c r="G41" s="5">
        <f t="shared" si="9"/>
        <v>25.036353571428577</v>
      </c>
      <c r="H41" s="5">
        <f t="shared" si="9"/>
        <v>25.834705357142859</v>
      </c>
      <c r="I41" s="5">
        <f t="shared" si="9"/>
        <v>25.314092261904769</v>
      </c>
      <c r="J41" s="5">
        <f t="shared" si="9"/>
        <v>33.96437127976192</v>
      </c>
      <c r="K41" s="5">
        <f t="shared" si="9"/>
        <v>0</v>
      </c>
      <c r="L41" s="5">
        <f t="shared" si="9"/>
        <v>0</v>
      </c>
    </row>
    <row r="42" spans="3:12" x14ac:dyDescent="0.25">
      <c r="C42" s="1" t="s">
        <v>34</v>
      </c>
      <c r="D42" s="5">
        <f t="shared" ref="D42:L42" si="10">D13/D$2</f>
        <v>14.230078571428578</v>
      </c>
      <c r="E42" s="5">
        <f t="shared" si="10"/>
        <v>10.782145000000002</v>
      </c>
      <c r="F42" s="5">
        <f t="shared" si="10"/>
        <v>14.751015476190473</v>
      </c>
      <c r="G42" s="5">
        <f t="shared" si="10"/>
        <v>23.50852738095238</v>
      </c>
      <c r="H42" s="5">
        <f t="shared" si="10"/>
        <v>0</v>
      </c>
      <c r="I42" s="5">
        <f t="shared" si="10"/>
        <v>0</v>
      </c>
      <c r="J42" s="5">
        <f t="shared" si="10"/>
        <v>0</v>
      </c>
      <c r="K42" s="5">
        <f t="shared" si="10"/>
        <v>0</v>
      </c>
      <c r="L42" s="5">
        <f t="shared" si="10"/>
        <v>0</v>
      </c>
    </row>
    <row r="43" spans="3:12" x14ac:dyDescent="0.25">
      <c r="C43" s="1" t="s">
        <v>35</v>
      </c>
      <c r="D43" s="5">
        <f t="shared" ref="D43:L43" si="11">D14/D$2</f>
        <v>16.117809999999999</v>
      </c>
      <c r="E43" s="5">
        <f t="shared" si="11"/>
        <v>10.374402619047618</v>
      </c>
      <c r="F43" s="5">
        <f t="shared" si="11"/>
        <v>7.5190452380952415</v>
      </c>
      <c r="G43" s="5">
        <f t="shared" si="11"/>
        <v>6.1357821428571429</v>
      </c>
      <c r="H43" s="5">
        <f t="shared" si="11"/>
        <v>6.2957148809523815</v>
      </c>
      <c r="I43" s="5">
        <f t="shared" si="11"/>
        <v>5.750506101190477</v>
      </c>
      <c r="J43" s="5">
        <f t="shared" si="11"/>
        <v>0</v>
      </c>
      <c r="K43" s="5">
        <f t="shared" si="11"/>
        <v>0</v>
      </c>
      <c r="L43" s="5">
        <f t="shared" si="11"/>
        <v>0</v>
      </c>
    </row>
    <row r="44" spans="3:12" x14ac:dyDescent="0.25">
      <c r="C44" s="1" t="s">
        <v>36</v>
      </c>
      <c r="D44" s="5">
        <f t="shared" ref="D44:L44" si="12">D15/D$2</f>
        <v>16.280159523809523</v>
      </c>
      <c r="E44" s="5">
        <f t="shared" si="12"/>
        <v>10.474871666666662</v>
      </c>
      <c r="F44" s="5">
        <f t="shared" si="12"/>
        <v>7.4239690476190487</v>
      </c>
      <c r="G44" s="5">
        <f t="shared" si="12"/>
        <v>6.0904059523809515</v>
      </c>
      <c r="H44" s="5">
        <f t="shared" si="12"/>
        <v>5.654380952380949</v>
      </c>
      <c r="I44" s="5">
        <f t="shared" si="12"/>
        <v>5.0446299107142867</v>
      </c>
      <c r="J44" s="5">
        <f t="shared" si="12"/>
        <v>0</v>
      </c>
      <c r="K44" s="5">
        <f t="shared" si="12"/>
        <v>0</v>
      </c>
      <c r="L44" s="5">
        <f t="shared" si="12"/>
        <v>0</v>
      </c>
    </row>
    <row r="45" spans="3:12" x14ac:dyDescent="0.25">
      <c r="C45" s="1" t="s">
        <v>38</v>
      </c>
      <c r="D45" s="5">
        <f t="shared" ref="D45:L45" si="13">D16/D$2</f>
        <v>14.472470476190473</v>
      </c>
      <c r="E45" s="5">
        <f t="shared" si="13"/>
        <v>10.881089761904763</v>
      </c>
      <c r="F45" s="5">
        <f t="shared" si="13"/>
        <v>14.79285238095239</v>
      </c>
      <c r="G45" s="5">
        <f t="shared" si="13"/>
        <v>23.55743154761905</v>
      </c>
      <c r="H45" s="5">
        <f t="shared" si="13"/>
        <v>0</v>
      </c>
      <c r="I45" s="5">
        <f t="shared" si="13"/>
        <v>0</v>
      </c>
      <c r="J45" s="5">
        <f t="shared" si="13"/>
        <v>0</v>
      </c>
      <c r="K45" s="5">
        <f t="shared" si="13"/>
        <v>0</v>
      </c>
      <c r="L45" s="5">
        <f t="shared" si="13"/>
        <v>0</v>
      </c>
    </row>
    <row r="46" spans="3:12" x14ac:dyDescent="0.25">
      <c r="C46" s="1" t="s">
        <v>39</v>
      </c>
      <c r="D46" s="5">
        <f t="shared" ref="D46:L46" si="14">D17/D$2</f>
        <v>16.315765714285714</v>
      </c>
      <c r="E46" s="5">
        <f t="shared" si="14"/>
        <v>10.346959999999997</v>
      </c>
      <c r="F46" s="5">
        <f t="shared" si="14"/>
        <v>7.4804940476190476</v>
      </c>
      <c r="G46" s="5">
        <f t="shared" si="14"/>
        <v>6.1448880952380946</v>
      </c>
      <c r="H46" s="5">
        <f t="shared" si="14"/>
        <v>6.1606824404761893</v>
      </c>
      <c r="I46" s="5">
        <f t="shared" si="14"/>
        <v>5.8023297619047627</v>
      </c>
      <c r="J46" s="5">
        <f t="shared" si="14"/>
        <v>0</v>
      </c>
      <c r="K46" s="5">
        <f t="shared" si="14"/>
        <v>0</v>
      </c>
      <c r="L46" s="5">
        <f t="shared" si="14"/>
        <v>0</v>
      </c>
    </row>
    <row r="47" spans="3:12" x14ac:dyDescent="0.25">
      <c r="C47" s="1" t="s">
        <v>40</v>
      </c>
      <c r="D47" s="5">
        <f t="shared" ref="D47:L47" si="15">D18/D$2</f>
        <v>16.463778095238098</v>
      </c>
      <c r="E47" s="5">
        <f t="shared" si="15"/>
        <v>10.364808333333334</v>
      </c>
      <c r="F47" s="5">
        <f t="shared" si="15"/>
        <v>7.5058357142857126</v>
      </c>
      <c r="G47" s="5">
        <f t="shared" si="15"/>
        <v>6.0141119047619052</v>
      </c>
      <c r="H47" s="5">
        <f t="shared" si="15"/>
        <v>5.4443610119047623</v>
      </c>
      <c r="I47" s="5">
        <f t="shared" si="15"/>
        <v>5.042614732142856</v>
      </c>
      <c r="J47" s="5">
        <f t="shared" si="15"/>
        <v>0</v>
      </c>
      <c r="K47" s="5">
        <f t="shared" si="15"/>
        <v>0</v>
      </c>
      <c r="L47" s="5">
        <f t="shared" si="15"/>
        <v>0</v>
      </c>
    </row>
    <row r="48" spans="3:12" x14ac:dyDescent="0.25">
      <c r="C48" s="1" t="s">
        <v>41</v>
      </c>
      <c r="D48" s="5">
        <f t="shared" ref="D48:L48" si="16">D19/D$2</f>
        <v>16.567859999999992</v>
      </c>
      <c r="E48" s="5">
        <f t="shared" si="16"/>
        <v>10.577260714285719</v>
      </c>
      <c r="F48" s="5">
        <f t="shared" si="16"/>
        <v>7.5519630952380954</v>
      </c>
      <c r="G48" s="5">
        <f t="shared" si="16"/>
        <v>6.0176732142857157</v>
      </c>
      <c r="H48" s="5">
        <f t="shared" si="16"/>
        <v>5.4531392857142871</v>
      </c>
      <c r="I48" s="5">
        <f t="shared" si="16"/>
        <v>5.0731602678571415</v>
      </c>
      <c r="J48" s="5">
        <f t="shared" si="16"/>
        <v>4.8821614583333339</v>
      </c>
      <c r="K48" s="5">
        <f t="shared" si="16"/>
        <v>0</v>
      </c>
      <c r="L48" s="5">
        <f t="shared" si="16"/>
        <v>0</v>
      </c>
    </row>
    <row r="49" spans="3:12" x14ac:dyDescent="0.25">
      <c r="C49" s="1" t="s">
        <v>43</v>
      </c>
      <c r="D49" s="5">
        <f t="shared" ref="D49:L49" si="17">D20/D$2</f>
        <v>16.441560952380957</v>
      </c>
      <c r="E49" s="5">
        <f t="shared" si="17"/>
        <v>10.393521428571427</v>
      </c>
      <c r="F49" s="5">
        <f t="shared" si="17"/>
        <v>7.4808880952380958</v>
      </c>
      <c r="G49" s="5">
        <f t="shared" si="17"/>
        <v>6.0232023809523829</v>
      </c>
      <c r="H49" s="5">
        <f t="shared" si="17"/>
        <v>5.4560607142857132</v>
      </c>
      <c r="I49" s="5">
        <f t="shared" si="17"/>
        <v>5.0700732142857143</v>
      </c>
      <c r="J49" s="5">
        <f t="shared" si="17"/>
        <v>4.8855037202380975</v>
      </c>
      <c r="K49" s="5">
        <f t="shared" si="17"/>
        <v>0</v>
      </c>
      <c r="L49" s="5">
        <f t="shared" si="17"/>
        <v>0</v>
      </c>
    </row>
    <row r="50" spans="3:12" x14ac:dyDescent="0.25">
      <c r="C50" s="1" t="s">
        <v>44</v>
      </c>
      <c r="D50" s="5">
        <f t="shared" ref="D50:L50" si="18">D21/D$2</f>
        <v>7.6333866666666665</v>
      </c>
      <c r="E50" s="5">
        <f t="shared" si="18"/>
        <v>6.8254757142857159</v>
      </c>
      <c r="F50" s="5">
        <f t="shared" si="18"/>
        <v>6.4862964285714266</v>
      </c>
      <c r="G50" s="5">
        <f t="shared" si="18"/>
        <v>6.3174440476190492</v>
      </c>
      <c r="H50" s="5">
        <f t="shared" si="18"/>
        <v>6.4213851190476188</v>
      </c>
      <c r="I50" s="5">
        <f t="shared" si="18"/>
        <v>6.3516595238095253</v>
      </c>
      <c r="J50" s="5">
        <f t="shared" si="18"/>
        <v>6.2783846726190475</v>
      </c>
      <c r="K50" s="5">
        <f t="shared" si="18"/>
        <v>0</v>
      </c>
      <c r="L50" s="5">
        <f t="shared" si="18"/>
        <v>0</v>
      </c>
    </row>
    <row r="51" spans="3:12" x14ac:dyDescent="0.25">
      <c r="C51" s="1" t="s">
        <v>37</v>
      </c>
      <c r="D51" s="5">
        <f t="shared" ref="D51:L51" si="19">D22/D$2</f>
        <v>7.1656109523809519</v>
      </c>
      <c r="E51" s="5">
        <f t="shared" si="19"/>
        <v>6.2551330952380955</v>
      </c>
      <c r="F51" s="5">
        <f t="shared" si="19"/>
        <v>5.7827382142857129</v>
      </c>
      <c r="G51" s="5">
        <f t="shared" si="19"/>
        <v>6.3869726190476213</v>
      </c>
      <c r="H51" s="5">
        <f t="shared" si="19"/>
        <v>6.3229169642857146</v>
      </c>
      <c r="I51" s="5">
        <f t="shared" si="19"/>
        <v>5.8656331845238086</v>
      </c>
      <c r="J51" s="5">
        <f t="shared" si="19"/>
        <v>0</v>
      </c>
      <c r="K51" s="5">
        <f t="shared" si="19"/>
        <v>0</v>
      </c>
      <c r="L51" s="5">
        <f t="shared" si="19"/>
        <v>0</v>
      </c>
    </row>
    <row r="52" spans="3:12" x14ac:dyDescent="0.25">
      <c r="C52" s="1" t="s">
        <v>42</v>
      </c>
      <c r="D52" s="5">
        <f t="shared" ref="D52:L52" si="20">D23/D$2</f>
        <v>7.5174395238095242</v>
      </c>
      <c r="E52" s="5">
        <f t="shared" si="20"/>
        <v>6.3288299999999982</v>
      </c>
      <c r="F52" s="5">
        <f t="shared" si="20"/>
        <v>6.0188105952380946</v>
      </c>
      <c r="G52" s="5">
        <f t="shared" si="20"/>
        <v>5.865886309523809</v>
      </c>
      <c r="H52" s="5">
        <f t="shared" si="20"/>
        <v>5.9742803571428578</v>
      </c>
      <c r="I52" s="5">
        <f t="shared" si="20"/>
        <v>5.9088244047619041</v>
      </c>
      <c r="J52" s="5">
        <f t="shared" si="20"/>
        <v>5.8770699404761899</v>
      </c>
      <c r="K52" s="5">
        <f t="shared" si="20"/>
        <v>0</v>
      </c>
      <c r="L52" s="5">
        <f t="shared" si="20"/>
        <v>0</v>
      </c>
    </row>
    <row r="53" spans="3:12" x14ac:dyDescent="0.25">
      <c r="C53" s="1" t="s">
        <v>45</v>
      </c>
      <c r="D53" s="5" t="e">
        <f t="shared" ref="D53:L53" si="21">D24/D$2</f>
        <v>#DIV/0!</v>
      </c>
      <c r="E53" s="5">
        <f t="shared" si="21"/>
        <v>6.83019</v>
      </c>
      <c r="F53" s="5">
        <f t="shared" si="21"/>
        <v>5.9689151190476206</v>
      </c>
      <c r="G53" s="5">
        <f t="shared" si="21"/>
        <v>5.8160886904761915</v>
      </c>
      <c r="H53" s="5">
        <f t="shared" si="21"/>
        <v>5.8494211309523809</v>
      </c>
      <c r="I53" s="5">
        <f t="shared" si="21"/>
        <v>5.8499870535714287</v>
      </c>
      <c r="J53" s="5">
        <f t="shared" si="21"/>
        <v>5.7786116071428557</v>
      </c>
      <c r="K53" s="5">
        <f t="shared" si="21"/>
        <v>0</v>
      </c>
      <c r="L53" s="5">
        <f t="shared" si="21"/>
        <v>0</v>
      </c>
    </row>
    <row r="54" spans="3:12" x14ac:dyDescent="0.25">
      <c r="C54" s="1" t="s">
        <v>9</v>
      </c>
      <c r="D54" s="5">
        <f t="shared" ref="D54:L54" si="22">D25/D$2</f>
        <v>23.845059047619049</v>
      </c>
      <c r="E54" s="5">
        <f t="shared" si="22"/>
        <v>19.795859523809522</v>
      </c>
      <c r="F54" s="5">
        <f t="shared" si="22"/>
        <v>19.893955952380949</v>
      </c>
      <c r="G54" s="5">
        <f t="shared" si="22"/>
        <v>18.064325595238103</v>
      </c>
      <c r="H54" s="5">
        <f t="shared" si="22"/>
        <v>17.581041666666675</v>
      </c>
      <c r="I54" s="5">
        <f t="shared" si="22"/>
        <v>16.284595238095239</v>
      </c>
      <c r="J54" s="5">
        <f t="shared" si="22"/>
        <v>13.628330357142859</v>
      </c>
      <c r="K54" s="5">
        <f t="shared" si="22"/>
        <v>0</v>
      </c>
      <c r="L54" s="5">
        <f t="shared" si="22"/>
        <v>0</v>
      </c>
    </row>
    <row r="55" spans="3:12" x14ac:dyDescent="0.25">
      <c r="C55" s="1" t="s">
        <v>13</v>
      </c>
      <c r="D55" s="5">
        <f t="shared" ref="D55:L55" si="23">D26/D$2</f>
        <v>13.657981428571428</v>
      </c>
      <c r="E55" s="5">
        <f t="shared" si="23"/>
        <v>12.300664285714291</v>
      </c>
      <c r="F55" s="5">
        <f t="shared" si="23"/>
        <v>11.43764642857143</v>
      </c>
      <c r="G55" s="5">
        <f t="shared" si="23"/>
        <v>10.863031547619048</v>
      </c>
      <c r="H55" s="5">
        <f t="shared" si="23"/>
        <v>10.656202083333335</v>
      </c>
      <c r="I55" s="5">
        <f t="shared" si="23"/>
        <v>10.615561011904763</v>
      </c>
      <c r="J55" s="5">
        <f t="shared" si="23"/>
        <v>10.256916666666665</v>
      </c>
      <c r="K55" s="5">
        <f t="shared" si="23"/>
        <v>0</v>
      </c>
      <c r="L55" s="5">
        <f t="shared" si="23"/>
        <v>0</v>
      </c>
    </row>
    <row r="56" spans="3:12" x14ac:dyDescent="0.25">
      <c r="C56" s="1" t="s">
        <v>14</v>
      </c>
      <c r="D56" s="5">
        <f t="shared" ref="D56:L56" si="24">D27/D$2</f>
        <v>7.4430142857142858</v>
      </c>
      <c r="E56" s="5">
        <f t="shared" si="24"/>
        <v>6.5288399999999971</v>
      </c>
      <c r="F56" s="5">
        <f t="shared" si="24"/>
        <v>6.0605532142857141</v>
      </c>
      <c r="G56" s="5">
        <f t="shared" si="24"/>
        <v>6.0007922619047607</v>
      </c>
      <c r="H56" s="5">
        <f t="shared" si="24"/>
        <v>6.1968145833333335</v>
      </c>
      <c r="I56" s="5">
        <f t="shared" si="24"/>
        <v>6.2022096726190465</v>
      </c>
      <c r="J56" s="5">
        <f t="shared" si="24"/>
        <v>6.1458430059523819</v>
      </c>
      <c r="K56" s="5">
        <f t="shared" si="24"/>
        <v>0</v>
      </c>
      <c r="L56" s="5">
        <f t="shared" si="24"/>
        <v>0</v>
      </c>
    </row>
    <row r="57" spans="3:12" x14ac:dyDescent="0.25">
      <c r="C57" s="22"/>
      <c r="D57" s="23"/>
      <c r="E57" s="23"/>
      <c r="F57" s="23"/>
      <c r="G57" s="23"/>
      <c r="H57" s="23"/>
      <c r="I57" s="23"/>
      <c r="J57" s="23"/>
      <c r="K57" s="23"/>
      <c r="L57" s="23"/>
    </row>
    <row r="60" spans="3:12" x14ac:dyDescent="0.25">
      <c r="C60" s="1">
        <v>50</v>
      </c>
      <c r="D60" s="2">
        <v>2</v>
      </c>
      <c r="E60" s="3">
        <v>4</v>
      </c>
      <c r="F60" s="2">
        <v>8</v>
      </c>
      <c r="G60" s="2">
        <v>16</v>
      </c>
      <c r="H60" s="2">
        <v>32</v>
      </c>
      <c r="I60" s="2">
        <v>64</v>
      </c>
      <c r="J60" s="2">
        <v>128</v>
      </c>
      <c r="K60" s="2">
        <v>256</v>
      </c>
      <c r="L60" s="2">
        <v>512</v>
      </c>
    </row>
    <row r="61" spans="3:12" x14ac:dyDescent="0.25">
      <c r="C61" s="1"/>
      <c r="D61" s="4">
        <v>42</v>
      </c>
      <c r="E61" s="4">
        <v>84</v>
      </c>
      <c r="F61" s="4">
        <v>168</v>
      </c>
      <c r="G61" s="4">
        <v>336</v>
      </c>
      <c r="H61" s="4">
        <v>672</v>
      </c>
      <c r="I61" s="4">
        <v>1344</v>
      </c>
      <c r="J61" s="4">
        <v>2688</v>
      </c>
      <c r="K61" s="4">
        <v>5376</v>
      </c>
      <c r="L61" s="4">
        <v>10752</v>
      </c>
    </row>
    <row r="62" spans="3:12" x14ac:dyDescent="0.25">
      <c r="C62" s="1" t="s">
        <v>1</v>
      </c>
      <c r="D62" s="12">
        <f t="shared" ref="D62:L62" si="25">D$3/D3</f>
        <v>1</v>
      </c>
      <c r="E62" s="12">
        <f t="shared" si="25"/>
        <v>1</v>
      </c>
      <c r="F62" s="12">
        <f t="shared" si="25"/>
        <v>1</v>
      </c>
      <c r="G62" s="12">
        <f t="shared" si="25"/>
        <v>1</v>
      </c>
      <c r="H62" s="12">
        <f t="shared" si="25"/>
        <v>1</v>
      </c>
      <c r="I62" s="12">
        <f t="shared" si="25"/>
        <v>1</v>
      </c>
      <c r="J62" s="12">
        <f t="shared" si="25"/>
        <v>1</v>
      </c>
      <c r="K62" s="12" t="e">
        <f t="shared" si="25"/>
        <v>#DIV/0!</v>
      </c>
      <c r="L62" s="12" t="e">
        <f t="shared" si="25"/>
        <v>#DIV/0!</v>
      </c>
    </row>
    <row r="63" spans="3:12" x14ac:dyDescent="0.25">
      <c r="C63" s="1" t="s">
        <v>25</v>
      </c>
      <c r="D63" s="12">
        <f>D$3/D4</f>
        <v>11.182287734468503</v>
      </c>
      <c r="E63" s="12">
        <f t="shared" ref="E63:L63" si="26">E$3/E4</f>
        <v>13.966992255372178</v>
      </c>
      <c r="F63" s="12">
        <f t="shared" si="26"/>
        <v>9.6672606469624931</v>
      </c>
      <c r="G63" s="12">
        <f t="shared" si="26"/>
        <v>5.7755116673392308</v>
      </c>
      <c r="H63" s="12" t="e">
        <f t="shared" si="26"/>
        <v>#DIV/0!</v>
      </c>
      <c r="I63" s="12" t="e">
        <f t="shared" si="26"/>
        <v>#DIV/0!</v>
      </c>
      <c r="J63" s="12" t="e">
        <f t="shared" si="26"/>
        <v>#DIV/0!</v>
      </c>
      <c r="K63" s="12" t="e">
        <f t="shared" si="26"/>
        <v>#DIV/0!</v>
      </c>
      <c r="L63" s="12" t="e">
        <f t="shared" si="26"/>
        <v>#DIV/0!</v>
      </c>
    </row>
    <row r="64" spans="3:12" x14ac:dyDescent="0.25">
      <c r="C64" s="1" t="s">
        <v>26</v>
      </c>
      <c r="D64" s="12">
        <f t="shared" ref="D64:L64" si="27">D$3/D5</f>
        <v>9.8574111373996409</v>
      </c>
      <c r="E64" s="12">
        <f t="shared" si="27"/>
        <v>14.486195661100478</v>
      </c>
      <c r="F64" s="12">
        <f t="shared" si="27"/>
        <v>18.948971401295509</v>
      </c>
      <c r="G64" s="12">
        <f t="shared" si="27"/>
        <v>21.767188147743756</v>
      </c>
      <c r="H64" s="12">
        <f t="shared" si="27"/>
        <v>21.883909302633668</v>
      </c>
      <c r="I64" s="12">
        <f t="shared" si="27"/>
        <v>22.936549165286742</v>
      </c>
      <c r="J64" s="12">
        <f t="shared" si="27"/>
        <v>23.028376933527941</v>
      </c>
      <c r="K64" s="12" t="e">
        <f t="shared" si="27"/>
        <v>#DIV/0!</v>
      </c>
      <c r="L64" s="12" t="e">
        <f t="shared" si="27"/>
        <v>#DIV/0!</v>
      </c>
    </row>
    <row r="65" spans="3:12" x14ac:dyDescent="0.25">
      <c r="C65" s="1" t="s">
        <v>27</v>
      </c>
      <c r="D65" s="12">
        <f t="shared" ref="D65:L65" si="28">D$3/D6</f>
        <v>9.6002933688402994</v>
      </c>
      <c r="E65" s="12">
        <f t="shared" si="28"/>
        <v>14.356911392013068</v>
      </c>
      <c r="F65" s="12">
        <f t="shared" si="28"/>
        <v>19.020371510648953</v>
      </c>
      <c r="G65" s="12">
        <f t="shared" si="28"/>
        <v>22.337549723094824</v>
      </c>
      <c r="H65" s="12">
        <f t="shared" si="28"/>
        <v>24.405947398391604</v>
      </c>
      <c r="I65" s="12">
        <f t="shared" si="28"/>
        <v>25.642398053198736</v>
      </c>
      <c r="J65" s="12">
        <f t="shared" si="28"/>
        <v>26.973743535612613</v>
      </c>
      <c r="K65" s="12" t="e">
        <f t="shared" si="28"/>
        <v>#DIV/0!</v>
      </c>
      <c r="L65" s="12" t="e">
        <f t="shared" si="28"/>
        <v>#DIV/0!</v>
      </c>
    </row>
    <row r="66" spans="3:12" x14ac:dyDescent="0.25">
      <c r="C66" s="1" t="s">
        <v>28</v>
      </c>
      <c r="D66" s="12">
        <f t="shared" ref="D66:L66" si="29">D$3/D7</f>
        <v>10.920512539087365</v>
      </c>
      <c r="E66" s="12">
        <f t="shared" si="29"/>
        <v>13.814156557482869</v>
      </c>
      <c r="F66" s="12">
        <f t="shared" si="29"/>
        <v>9.597704562486955</v>
      </c>
      <c r="G66" s="12">
        <f t="shared" si="29"/>
        <v>5.7648714022359488</v>
      </c>
      <c r="H66" s="12" t="e">
        <f t="shared" si="29"/>
        <v>#DIV/0!</v>
      </c>
      <c r="I66" s="12" t="e">
        <f t="shared" si="29"/>
        <v>#DIV/0!</v>
      </c>
      <c r="J66" s="12" t="e">
        <f t="shared" si="29"/>
        <v>#DIV/0!</v>
      </c>
      <c r="K66" s="12" t="e">
        <f t="shared" si="29"/>
        <v>#DIV/0!</v>
      </c>
      <c r="L66" s="12" t="e">
        <f t="shared" si="29"/>
        <v>#DIV/0!</v>
      </c>
    </row>
    <row r="67" spans="3:12" x14ac:dyDescent="0.25">
      <c r="C67" s="1" t="s">
        <v>29</v>
      </c>
      <c r="D67" s="12">
        <f t="shared" ref="D67:L67" si="30">D$3/D8</f>
        <v>9.5855777724993221</v>
      </c>
      <c r="E67" s="12">
        <f t="shared" si="30"/>
        <v>14.466432215760497</v>
      </c>
      <c r="F67" s="12">
        <f t="shared" si="30"/>
        <v>18.904806146121711</v>
      </c>
      <c r="G67" s="12">
        <f t="shared" si="30"/>
        <v>21.804203792962962</v>
      </c>
      <c r="H67" s="12">
        <f t="shared" si="30"/>
        <v>21.572332136935238</v>
      </c>
      <c r="I67" s="12">
        <f t="shared" si="30"/>
        <v>22.930162882323504</v>
      </c>
      <c r="J67" s="12">
        <f t="shared" si="30"/>
        <v>22.998070408805543</v>
      </c>
      <c r="K67" s="12" t="e">
        <f t="shared" si="30"/>
        <v>#DIV/0!</v>
      </c>
      <c r="L67" s="12" t="e">
        <f t="shared" si="30"/>
        <v>#DIV/0!</v>
      </c>
    </row>
    <row r="68" spans="3:12" x14ac:dyDescent="0.25">
      <c r="C68" s="1" t="s">
        <v>30</v>
      </c>
      <c r="D68" s="12">
        <f t="shared" ref="D68:L68" si="31">D$3/D9</f>
        <v>9.9284361028183827</v>
      </c>
      <c r="E68" s="12">
        <f t="shared" si="31"/>
        <v>14.37722134747991</v>
      </c>
      <c r="F68" s="12">
        <f t="shared" si="31"/>
        <v>18.868417601328645</v>
      </c>
      <c r="G68" s="12">
        <f t="shared" si="31"/>
        <v>22.341246593347915</v>
      </c>
      <c r="H68" s="12">
        <f t="shared" si="31"/>
        <v>24.343076113979514</v>
      </c>
      <c r="I68" s="12">
        <f t="shared" si="31"/>
        <v>25.653701829738274</v>
      </c>
      <c r="J68" s="12">
        <f t="shared" si="31"/>
        <v>26.950607926024439</v>
      </c>
      <c r="K68" s="12" t="e">
        <f t="shared" si="31"/>
        <v>#DIV/0!</v>
      </c>
      <c r="L68" s="12" t="e">
        <f t="shared" si="31"/>
        <v>#DIV/0!</v>
      </c>
    </row>
    <row r="69" spans="3:12" x14ac:dyDescent="0.25">
      <c r="C69" s="1" t="s">
        <v>31</v>
      </c>
      <c r="D69" s="12">
        <f t="shared" ref="D69:L69" si="32">D$3/D10</f>
        <v>3.8654318574664353</v>
      </c>
      <c r="E69" s="12">
        <f t="shared" si="32"/>
        <v>5.0045478929738589</v>
      </c>
      <c r="F69" s="12">
        <f t="shared" si="32"/>
        <v>1.7358696224810199</v>
      </c>
      <c r="G69" s="12">
        <f t="shared" si="32"/>
        <v>3.1172123738444961</v>
      </c>
      <c r="H69" s="12" t="e">
        <f t="shared" si="32"/>
        <v>#DIV/0!</v>
      </c>
      <c r="I69" s="12" t="e">
        <f t="shared" si="32"/>
        <v>#DIV/0!</v>
      </c>
      <c r="J69" s="12" t="e">
        <f t="shared" si="32"/>
        <v>#DIV/0!</v>
      </c>
      <c r="K69" s="12" t="e">
        <f t="shared" si="32"/>
        <v>#DIV/0!</v>
      </c>
      <c r="L69" s="12" t="e">
        <f t="shared" si="32"/>
        <v>#DIV/0!</v>
      </c>
    </row>
    <row r="70" spans="3:12" x14ac:dyDescent="0.25">
      <c r="C70" s="1" t="s">
        <v>32</v>
      </c>
      <c r="D70" s="12">
        <f t="shared" ref="D70:L70" si="33">D$3/D11</f>
        <v>0.33917108395566331</v>
      </c>
      <c r="E70" s="12">
        <f t="shared" si="33"/>
        <v>0.32199901977748413</v>
      </c>
      <c r="F70" s="12">
        <f t="shared" si="33"/>
        <v>0.30078505512470566</v>
      </c>
      <c r="G70" s="12">
        <f t="shared" si="33"/>
        <v>0.2860197799839439</v>
      </c>
      <c r="H70" s="12">
        <f t="shared" si="33"/>
        <v>0.28297345956902087</v>
      </c>
      <c r="I70" s="12">
        <f t="shared" si="33"/>
        <v>0.2850282429900885</v>
      </c>
      <c r="J70" s="12">
        <f t="shared" si="33"/>
        <v>0.28526809759253419</v>
      </c>
      <c r="K70" s="12" t="e">
        <f t="shared" si="33"/>
        <v>#DIV/0!</v>
      </c>
      <c r="L70" s="12" t="e">
        <f t="shared" si="33"/>
        <v>#DIV/0!</v>
      </c>
    </row>
    <row r="71" spans="3:12" x14ac:dyDescent="0.25">
      <c r="C71" s="1" t="s">
        <v>33</v>
      </c>
      <c r="D71" s="12">
        <f t="shared" ref="D71:L71" si="34">D$3/D12</f>
        <v>6.3955219867860968</v>
      </c>
      <c r="E71" s="12">
        <f t="shared" si="34"/>
        <v>6.1852373589676422</v>
      </c>
      <c r="F71" s="12">
        <f t="shared" si="34"/>
        <v>5.7082684641318338</v>
      </c>
      <c r="G71" s="12">
        <f t="shared" si="34"/>
        <v>5.4752933793369127</v>
      </c>
      <c r="H71" s="12">
        <f t="shared" si="34"/>
        <v>5.2939553555968955</v>
      </c>
      <c r="I71" s="12">
        <f t="shared" si="34"/>
        <v>5.420237527680503</v>
      </c>
      <c r="J71" s="12">
        <f t="shared" si="34"/>
        <v>4.0261283516307289</v>
      </c>
      <c r="K71" s="12" t="e">
        <f t="shared" si="34"/>
        <v>#DIV/0!</v>
      </c>
      <c r="L71" s="12" t="e">
        <f t="shared" si="34"/>
        <v>#DIV/0!</v>
      </c>
    </row>
    <row r="72" spans="3:12" x14ac:dyDescent="0.25">
      <c r="C72" s="1" t="s">
        <v>34</v>
      </c>
      <c r="D72" s="12">
        <f t="shared" ref="D72:L72" si="35">D$3/D13</f>
        <v>11.263943093042515</v>
      </c>
      <c r="E72" s="12">
        <f t="shared" si="35"/>
        <v>14.127820974927927</v>
      </c>
      <c r="F72" s="12">
        <f t="shared" si="35"/>
        <v>9.7299725854224928</v>
      </c>
      <c r="G72" s="12">
        <f t="shared" si="35"/>
        <v>5.8311343254724735</v>
      </c>
      <c r="H72" s="12" t="e">
        <f t="shared" si="35"/>
        <v>#DIV/0!</v>
      </c>
      <c r="I72" s="12" t="e">
        <f t="shared" si="35"/>
        <v>#DIV/0!</v>
      </c>
      <c r="J72" s="12" t="e">
        <f t="shared" si="35"/>
        <v>#DIV/0!</v>
      </c>
      <c r="K72" s="12" t="e">
        <f t="shared" si="35"/>
        <v>#DIV/0!</v>
      </c>
      <c r="L72" s="12" t="e">
        <f t="shared" si="35"/>
        <v>#DIV/0!</v>
      </c>
    </row>
    <row r="73" spans="3:12" x14ac:dyDescent="0.25">
      <c r="C73" s="1" t="s">
        <v>35</v>
      </c>
      <c r="D73" s="12">
        <f t="shared" ref="D73:L73" si="36">D$3/D14</f>
        <v>9.9447006285652488</v>
      </c>
      <c r="E73" s="12">
        <f t="shared" si="36"/>
        <v>14.683082957088684</v>
      </c>
      <c r="F73" s="12">
        <f t="shared" si="36"/>
        <v>19.088457596091697</v>
      </c>
      <c r="G73" s="12">
        <f t="shared" si="36"/>
        <v>22.341305111681923</v>
      </c>
      <c r="H73" s="12">
        <f t="shared" si="36"/>
        <v>21.723947061119894</v>
      </c>
      <c r="I73" s="12">
        <f t="shared" si="36"/>
        <v>23.860229072487687</v>
      </c>
      <c r="J73" s="12" t="e">
        <f t="shared" si="36"/>
        <v>#DIV/0!</v>
      </c>
      <c r="K73" s="12" t="e">
        <f t="shared" si="36"/>
        <v>#DIV/0!</v>
      </c>
      <c r="L73" s="12" t="e">
        <f t="shared" si="36"/>
        <v>#DIV/0!</v>
      </c>
    </row>
    <row r="74" spans="3:12" x14ac:dyDescent="0.25">
      <c r="C74" s="1" t="s">
        <v>36</v>
      </c>
      <c r="D74" s="12">
        <f t="shared" ref="D74:L74" si="37">D$3/D15</f>
        <v>9.8455297691449442</v>
      </c>
      <c r="E74" s="12">
        <f t="shared" si="37"/>
        <v>14.54225112565876</v>
      </c>
      <c r="F74" s="12">
        <f t="shared" si="37"/>
        <v>19.332916835975624</v>
      </c>
      <c r="G74" s="12">
        <f t="shared" si="37"/>
        <v>22.507757614874762</v>
      </c>
      <c r="H74" s="12">
        <f t="shared" si="37"/>
        <v>24.187931081672879</v>
      </c>
      <c r="I74" s="12">
        <f t="shared" si="37"/>
        <v>27.198901660898063</v>
      </c>
      <c r="J74" s="12" t="e">
        <f t="shared" si="37"/>
        <v>#DIV/0!</v>
      </c>
      <c r="K74" s="12" t="e">
        <f t="shared" si="37"/>
        <v>#DIV/0!</v>
      </c>
      <c r="L74" s="12" t="e">
        <f t="shared" si="37"/>
        <v>#DIV/0!</v>
      </c>
    </row>
    <row r="75" spans="3:12" x14ac:dyDescent="0.25">
      <c r="C75" s="1" t="s">
        <v>38</v>
      </c>
      <c r="D75" s="12">
        <f t="shared" ref="D75:L75" si="38">D$3/D16</f>
        <v>11.075289149961828</v>
      </c>
      <c r="E75" s="12">
        <f t="shared" si="38"/>
        <v>13.999352787165028</v>
      </c>
      <c r="F75" s="12">
        <f t="shared" si="38"/>
        <v>9.7024544350408561</v>
      </c>
      <c r="G75" s="12">
        <f t="shared" si="38"/>
        <v>5.8190291532964578</v>
      </c>
      <c r="H75" s="12" t="e">
        <f t="shared" si="38"/>
        <v>#DIV/0!</v>
      </c>
      <c r="I75" s="12" t="e">
        <f t="shared" si="38"/>
        <v>#DIV/0!</v>
      </c>
      <c r="J75" s="12" t="e">
        <f t="shared" si="38"/>
        <v>#DIV/0!</v>
      </c>
      <c r="K75" s="12" t="e">
        <f t="shared" si="38"/>
        <v>#DIV/0!</v>
      </c>
      <c r="L75" s="12" t="e">
        <f t="shared" si="38"/>
        <v>#DIV/0!</v>
      </c>
    </row>
    <row r="76" spans="3:12" x14ac:dyDescent="0.25">
      <c r="C76" s="1" t="s">
        <v>39</v>
      </c>
      <c r="D76" s="12">
        <f t="shared" ref="D76:L76" si="39">D$3/D17</f>
        <v>9.8240436915413518</v>
      </c>
      <c r="E76" s="12">
        <f t="shared" si="39"/>
        <v>14.722026013990037</v>
      </c>
      <c r="F76" s="12">
        <f t="shared" si="39"/>
        <v>19.186831147357058</v>
      </c>
      <c r="G76" s="12">
        <f t="shared" si="39"/>
        <v>22.308198103495243</v>
      </c>
      <c r="H76" s="12">
        <f t="shared" si="39"/>
        <v>22.200101710670676</v>
      </c>
      <c r="I76" s="12">
        <f t="shared" si="39"/>
        <v>23.647120809641933</v>
      </c>
      <c r="J76" s="12" t="e">
        <f t="shared" si="39"/>
        <v>#DIV/0!</v>
      </c>
      <c r="K76" s="12" t="e">
        <f t="shared" si="39"/>
        <v>#DIV/0!</v>
      </c>
      <c r="L76" s="12" t="e">
        <f t="shared" si="39"/>
        <v>#DIV/0!</v>
      </c>
    </row>
    <row r="77" spans="3:12" x14ac:dyDescent="0.25">
      <c r="C77" s="1" t="s">
        <v>40</v>
      </c>
      <c r="D77" s="12">
        <f t="shared" ref="D77:L77" si="40">D$3/D18</f>
        <v>9.7357237391614131</v>
      </c>
      <c r="E77" s="12">
        <f t="shared" si="40"/>
        <v>14.696674495738154</v>
      </c>
      <c r="F77" s="12">
        <f t="shared" si="40"/>
        <v>19.122051381607523</v>
      </c>
      <c r="G77" s="12">
        <f t="shared" si="40"/>
        <v>22.793287375288358</v>
      </c>
      <c r="H77" s="12">
        <f t="shared" si="40"/>
        <v>25.120997025482836</v>
      </c>
      <c r="I77" s="12">
        <f t="shared" si="40"/>
        <v>27.209771149586956</v>
      </c>
      <c r="J77" s="12" t="e">
        <f t="shared" si="40"/>
        <v>#DIV/0!</v>
      </c>
      <c r="K77" s="12" t="e">
        <f t="shared" si="40"/>
        <v>#DIV/0!</v>
      </c>
      <c r="L77" s="12" t="e">
        <f t="shared" si="40"/>
        <v>#DIV/0!</v>
      </c>
    </row>
    <row r="78" spans="3:12" x14ac:dyDescent="0.25">
      <c r="C78" s="1" t="s">
        <v>41</v>
      </c>
      <c r="D78" s="12">
        <f t="shared" ref="D78:L78" si="41">D$3/D19</f>
        <v>9.6745623899583464</v>
      </c>
      <c r="E78" s="12">
        <f t="shared" si="41"/>
        <v>14.401480534556438</v>
      </c>
      <c r="F78" s="12">
        <f t="shared" si="41"/>
        <v>19.005253916160875</v>
      </c>
      <c r="G78" s="12">
        <f t="shared" si="41"/>
        <v>22.779798116480507</v>
      </c>
      <c r="H78" s="12">
        <f t="shared" si="41"/>
        <v>25.080558118881708</v>
      </c>
      <c r="I78" s="12">
        <f t="shared" si="41"/>
        <v>27.045940915069586</v>
      </c>
      <c r="J78" s="12">
        <f t="shared" si="41"/>
        <v>28.009093783933093</v>
      </c>
      <c r="K78" s="12" t="e">
        <f t="shared" si="41"/>
        <v>#DIV/0!</v>
      </c>
      <c r="L78" s="12" t="e">
        <f t="shared" si="41"/>
        <v>#DIV/0!</v>
      </c>
    </row>
    <row r="79" spans="3:12" x14ac:dyDescent="0.25">
      <c r="C79" s="1" t="s">
        <v>43</v>
      </c>
      <c r="D79" s="12">
        <f t="shared" ref="D79:L79" si="42">D$3/D20</f>
        <v>9.7488794222353672</v>
      </c>
      <c r="E79" s="12">
        <f t="shared" si="42"/>
        <v>14.65607352932081</v>
      </c>
      <c r="F79" s="12">
        <f t="shared" si="42"/>
        <v>19.185820501958482</v>
      </c>
      <c r="G79" s="12">
        <f t="shared" si="42"/>
        <v>22.758886765266844</v>
      </c>
      <c r="H79" s="12">
        <f t="shared" si="42"/>
        <v>25.067128822011171</v>
      </c>
      <c r="I79" s="12">
        <f t="shared" si="42"/>
        <v>27.062408580321289</v>
      </c>
      <c r="J79" s="12">
        <f t="shared" si="42"/>
        <v>27.989932253720109</v>
      </c>
      <c r="K79" s="12" t="e">
        <f t="shared" si="42"/>
        <v>#DIV/0!</v>
      </c>
      <c r="L79" s="12" t="e">
        <f t="shared" si="42"/>
        <v>#DIV/0!</v>
      </c>
    </row>
    <row r="80" spans="3:12" x14ac:dyDescent="0.25">
      <c r="C80" s="1" t="s">
        <v>44</v>
      </c>
      <c r="D80" s="12">
        <f t="shared" ref="D80:L80" si="43">D$3/D21</f>
        <v>20.998123406748501</v>
      </c>
      <c r="E80" s="12">
        <f t="shared" si="43"/>
        <v>22.31759670126603</v>
      </c>
      <c r="F80" s="12">
        <f t="shared" si="43"/>
        <v>22.127723851511867</v>
      </c>
      <c r="G80" s="12">
        <f t="shared" si="43"/>
        <v>21.698867440550565</v>
      </c>
      <c r="H80" s="12">
        <f t="shared" si="43"/>
        <v>21.298796793860394</v>
      </c>
      <c r="I80" s="12">
        <f t="shared" si="43"/>
        <v>21.601975411750278</v>
      </c>
      <c r="J80" s="12">
        <f t="shared" si="43"/>
        <v>21.780270767913677</v>
      </c>
      <c r="K80" s="12" t="e">
        <f t="shared" si="43"/>
        <v>#DIV/0!</v>
      </c>
      <c r="L80" s="12" t="e">
        <f t="shared" si="43"/>
        <v>#DIV/0!</v>
      </c>
    </row>
    <row r="81" spans="3:12" x14ac:dyDescent="0.25">
      <c r="C81" s="1" t="s">
        <v>37</v>
      </c>
      <c r="D81" s="12">
        <f t="shared" ref="D81:L81" si="44">D$3/D22</f>
        <v>22.368894474355461</v>
      </c>
      <c r="E81" s="12">
        <f t="shared" si="44"/>
        <v>24.352513682191454</v>
      </c>
      <c r="F81" s="12">
        <f t="shared" si="44"/>
        <v>24.819898614103998</v>
      </c>
      <c r="G81" s="12">
        <f t="shared" si="44"/>
        <v>21.462653612067861</v>
      </c>
      <c r="H81" s="12">
        <f t="shared" si="44"/>
        <v>21.630487567404675</v>
      </c>
      <c r="I81" s="12">
        <f t="shared" si="44"/>
        <v>23.391914997201088</v>
      </c>
      <c r="J81" s="12" t="e">
        <f t="shared" si="44"/>
        <v>#DIV/0!</v>
      </c>
      <c r="K81" s="12" t="e">
        <f t="shared" si="44"/>
        <v>#DIV/0!</v>
      </c>
      <c r="L81" s="12" t="e">
        <f t="shared" si="44"/>
        <v>#DIV/0!</v>
      </c>
    </row>
    <row r="82" spans="3:12" x14ac:dyDescent="0.25">
      <c r="C82" s="1" t="s">
        <v>42</v>
      </c>
      <c r="D82" s="12">
        <f t="shared" ref="D82:L82" si="45">D$3/D23</f>
        <v>21.321993310412239</v>
      </c>
      <c r="E82" s="12">
        <f t="shared" si="45"/>
        <v>24.068937589683138</v>
      </c>
      <c r="F82" s="12">
        <f t="shared" si="45"/>
        <v>23.846401862858173</v>
      </c>
      <c r="G82" s="12">
        <f t="shared" si="45"/>
        <v>23.36925295156448</v>
      </c>
      <c r="H82" s="12">
        <f t="shared" si="45"/>
        <v>22.892761740281326</v>
      </c>
      <c r="I82" s="12">
        <f t="shared" si="45"/>
        <v>23.22092914904816</v>
      </c>
      <c r="J82" s="12">
        <f t="shared" si="45"/>
        <v>23.267532893046045</v>
      </c>
      <c r="K82" s="12" t="e">
        <f t="shared" si="45"/>
        <v>#DIV/0!</v>
      </c>
      <c r="L82" s="12" t="e">
        <f t="shared" si="45"/>
        <v>#DIV/0!</v>
      </c>
    </row>
    <row r="83" spans="3:12" x14ac:dyDescent="0.25">
      <c r="C83" s="1" t="s">
        <v>45</v>
      </c>
      <c r="D83" s="12" t="e">
        <f t="shared" ref="D83:L83" si="46">D$3/D24</f>
        <v>#DIV/0!</v>
      </c>
      <c r="E83" s="12">
        <f t="shared" si="46"/>
        <v>22.302192806600448</v>
      </c>
      <c r="F83" s="12">
        <f t="shared" si="46"/>
        <v>24.045739188426733</v>
      </c>
      <c r="G83" s="12">
        <f t="shared" si="46"/>
        <v>23.569341570882649</v>
      </c>
      <c r="H83" s="12">
        <f t="shared" si="46"/>
        <v>23.381420780597182</v>
      </c>
      <c r="I83" s="12">
        <f t="shared" si="46"/>
        <v>23.454478035703833</v>
      </c>
      <c r="J83" s="12">
        <f t="shared" si="46"/>
        <v>23.663974575784529</v>
      </c>
      <c r="K83" s="12" t="e">
        <f t="shared" si="46"/>
        <v>#DIV/0!</v>
      </c>
      <c r="L83" s="12" t="e">
        <f t="shared" si="46"/>
        <v>#DIV/0!</v>
      </c>
    </row>
    <row r="84" spans="3:12" x14ac:dyDescent="0.25">
      <c r="C84" s="1" t="s">
        <v>9</v>
      </c>
      <c r="D84" s="12">
        <f t="shared" ref="D84:L84" si="47">D$3/D25</f>
        <v>6.7220129301420206</v>
      </c>
      <c r="E84" s="12">
        <f t="shared" si="47"/>
        <v>7.6949532856858855</v>
      </c>
      <c r="F84" s="12">
        <f t="shared" si="47"/>
        <v>7.2146020899025167</v>
      </c>
      <c r="G84" s="12">
        <f t="shared" si="47"/>
        <v>7.5885136275730485</v>
      </c>
      <c r="H84" s="12">
        <f t="shared" si="47"/>
        <v>7.7792760735573125</v>
      </c>
      <c r="I84" s="12">
        <f t="shared" si="47"/>
        <v>8.4256557102607932</v>
      </c>
      <c r="J84" s="12">
        <f t="shared" si="47"/>
        <v>10.033871690165729</v>
      </c>
      <c r="K84" s="12" t="e">
        <f t="shared" si="47"/>
        <v>#DIV/0!</v>
      </c>
      <c r="L84" s="12" t="e">
        <f t="shared" si="47"/>
        <v>#DIV/0!</v>
      </c>
    </row>
    <row r="85" spans="3:12" x14ac:dyDescent="0.25">
      <c r="C85" s="1" t="s">
        <v>13</v>
      </c>
      <c r="D85" s="12">
        <f t="shared" ref="D85:L85" si="48">D$3/D26</f>
        <v>11.735760227553671</v>
      </c>
      <c r="E85" s="12">
        <f t="shared" si="48"/>
        <v>12.383738857309098</v>
      </c>
      <c r="F85" s="12">
        <f t="shared" si="48"/>
        <v>12.548646007446379</v>
      </c>
      <c r="G85" s="12">
        <f t="shared" si="48"/>
        <v>12.619072341958388</v>
      </c>
      <c r="H85" s="12">
        <f t="shared" si="48"/>
        <v>12.834570489201189</v>
      </c>
      <c r="I85" s="12">
        <f t="shared" si="48"/>
        <v>12.925213533535462</v>
      </c>
      <c r="J85" s="12">
        <f t="shared" si="48"/>
        <v>13.331971254008621</v>
      </c>
      <c r="K85" s="12" t="e">
        <f t="shared" si="48"/>
        <v>#DIV/0!</v>
      </c>
      <c r="L85" s="12" t="e">
        <f t="shared" si="48"/>
        <v>#DIV/0!</v>
      </c>
    </row>
    <row r="86" spans="3:12" x14ac:dyDescent="0.25">
      <c r="C86" s="1" t="s">
        <v>14</v>
      </c>
      <c r="D86" s="12">
        <f t="shared" ref="D86:L86" si="49">D$3/D27</f>
        <v>21.535199192851334</v>
      </c>
      <c r="E86" s="12">
        <f t="shared" si="49"/>
        <v>23.331589422579565</v>
      </c>
      <c r="F86" s="12">
        <f t="shared" si="49"/>
        <v>23.682157571384682</v>
      </c>
      <c r="G86" s="12">
        <f t="shared" si="49"/>
        <v>22.843880436025763</v>
      </c>
      <c r="H86" s="12">
        <f t="shared" si="49"/>
        <v>22.070658230368643</v>
      </c>
      <c r="I86" s="12">
        <f t="shared" si="49"/>
        <v>22.122501511498079</v>
      </c>
      <c r="J86" s="12">
        <f t="shared" si="49"/>
        <v>22.249985562976715</v>
      </c>
      <c r="K86" s="12" t="e">
        <f t="shared" si="49"/>
        <v>#DIV/0!</v>
      </c>
      <c r="L86" s="12" t="e">
        <f t="shared" si="49"/>
        <v>#DIV/0!</v>
      </c>
    </row>
    <row r="91" spans="3:12" x14ac:dyDescent="0.25">
      <c r="C91" t="s">
        <v>3</v>
      </c>
    </row>
    <row r="92" spans="3:12" x14ac:dyDescent="0.25">
      <c r="C92" s="1">
        <v>50</v>
      </c>
      <c r="D92" s="2">
        <v>2</v>
      </c>
      <c r="E92" s="3">
        <v>4</v>
      </c>
      <c r="F92" s="2">
        <v>8</v>
      </c>
      <c r="G92" s="2">
        <v>16</v>
      </c>
      <c r="H92" s="2">
        <v>32</v>
      </c>
      <c r="I92" s="2">
        <v>64</v>
      </c>
      <c r="J92" s="2">
        <v>128</v>
      </c>
      <c r="K92" s="2">
        <v>256</v>
      </c>
      <c r="L92" s="2">
        <v>512</v>
      </c>
    </row>
    <row r="93" spans="3:12" x14ac:dyDescent="0.25">
      <c r="C93" s="1"/>
      <c r="D93" s="4">
        <v>42</v>
      </c>
      <c r="E93" s="4">
        <v>84</v>
      </c>
      <c r="F93" s="4">
        <v>168</v>
      </c>
      <c r="G93" s="4">
        <v>336</v>
      </c>
      <c r="H93" s="4">
        <v>672</v>
      </c>
      <c r="I93" s="4">
        <v>1344</v>
      </c>
      <c r="J93" s="4">
        <v>2688</v>
      </c>
      <c r="K93" s="4">
        <v>5376</v>
      </c>
      <c r="L93" s="4">
        <v>10752</v>
      </c>
    </row>
    <row r="94" spans="3:12" x14ac:dyDescent="0.25">
      <c r="C94" s="1" t="s">
        <v>1</v>
      </c>
      <c r="D94" s="1">
        <v>24835.691679839976</v>
      </c>
      <c r="E94" s="1">
        <v>9741.325258999992</v>
      </c>
      <c r="F94" s="1">
        <v>195964.7402940001</v>
      </c>
      <c r="G94" s="1">
        <v>53680.555142000099</v>
      </c>
      <c r="H94" s="1">
        <v>4720660.1590760015</v>
      </c>
      <c r="I94" s="1">
        <v>10462154.538618999</v>
      </c>
      <c r="J94" s="1">
        <v>38515874.652442999</v>
      </c>
      <c r="K94" s="1"/>
      <c r="L94" s="1"/>
    </row>
    <row r="95" spans="3:12" x14ac:dyDescent="0.25">
      <c r="C95" s="1" t="s">
        <v>25</v>
      </c>
      <c r="D95" s="1">
        <v>128.62867052679991</v>
      </c>
      <c r="E95" s="1">
        <v>39.498585600000034</v>
      </c>
      <c r="F95" s="1">
        <v>300.99017000000077</v>
      </c>
      <c r="G95" s="1">
        <v>1179.5745252799998</v>
      </c>
      <c r="H95" s="1"/>
      <c r="I95" s="1"/>
      <c r="J95" s="1"/>
      <c r="K95" s="1"/>
      <c r="L95" s="1"/>
    </row>
    <row r="96" spans="3:12" x14ac:dyDescent="0.25">
      <c r="C96" s="1" t="s">
        <v>26</v>
      </c>
      <c r="D96" s="1">
        <v>245.05235267399971</v>
      </c>
      <c r="E96" s="1">
        <v>18.665529183199965</v>
      </c>
      <c r="F96" s="1">
        <v>40.618543200000133</v>
      </c>
      <c r="G96" s="1">
        <v>104.3745137199997</v>
      </c>
      <c r="H96" s="1">
        <v>615.15221039999858</v>
      </c>
      <c r="I96" s="1">
        <v>1201.4410994799978</v>
      </c>
      <c r="J96" s="1">
        <v>2658.4628419999958</v>
      </c>
      <c r="K96" s="1"/>
      <c r="L96" s="1"/>
    </row>
    <row r="97" spans="3:12" x14ac:dyDescent="0.25">
      <c r="C97" s="1" t="s">
        <v>27</v>
      </c>
      <c r="D97" s="1">
        <v>37.702766720400007</v>
      </c>
      <c r="E97" s="1">
        <v>31.581953169999924</v>
      </c>
      <c r="F97" s="1">
        <v>14.914040200000025</v>
      </c>
      <c r="G97" s="1">
        <v>21.762949600000038</v>
      </c>
      <c r="H97" s="1">
        <v>89.653107559999583</v>
      </c>
      <c r="I97" s="1">
        <v>43.714899519999648</v>
      </c>
      <c r="J97" s="1">
        <v>43.565183999998794</v>
      </c>
      <c r="K97" s="1"/>
      <c r="L97" s="1"/>
    </row>
    <row r="98" spans="3:12" x14ac:dyDescent="0.25">
      <c r="C98" s="1" t="s">
        <v>46</v>
      </c>
      <c r="D98" s="1">
        <v>48.505104896399914</v>
      </c>
      <c r="E98" s="1">
        <v>39.831175920000042</v>
      </c>
      <c r="F98" s="1">
        <v>43.55886976000027</v>
      </c>
      <c r="G98" s="1">
        <v>237.34570916000084</v>
      </c>
      <c r="H98" s="1"/>
      <c r="I98" s="1"/>
      <c r="J98" s="1"/>
      <c r="K98" s="1"/>
      <c r="L98" s="1"/>
    </row>
    <row r="99" spans="3:12" x14ac:dyDescent="0.25">
      <c r="C99" s="1" t="s">
        <v>29</v>
      </c>
      <c r="D99" s="1">
        <v>64.025926037600016</v>
      </c>
      <c r="E99" s="1">
        <v>58.773969710800053</v>
      </c>
      <c r="F99" s="1">
        <v>75.07871735999997</v>
      </c>
      <c r="G99" s="1">
        <v>51.57245640000022</v>
      </c>
      <c r="H99" s="1">
        <v>285.51564271999979</v>
      </c>
      <c r="I99" s="1">
        <v>737.11086951999835</v>
      </c>
      <c r="J99" s="1">
        <v>3565.702983999995</v>
      </c>
      <c r="K99" s="1"/>
      <c r="L99" s="1"/>
    </row>
    <row r="100" spans="3:12" x14ac:dyDescent="0.25">
      <c r="C100" s="1" t="s">
        <v>30</v>
      </c>
      <c r="D100" s="1">
        <v>8.3498069159999915</v>
      </c>
      <c r="E100" s="1">
        <v>58.273879443600016</v>
      </c>
      <c r="F100" s="1">
        <v>15.768819199999879</v>
      </c>
      <c r="G100" s="1">
        <v>101.9753533999999</v>
      </c>
      <c r="H100" s="1">
        <v>36.409010000000151</v>
      </c>
      <c r="I100" s="1">
        <v>102.58907640000098</v>
      </c>
      <c r="J100" s="1">
        <v>27.048402999999485</v>
      </c>
      <c r="K100" s="1"/>
      <c r="L100" s="1"/>
    </row>
    <row r="101" spans="3:12" x14ac:dyDescent="0.25">
      <c r="C101" s="1" t="s">
        <v>31</v>
      </c>
      <c r="D101" s="1">
        <v>135.36659460000001</v>
      </c>
      <c r="E101" s="1">
        <v>207.20884543999972</v>
      </c>
      <c r="F101" s="1">
        <v>142198983.63208666</v>
      </c>
      <c r="G101" s="1">
        <v>2058.5091519999942</v>
      </c>
      <c r="H101" s="1">
        <v>3.4113112070579676</v>
      </c>
      <c r="I101" s="1">
        <v>3.678162854052248</v>
      </c>
      <c r="J101" s="1">
        <v>19.74635466705087</v>
      </c>
      <c r="K101" s="1"/>
      <c r="L101" s="1"/>
    </row>
    <row r="102" spans="3:12" x14ac:dyDescent="0.25">
      <c r="C102" s="1" t="s">
        <v>32</v>
      </c>
      <c r="D102" s="1">
        <v>185.82964800000181</v>
      </c>
      <c r="E102" s="1">
        <v>10456.31654399991</v>
      </c>
      <c r="F102" s="1">
        <v>6382.9582479999626</v>
      </c>
      <c r="G102" s="1">
        <v>5464.12</v>
      </c>
      <c r="H102" s="1">
        <v>110240671.81799999</v>
      </c>
      <c r="I102" s="1">
        <v>3449053.6899999995</v>
      </c>
      <c r="J102" s="1">
        <v>31283953.799999997</v>
      </c>
      <c r="K102" s="1"/>
      <c r="L102" s="1"/>
    </row>
    <row r="103" spans="3:12" x14ac:dyDescent="0.25">
      <c r="C103" s="1" t="s">
        <v>33</v>
      </c>
      <c r="D103" s="1">
        <v>1.8512436000000125</v>
      </c>
      <c r="E103" s="1">
        <v>3.6491739999998556</v>
      </c>
      <c r="F103" s="1">
        <v>16.617171560000386</v>
      </c>
      <c r="G103" s="1">
        <v>1218.8458419599954</v>
      </c>
      <c r="H103" s="1">
        <v>1167.9157519999771</v>
      </c>
      <c r="I103" s="1">
        <v>1144.5576959999566</v>
      </c>
      <c r="J103" s="1">
        <v>17412.193863999986</v>
      </c>
      <c r="K103" s="1"/>
      <c r="L103" s="1"/>
    </row>
    <row r="104" spans="3:12" x14ac:dyDescent="0.25">
      <c r="C104" s="1" t="s">
        <v>34</v>
      </c>
      <c r="D104" s="1">
        <v>78.358050749599997</v>
      </c>
      <c r="E104" s="1">
        <v>56.555045857999907</v>
      </c>
      <c r="F104" s="1">
        <v>177.29666987999988</v>
      </c>
      <c r="G104" s="1">
        <v>7109.4815261999966</v>
      </c>
      <c r="H104" s="1"/>
      <c r="I104" s="1"/>
      <c r="J104" s="1"/>
      <c r="K104" s="1"/>
      <c r="L104" s="1"/>
    </row>
    <row r="105" spans="3:12" x14ac:dyDescent="0.25">
      <c r="C105" s="1" t="s">
        <v>35</v>
      </c>
      <c r="D105" s="1">
        <v>18.074390739599998</v>
      </c>
      <c r="E105" s="1">
        <v>57.428099827600029</v>
      </c>
      <c r="F105" s="1">
        <v>104.54893239999997</v>
      </c>
      <c r="G105" s="1">
        <v>1027.8489411599987</v>
      </c>
      <c r="H105" s="1">
        <v>132.02750708000008</v>
      </c>
      <c r="I105" s="1">
        <v>36.853160399999929</v>
      </c>
      <c r="J105" s="1"/>
      <c r="K105" s="1"/>
      <c r="L105" s="1"/>
    </row>
    <row r="106" spans="3:12" x14ac:dyDescent="0.25">
      <c r="C106" s="1" t="s">
        <v>36</v>
      </c>
      <c r="D106" s="1">
        <v>15.869791845600014</v>
      </c>
      <c r="E106" s="1">
        <v>34.579230045200028</v>
      </c>
      <c r="F106" s="1">
        <v>20.255776599999951</v>
      </c>
      <c r="G106" s="1">
        <v>4420.2467730400012</v>
      </c>
      <c r="H106" s="1">
        <v>13857.287330360006</v>
      </c>
      <c r="I106" s="1">
        <v>47.071323680000262</v>
      </c>
      <c r="J106" s="1"/>
      <c r="K106" s="1"/>
      <c r="L106" s="1"/>
    </row>
    <row r="107" spans="3:12" x14ac:dyDescent="0.25">
      <c r="C107" s="1" t="s">
        <v>38</v>
      </c>
      <c r="D107" s="1">
        <v>80.515531038800049</v>
      </c>
      <c r="E107" s="1">
        <v>37.332602608799959</v>
      </c>
      <c r="F107" s="1">
        <v>167.3608229200004</v>
      </c>
      <c r="G107" s="1">
        <v>2319.7315550400021</v>
      </c>
      <c r="H107" s="1"/>
      <c r="I107" s="1"/>
      <c r="J107" s="1"/>
      <c r="K107" s="1"/>
      <c r="L107" s="1"/>
    </row>
    <row r="108" spans="3:12" x14ac:dyDescent="0.25">
      <c r="C108" s="1" t="s">
        <v>39</v>
      </c>
      <c r="D108" s="1">
        <v>27.127594168000023</v>
      </c>
      <c r="E108" s="1">
        <v>66.608425400399938</v>
      </c>
      <c r="F108" s="1">
        <v>288.42894195999963</v>
      </c>
      <c r="G108" s="1">
        <v>954.34323568000036</v>
      </c>
      <c r="H108" s="1">
        <v>37.512899040000093</v>
      </c>
      <c r="I108" s="1">
        <v>42.332791519999851</v>
      </c>
      <c r="J108" s="1"/>
      <c r="K108" s="1"/>
      <c r="L108" s="1"/>
    </row>
    <row r="109" spans="3:12" x14ac:dyDescent="0.25">
      <c r="C109" s="1" t="s">
        <v>40</v>
      </c>
      <c r="D109" s="1">
        <v>28.187747907599935</v>
      </c>
      <c r="E109" s="1">
        <v>40.70757039760008</v>
      </c>
      <c r="F109" s="1">
        <v>120.72043247999999</v>
      </c>
      <c r="G109" s="1">
        <v>316.31893847999936</v>
      </c>
      <c r="H109" s="1">
        <v>75.973351199999698</v>
      </c>
      <c r="I109" s="1">
        <v>68.596427319999009</v>
      </c>
      <c r="J109" s="1"/>
      <c r="K109" s="1"/>
      <c r="L109" s="1"/>
    </row>
    <row r="110" spans="3:12" x14ac:dyDescent="0.25">
      <c r="C110" s="1" t="s">
        <v>41</v>
      </c>
      <c r="D110" s="1">
        <v>228.61646834560008</v>
      </c>
      <c r="E110" s="1">
        <v>56.922475075599998</v>
      </c>
      <c r="F110" s="1">
        <v>106.76981319999986</v>
      </c>
      <c r="G110" s="1">
        <v>187.56664719999975</v>
      </c>
      <c r="H110" s="1">
        <v>222.57478139999975</v>
      </c>
      <c r="I110" s="1">
        <v>292.45462407999935</v>
      </c>
      <c r="J110" s="1">
        <v>348.82892700000201</v>
      </c>
      <c r="K110" s="1"/>
      <c r="L110" s="1"/>
    </row>
    <row r="111" spans="3:12" x14ac:dyDescent="0.25">
      <c r="C111" s="1" t="s">
        <v>43</v>
      </c>
      <c r="D111" s="1">
        <v>76.081882552000067</v>
      </c>
      <c r="E111" s="1">
        <v>44.91008687560003</v>
      </c>
      <c r="F111" s="1">
        <v>32.710351200000048</v>
      </c>
      <c r="G111" s="1">
        <v>39.045423560000032</v>
      </c>
      <c r="H111" s="1">
        <v>37.035305800000017</v>
      </c>
      <c r="I111" s="1">
        <v>63.201819879999164</v>
      </c>
      <c r="J111" s="1">
        <v>45.443702999998749</v>
      </c>
      <c r="K111" s="1"/>
      <c r="L111" s="1"/>
    </row>
    <row r="112" spans="3:12" x14ac:dyDescent="0.25">
      <c r="C112" s="1" t="s">
        <v>8</v>
      </c>
      <c r="D112" s="1">
        <v>654.08437187200002</v>
      </c>
      <c r="E112" s="1">
        <v>189.00614066559982</v>
      </c>
      <c r="F112" s="1">
        <v>410.69644232000002</v>
      </c>
      <c r="G112" s="1">
        <v>192.5515844400006</v>
      </c>
      <c r="H112" s="1">
        <v>1097.4957003999989</v>
      </c>
      <c r="I112" s="1">
        <v>1697.1608965999994</v>
      </c>
      <c r="J112" s="1">
        <v>2883.1276190000158</v>
      </c>
      <c r="K112" s="1"/>
      <c r="L112" s="1"/>
    </row>
    <row r="113" spans="3:12" x14ac:dyDescent="0.25">
      <c r="C113" s="1" t="s">
        <v>37</v>
      </c>
      <c r="D113" s="1">
        <v>335.21385213679991</v>
      </c>
      <c r="E113" s="1">
        <v>217.73231059199995</v>
      </c>
      <c r="F113" s="1">
        <v>420.80215918760035</v>
      </c>
      <c r="G113" s="1">
        <v>620.64085299999988</v>
      </c>
      <c r="H113" s="1">
        <v>1051.4756082000004</v>
      </c>
      <c r="I113" s="1">
        <v>954.60624000000166</v>
      </c>
      <c r="J113" s="1">
        <v>6787.9659060000049</v>
      </c>
      <c r="K113" s="1"/>
      <c r="L113" s="1"/>
    </row>
    <row r="114" spans="3:12" x14ac:dyDescent="0.25">
      <c r="C114" s="1" t="s">
        <v>42</v>
      </c>
      <c r="D114" s="1">
        <v>335.21385213679991</v>
      </c>
      <c r="E114" s="1">
        <v>217.73231059199995</v>
      </c>
      <c r="F114" s="1">
        <v>420.80215918760035</v>
      </c>
      <c r="G114" s="1">
        <v>620.64085299999988</v>
      </c>
      <c r="H114" s="1">
        <v>1051.4756082000004</v>
      </c>
      <c r="I114" s="1">
        <v>954.60624000000166</v>
      </c>
      <c r="J114" s="1">
        <v>6787.9659060000049</v>
      </c>
      <c r="K114" s="1"/>
      <c r="L114" s="1"/>
    </row>
    <row r="115" spans="3:12" x14ac:dyDescent="0.25">
      <c r="C115" s="1" t="s">
        <v>10</v>
      </c>
      <c r="D115" s="1" t="e">
        <v>#DIV/0!</v>
      </c>
      <c r="E115" s="1">
        <v>281.01495709960011</v>
      </c>
      <c r="F115" s="1">
        <v>15147.562573989599</v>
      </c>
      <c r="G115" s="1">
        <v>669.41195359999995</v>
      </c>
      <c r="H115" s="1">
        <v>4131.6212937999999</v>
      </c>
      <c r="I115" s="1">
        <v>2477.8522959999946</v>
      </c>
      <c r="J115" s="1">
        <v>4256.3711160000003</v>
      </c>
      <c r="K115" s="1"/>
      <c r="L115" s="1"/>
    </row>
    <row r="116" spans="3:12" x14ac:dyDescent="0.25">
      <c r="C116" s="1" t="s">
        <v>9</v>
      </c>
      <c r="D116" s="1">
        <v>333.48112948959988</v>
      </c>
      <c r="E116" s="1">
        <v>2664.0402671600004</v>
      </c>
      <c r="F116" s="1">
        <v>2431.1663455999992</v>
      </c>
      <c r="G116" s="1">
        <v>14033.299997799995</v>
      </c>
      <c r="H116" s="1">
        <v>95439.467372999949</v>
      </c>
      <c r="I116" s="1">
        <v>54156.065988999966</v>
      </c>
      <c r="J116" s="1">
        <v>9659.8501799999922</v>
      </c>
      <c r="K116" s="1"/>
      <c r="L116" s="1"/>
    </row>
    <row r="117" spans="3:12" x14ac:dyDescent="0.25">
      <c r="C117" s="1" t="s">
        <v>13</v>
      </c>
      <c r="D117" s="1">
        <v>418.08816286119981</v>
      </c>
      <c r="E117" s="1">
        <v>763.21304072000055</v>
      </c>
      <c r="F117" s="1">
        <v>441.33221983999937</v>
      </c>
      <c r="G117" s="1">
        <v>9171.0757490399956</v>
      </c>
      <c r="H117" s="1">
        <v>7798.8305367999947</v>
      </c>
      <c r="I117" s="1">
        <v>18213.271217000009</v>
      </c>
      <c r="J117" s="1">
        <v>45893.656399999985</v>
      </c>
      <c r="K117" s="1"/>
      <c r="L117" s="1"/>
    </row>
    <row r="118" spans="3:12" x14ac:dyDescent="0.25">
      <c r="C118" s="1" t="s">
        <v>14</v>
      </c>
      <c r="D118" s="1">
        <v>318.88811097440004</v>
      </c>
      <c r="E118" s="1">
        <v>263.93715989599986</v>
      </c>
      <c r="F118" s="1">
        <v>278.98429169639985</v>
      </c>
      <c r="G118" s="1">
        <v>1343.6120308000004</v>
      </c>
      <c r="H118" s="1">
        <v>1416.3849305999991</v>
      </c>
      <c r="I118" s="1">
        <v>4064.2240219599898</v>
      </c>
      <c r="J118" s="1">
        <v>11986.826227000063</v>
      </c>
      <c r="K118" s="1"/>
      <c r="L118" s="1"/>
    </row>
    <row r="119" spans="3:12" x14ac:dyDescent="0.25">
      <c r="E119" s="110"/>
    </row>
    <row r="120" spans="3:12" x14ac:dyDescent="0.25">
      <c r="C120" t="s">
        <v>15</v>
      </c>
      <c r="D120">
        <v>1.96</v>
      </c>
      <c r="E120" s="110">
        <v>50</v>
      </c>
    </row>
    <row r="121" spans="3:12" x14ac:dyDescent="0.25">
      <c r="C121" s="1">
        <v>50</v>
      </c>
      <c r="D121" s="2">
        <v>2</v>
      </c>
      <c r="E121" s="3">
        <v>4</v>
      </c>
      <c r="F121" s="2">
        <v>8</v>
      </c>
      <c r="G121" s="2">
        <v>16</v>
      </c>
      <c r="H121" s="2">
        <v>32</v>
      </c>
      <c r="I121" s="2">
        <v>64</v>
      </c>
      <c r="J121" s="2">
        <v>128</v>
      </c>
      <c r="K121" s="2">
        <v>256</v>
      </c>
      <c r="L121" s="2">
        <v>512</v>
      </c>
    </row>
    <row r="122" spans="3:12" x14ac:dyDescent="0.25">
      <c r="C122" s="1"/>
      <c r="D122" s="4">
        <v>42</v>
      </c>
      <c r="E122" s="4">
        <v>84</v>
      </c>
      <c r="F122" s="4">
        <v>168</v>
      </c>
      <c r="G122" s="4">
        <v>336</v>
      </c>
      <c r="H122" s="4">
        <v>672</v>
      </c>
      <c r="I122" s="4">
        <v>1344</v>
      </c>
      <c r="J122" s="4">
        <v>2688</v>
      </c>
      <c r="K122" s="4">
        <v>5376</v>
      </c>
      <c r="L122" s="4">
        <v>10752</v>
      </c>
    </row>
    <row r="123" spans="3:12" x14ac:dyDescent="0.25">
      <c r="C123" s="1" t="s">
        <v>1</v>
      </c>
      <c r="D123" s="1">
        <f>$D$120*SQRT(D94)/SQRT($E$120)</f>
        <v>43.682672344368591</v>
      </c>
      <c r="E123" s="1">
        <f t="shared" ref="E123:L123" si="50">$D$120*SQRT(E94)/SQRT($E$120)</f>
        <v>27.35773203866664</v>
      </c>
      <c r="F123" s="1">
        <f t="shared" si="50"/>
        <v>122.70437207479046</v>
      </c>
      <c r="G123" s="1">
        <f t="shared" si="50"/>
        <v>64.221370373654835</v>
      </c>
      <c r="H123" s="1">
        <f t="shared" si="50"/>
        <v>602.24393840214566</v>
      </c>
      <c r="I123" s="1">
        <f t="shared" si="50"/>
        <v>896.56469789478933</v>
      </c>
      <c r="J123" s="1">
        <f t="shared" si="50"/>
        <v>1720.2475639559848</v>
      </c>
      <c r="K123" s="1">
        <f t="shared" si="50"/>
        <v>0</v>
      </c>
      <c r="L123" s="1">
        <f t="shared" si="50"/>
        <v>0</v>
      </c>
    </row>
    <row r="124" spans="3:12" x14ac:dyDescent="0.25">
      <c r="C124" s="1" t="s">
        <v>25</v>
      </c>
      <c r="D124" s="1">
        <f t="shared" ref="D124:L139" si="51">$D$120*SQRT(D95)/SQRT($E$120)</f>
        <v>3.1436917809981133</v>
      </c>
      <c r="E124" s="1">
        <f t="shared" si="51"/>
        <v>1.7420549155578313</v>
      </c>
      <c r="F124" s="1">
        <f t="shared" si="51"/>
        <v>4.8089163791274281</v>
      </c>
      <c r="G124" s="1">
        <f t="shared" si="51"/>
        <v>9.5199301429324024</v>
      </c>
      <c r="H124" s="1">
        <f t="shared" si="51"/>
        <v>0</v>
      </c>
      <c r="I124" s="1">
        <f t="shared" si="51"/>
        <v>0</v>
      </c>
      <c r="J124" s="1">
        <f t="shared" si="51"/>
        <v>0</v>
      </c>
      <c r="K124" s="1">
        <f t="shared" si="51"/>
        <v>0</v>
      </c>
      <c r="L124" s="1">
        <f t="shared" si="51"/>
        <v>0</v>
      </c>
    </row>
    <row r="125" spans="3:12" x14ac:dyDescent="0.25">
      <c r="C125" s="1" t="s">
        <v>26</v>
      </c>
      <c r="D125" s="1">
        <f t="shared" si="51"/>
        <v>4.3391084753263245</v>
      </c>
      <c r="E125" s="1">
        <f t="shared" si="51"/>
        <v>1.1975432928306264</v>
      </c>
      <c r="F125" s="1">
        <f t="shared" si="51"/>
        <v>1.7665797211398104</v>
      </c>
      <c r="G125" s="1">
        <f t="shared" si="51"/>
        <v>2.8318373255070668</v>
      </c>
      <c r="H125" s="1">
        <f t="shared" si="51"/>
        <v>6.8748363347393715</v>
      </c>
      <c r="I125" s="1">
        <f t="shared" si="51"/>
        <v>9.607763660459554</v>
      </c>
      <c r="J125" s="1">
        <f t="shared" si="51"/>
        <v>14.291781452168365</v>
      </c>
      <c r="K125" s="1">
        <f t="shared" si="51"/>
        <v>0</v>
      </c>
      <c r="L125" s="1">
        <f t="shared" si="51"/>
        <v>0</v>
      </c>
    </row>
    <row r="126" spans="3:12" x14ac:dyDescent="0.25">
      <c r="C126" s="1" t="s">
        <v>27</v>
      </c>
      <c r="D126" s="1">
        <f t="shared" si="51"/>
        <v>1.7019926476520906</v>
      </c>
      <c r="E126" s="1">
        <f t="shared" si="51"/>
        <v>1.5577241816051497</v>
      </c>
      <c r="F126" s="1">
        <f t="shared" si="51"/>
        <v>1.0704557611813772</v>
      </c>
      <c r="G126" s="1">
        <f t="shared" si="51"/>
        <v>1.2930935556514085</v>
      </c>
      <c r="H126" s="1">
        <f t="shared" si="51"/>
        <v>2.6245433050437343</v>
      </c>
      <c r="I126" s="1">
        <f t="shared" si="51"/>
        <v>1.8326765017101661</v>
      </c>
      <c r="J126" s="1">
        <f t="shared" si="51"/>
        <v>1.8295355194933789</v>
      </c>
      <c r="K126" s="1">
        <f t="shared" si="51"/>
        <v>0</v>
      </c>
      <c r="L126" s="1">
        <f t="shared" si="51"/>
        <v>0</v>
      </c>
    </row>
    <row r="127" spans="3:12" x14ac:dyDescent="0.25">
      <c r="C127" s="1" t="s">
        <v>46</v>
      </c>
      <c r="D127" s="1">
        <f t="shared" si="51"/>
        <v>1.9304777179237778</v>
      </c>
      <c r="E127" s="1">
        <f t="shared" si="51"/>
        <v>1.7493738617818213</v>
      </c>
      <c r="F127" s="1">
        <f t="shared" si="51"/>
        <v>1.8294029303027641</v>
      </c>
      <c r="G127" s="1">
        <f t="shared" si="51"/>
        <v>4.2703331867877923</v>
      </c>
      <c r="H127" s="1">
        <f t="shared" si="51"/>
        <v>0</v>
      </c>
      <c r="I127" s="1">
        <f t="shared" si="51"/>
        <v>0</v>
      </c>
      <c r="J127" s="1">
        <f t="shared" si="51"/>
        <v>0</v>
      </c>
      <c r="K127" s="1">
        <f t="shared" si="51"/>
        <v>0</v>
      </c>
      <c r="L127" s="1">
        <f t="shared" si="51"/>
        <v>0</v>
      </c>
    </row>
    <row r="128" spans="3:12" x14ac:dyDescent="0.25">
      <c r="C128" s="1" t="s">
        <v>29</v>
      </c>
      <c r="D128" s="1">
        <f t="shared" si="51"/>
        <v>2.2179359660100388</v>
      </c>
      <c r="E128" s="1">
        <f t="shared" si="51"/>
        <v>2.1250227388948546</v>
      </c>
      <c r="F128" s="1">
        <f t="shared" si="51"/>
        <v>2.4017593576800147</v>
      </c>
      <c r="G128" s="1">
        <f t="shared" si="51"/>
        <v>1.9905815658055355</v>
      </c>
      <c r="H128" s="1">
        <f t="shared" si="51"/>
        <v>4.6836671382009021</v>
      </c>
      <c r="I128" s="1">
        <f t="shared" si="51"/>
        <v>7.5255366803278889</v>
      </c>
      <c r="J128" s="1">
        <f t="shared" si="51"/>
        <v>16.551739838055926</v>
      </c>
      <c r="K128" s="1">
        <f t="shared" si="51"/>
        <v>0</v>
      </c>
      <c r="L128" s="1">
        <f t="shared" si="51"/>
        <v>0</v>
      </c>
    </row>
    <row r="129" spans="3:12" x14ac:dyDescent="0.25">
      <c r="C129" s="1" t="s">
        <v>30</v>
      </c>
      <c r="D129" s="1">
        <f t="shared" si="51"/>
        <v>0.80095715551464508</v>
      </c>
      <c r="E129" s="1">
        <f t="shared" si="51"/>
        <v>2.1159628317649335</v>
      </c>
      <c r="F129" s="1">
        <f t="shared" si="51"/>
        <v>1.1007042821641018</v>
      </c>
      <c r="G129" s="1">
        <f t="shared" si="51"/>
        <v>2.7991017045525148</v>
      </c>
      <c r="H129" s="1">
        <f t="shared" si="51"/>
        <v>1.6725361151018567</v>
      </c>
      <c r="I129" s="1">
        <f t="shared" si="51"/>
        <v>2.8075120512590637</v>
      </c>
      <c r="J129" s="1">
        <f t="shared" si="51"/>
        <v>1.4415904062166758</v>
      </c>
      <c r="K129" s="1">
        <f t="shared" si="51"/>
        <v>0</v>
      </c>
      <c r="L129" s="1">
        <f t="shared" si="51"/>
        <v>0</v>
      </c>
    </row>
    <row r="130" spans="3:12" x14ac:dyDescent="0.25">
      <c r="C130" s="1" t="s">
        <v>31</v>
      </c>
      <c r="D130" s="1">
        <f t="shared" si="51"/>
        <v>3.2249784799758276</v>
      </c>
      <c r="E130" s="1">
        <f t="shared" si="51"/>
        <v>3.990021304811048</v>
      </c>
      <c r="F130" s="1">
        <f t="shared" si="51"/>
        <v>3305.3641721330014</v>
      </c>
      <c r="G130" s="1">
        <f t="shared" si="51"/>
        <v>12.576143095816919</v>
      </c>
      <c r="H130" s="1">
        <f t="shared" si="51"/>
        <v>0.51195494202193004</v>
      </c>
      <c r="I130" s="1">
        <f t="shared" si="51"/>
        <v>0.53160192663546879</v>
      </c>
      <c r="J130" s="1">
        <f t="shared" si="51"/>
        <v>1.2317272107812072</v>
      </c>
      <c r="K130" s="1">
        <f t="shared" si="51"/>
        <v>0</v>
      </c>
      <c r="L130" s="1">
        <f t="shared" si="51"/>
        <v>0</v>
      </c>
    </row>
    <row r="131" spans="3:12" x14ac:dyDescent="0.25">
      <c r="C131" s="1" t="s">
        <v>32</v>
      </c>
      <c r="D131" s="1">
        <f t="shared" si="51"/>
        <v>3.7785795631607568</v>
      </c>
      <c r="E131" s="1">
        <f t="shared" si="51"/>
        <v>28.343953724006131</v>
      </c>
      <c r="F131" s="1">
        <f t="shared" si="51"/>
        <v>22.145325649227495</v>
      </c>
      <c r="G131" s="1">
        <f t="shared" si="51"/>
        <v>20.489491644255114</v>
      </c>
      <c r="H131" s="1">
        <f t="shared" si="51"/>
        <v>2910.3283830386858</v>
      </c>
      <c r="I131" s="1">
        <f t="shared" si="51"/>
        <v>514.77926639490829</v>
      </c>
      <c r="J131" s="1">
        <f t="shared" si="51"/>
        <v>1550.3576162813531</v>
      </c>
      <c r="K131" s="1">
        <f t="shared" si="51"/>
        <v>0</v>
      </c>
      <c r="L131" s="1">
        <f t="shared" si="51"/>
        <v>0</v>
      </c>
    </row>
    <row r="132" spans="3:12" x14ac:dyDescent="0.25">
      <c r="C132" s="1" t="s">
        <v>33</v>
      </c>
      <c r="D132" s="1">
        <f t="shared" si="51"/>
        <v>0.37714022362405331</v>
      </c>
      <c r="E132" s="1">
        <f t="shared" si="51"/>
        <v>0.52950291478705647</v>
      </c>
      <c r="F132" s="1">
        <f t="shared" si="51"/>
        <v>1.1299250087054227</v>
      </c>
      <c r="G132" s="1">
        <f t="shared" si="51"/>
        <v>9.6771051316739527</v>
      </c>
      <c r="H132" s="1">
        <f t="shared" si="51"/>
        <v>9.4727663888466207</v>
      </c>
      <c r="I132" s="1">
        <f t="shared" si="51"/>
        <v>9.3775613513892111</v>
      </c>
      <c r="J132" s="1">
        <f t="shared" si="51"/>
        <v>36.576135374843069</v>
      </c>
      <c r="K132" s="1">
        <f t="shared" si="51"/>
        <v>0</v>
      </c>
      <c r="L132" s="1">
        <f t="shared" si="51"/>
        <v>0</v>
      </c>
    </row>
    <row r="133" spans="3:12" x14ac:dyDescent="0.25">
      <c r="C133" s="1" t="s">
        <v>34</v>
      </c>
      <c r="D133" s="1">
        <f t="shared" si="51"/>
        <v>2.4536515146192355</v>
      </c>
      <c r="E133" s="1">
        <f t="shared" si="51"/>
        <v>2.084523274842919</v>
      </c>
      <c r="F133" s="1">
        <f t="shared" si="51"/>
        <v>3.6908071935851847</v>
      </c>
      <c r="G133" s="1">
        <f t="shared" si="51"/>
        <v>23.371685532305925</v>
      </c>
      <c r="H133" s="1">
        <f t="shared" si="51"/>
        <v>0</v>
      </c>
      <c r="I133" s="1">
        <f t="shared" si="51"/>
        <v>0</v>
      </c>
      <c r="J133" s="1">
        <f t="shared" si="51"/>
        <v>0</v>
      </c>
      <c r="K133" s="1">
        <f t="shared" si="51"/>
        <v>0</v>
      </c>
      <c r="L133" s="1">
        <f t="shared" si="51"/>
        <v>0</v>
      </c>
    </row>
    <row r="134" spans="3:12" x14ac:dyDescent="0.25">
      <c r="C134" s="1" t="s">
        <v>35</v>
      </c>
      <c r="D134" s="1">
        <f t="shared" si="51"/>
        <v>1.1784275918803611</v>
      </c>
      <c r="E134" s="1">
        <f t="shared" si="51"/>
        <v>2.1005513004814151</v>
      </c>
      <c r="F134" s="1">
        <f t="shared" si="51"/>
        <v>2.8342024582158549</v>
      </c>
      <c r="G134" s="1">
        <f t="shared" si="51"/>
        <v>8.8866017040939216</v>
      </c>
      <c r="H134" s="1">
        <f t="shared" si="51"/>
        <v>3.184954854306504</v>
      </c>
      <c r="I134" s="1">
        <f t="shared" si="51"/>
        <v>1.682706753968972</v>
      </c>
      <c r="J134" s="1">
        <f t="shared" si="51"/>
        <v>0</v>
      </c>
      <c r="K134" s="1">
        <f t="shared" si="51"/>
        <v>0</v>
      </c>
      <c r="L134" s="1">
        <f t="shared" si="51"/>
        <v>0</v>
      </c>
    </row>
    <row r="135" spans="3:12" x14ac:dyDescent="0.25">
      <c r="C135" s="1" t="s">
        <v>36</v>
      </c>
      <c r="D135" s="1">
        <f t="shared" si="51"/>
        <v>1.1042227343616597</v>
      </c>
      <c r="E135" s="1">
        <f t="shared" si="51"/>
        <v>1.6299666876451211</v>
      </c>
      <c r="F135" s="1">
        <f t="shared" si="51"/>
        <v>1.2475142595302051</v>
      </c>
      <c r="G135" s="1">
        <f t="shared" si="51"/>
        <v>18.428684165349658</v>
      </c>
      <c r="H135" s="1">
        <f t="shared" si="51"/>
        <v>32.629482070149685</v>
      </c>
      <c r="I135" s="1">
        <f t="shared" si="51"/>
        <v>1.9017318267783656</v>
      </c>
      <c r="J135" s="1">
        <f t="shared" si="51"/>
        <v>0</v>
      </c>
      <c r="K135" s="1">
        <f t="shared" si="51"/>
        <v>0</v>
      </c>
      <c r="L135" s="1">
        <f t="shared" si="51"/>
        <v>0</v>
      </c>
    </row>
    <row r="136" spans="3:12" x14ac:dyDescent="0.25">
      <c r="C136" s="1" t="s">
        <v>38</v>
      </c>
      <c r="D136" s="1">
        <f t="shared" si="51"/>
        <v>2.4872010937544</v>
      </c>
      <c r="E136" s="1">
        <f t="shared" si="51"/>
        <v>1.693616994376036</v>
      </c>
      <c r="F136" s="1">
        <f t="shared" si="51"/>
        <v>3.5858983179378456</v>
      </c>
      <c r="G136" s="1">
        <f t="shared" si="51"/>
        <v>13.350266470630219</v>
      </c>
      <c r="H136" s="1">
        <f t="shared" si="51"/>
        <v>0</v>
      </c>
      <c r="I136" s="1">
        <f t="shared" si="51"/>
        <v>0</v>
      </c>
      <c r="J136" s="1">
        <f t="shared" si="51"/>
        <v>0</v>
      </c>
      <c r="K136" s="1">
        <f t="shared" si="51"/>
        <v>0</v>
      </c>
      <c r="L136" s="1">
        <f t="shared" si="51"/>
        <v>0</v>
      </c>
    </row>
    <row r="137" spans="3:12" x14ac:dyDescent="0.25">
      <c r="C137" s="1" t="s">
        <v>39</v>
      </c>
      <c r="D137" s="1">
        <f t="shared" si="51"/>
        <v>1.4436991775005545</v>
      </c>
      <c r="E137" s="1">
        <f t="shared" si="51"/>
        <v>2.2622242462593154</v>
      </c>
      <c r="F137" s="1">
        <f t="shared" si="51"/>
        <v>4.707501722641287</v>
      </c>
      <c r="G137" s="1">
        <f t="shared" si="51"/>
        <v>8.5629492281436406</v>
      </c>
      <c r="H137" s="1">
        <f t="shared" si="51"/>
        <v>1.697701699074748</v>
      </c>
      <c r="I137" s="1">
        <f t="shared" si="51"/>
        <v>1.8034724944020155</v>
      </c>
      <c r="J137" s="1">
        <f t="shared" si="51"/>
        <v>0</v>
      </c>
      <c r="K137" s="1">
        <f t="shared" si="51"/>
        <v>0</v>
      </c>
      <c r="L137" s="1">
        <f t="shared" si="51"/>
        <v>0</v>
      </c>
    </row>
    <row r="138" spans="3:12" x14ac:dyDescent="0.25">
      <c r="C138" s="1" t="s">
        <v>40</v>
      </c>
      <c r="D138" s="1">
        <f t="shared" si="51"/>
        <v>1.4716388983839472</v>
      </c>
      <c r="E138" s="1">
        <f t="shared" si="51"/>
        <v>1.7685146447763471</v>
      </c>
      <c r="F138" s="1">
        <f t="shared" si="51"/>
        <v>3.0455200324908973</v>
      </c>
      <c r="G138" s="1">
        <f t="shared" si="51"/>
        <v>4.9298495597021326</v>
      </c>
      <c r="H138" s="1">
        <f t="shared" si="51"/>
        <v>2.4160265974112072</v>
      </c>
      <c r="I138" s="1">
        <f t="shared" si="51"/>
        <v>2.2957353296602299</v>
      </c>
      <c r="J138" s="1">
        <f t="shared" si="51"/>
        <v>0</v>
      </c>
      <c r="K138" s="1">
        <f t="shared" si="51"/>
        <v>0</v>
      </c>
      <c r="L138" s="1">
        <f t="shared" si="51"/>
        <v>0</v>
      </c>
    </row>
    <row r="139" spans="3:12" x14ac:dyDescent="0.25">
      <c r="C139" s="1" t="s">
        <v>41</v>
      </c>
      <c r="D139" s="1">
        <f t="shared" si="51"/>
        <v>4.1910691351884362</v>
      </c>
      <c r="E139" s="1">
        <f t="shared" si="51"/>
        <v>2.0912837217863336</v>
      </c>
      <c r="F139" s="1">
        <f t="shared" si="51"/>
        <v>2.8641470436732797</v>
      </c>
      <c r="G139" s="1">
        <f t="shared" si="51"/>
        <v>3.7961981820856479</v>
      </c>
      <c r="H139" s="1">
        <f t="shared" si="51"/>
        <v>4.1353192868900441</v>
      </c>
      <c r="I139" s="1">
        <f t="shared" si="51"/>
        <v>4.7402398333116551</v>
      </c>
      <c r="J139" s="1">
        <f t="shared" si="51"/>
        <v>5.1769898705004396</v>
      </c>
      <c r="K139" s="1">
        <f t="shared" si="51"/>
        <v>0</v>
      </c>
      <c r="L139" s="1">
        <f t="shared" si="51"/>
        <v>0</v>
      </c>
    </row>
    <row r="140" spans="3:12" x14ac:dyDescent="0.25">
      <c r="C140" s="1" t="s">
        <v>43</v>
      </c>
      <c r="D140" s="1">
        <f t="shared" ref="D140:L147" si="52">$D$120*SQRT(D111)/SQRT($E$120)</f>
        <v>2.4177516829143699</v>
      </c>
      <c r="E140" s="1">
        <f t="shared" si="52"/>
        <v>1.8575607109395107</v>
      </c>
      <c r="F140" s="1">
        <f t="shared" si="52"/>
        <v>1.5853080783867857</v>
      </c>
      <c r="G140" s="1">
        <f t="shared" si="52"/>
        <v>1.7320329046995391</v>
      </c>
      <c r="H140" s="1">
        <f t="shared" si="52"/>
        <v>1.6868599868470415</v>
      </c>
      <c r="I140" s="1">
        <f t="shared" si="52"/>
        <v>2.2036157162763419</v>
      </c>
      <c r="J140" s="1">
        <f t="shared" si="52"/>
        <v>1.8685637770480044</v>
      </c>
      <c r="K140" s="1">
        <f t="shared" si="52"/>
        <v>0</v>
      </c>
      <c r="L140" s="1">
        <f t="shared" si="52"/>
        <v>0</v>
      </c>
    </row>
    <row r="141" spans="3:12" x14ac:dyDescent="0.25">
      <c r="C141" s="1" t="s">
        <v>8</v>
      </c>
      <c r="D141" s="1">
        <f t="shared" si="52"/>
        <v>7.0890486286715158</v>
      </c>
      <c r="E141" s="1">
        <f t="shared" si="52"/>
        <v>3.8107374351455077</v>
      </c>
      <c r="F141" s="1">
        <f t="shared" si="52"/>
        <v>5.6173507150907209</v>
      </c>
      <c r="G141" s="1">
        <f t="shared" si="52"/>
        <v>3.8463129534261933</v>
      </c>
      <c r="H141" s="1">
        <f t="shared" si="52"/>
        <v>9.1827441243417383</v>
      </c>
      <c r="I141" s="1">
        <f t="shared" si="52"/>
        <v>11.419118442663214</v>
      </c>
      <c r="J141" s="1">
        <f t="shared" si="52"/>
        <v>14.883429081465374</v>
      </c>
      <c r="K141" s="1">
        <f t="shared" si="52"/>
        <v>0</v>
      </c>
      <c r="L141" s="1">
        <f t="shared" si="52"/>
        <v>0</v>
      </c>
    </row>
    <row r="142" spans="3:12" x14ac:dyDescent="0.25">
      <c r="C142" s="1" t="s">
        <v>37</v>
      </c>
      <c r="D142" s="1">
        <f t="shared" si="52"/>
        <v>5.074953269476933</v>
      </c>
      <c r="E142" s="1">
        <f t="shared" si="52"/>
        <v>4.0900866601338093</v>
      </c>
      <c r="F142" s="1">
        <f t="shared" si="52"/>
        <v>5.6860418126058221</v>
      </c>
      <c r="G142" s="1">
        <f t="shared" si="52"/>
        <v>6.9054382929467977</v>
      </c>
      <c r="H142" s="1">
        <f t="shared" si="52"/>
        <v>8.9881574268157092</v>
      </c>
      <c r="I142" s="1">
        <f t="shared" si="52"/>
        <v>8.5641290643987915</v>
      </c>
      <c r="J142" s="1">
        <f t="shared" si="52"/>
        <v>22.837096936558996</v>
      </c>
      <c r="K142" s="1">
        <f t="shared" si="52"/>
        <v>0</v>
      </c>
      <c r="L142" s="1">
        <f t="shared" si="52"/>
        <v>0</v>
      </c>
    </row>
    <row r="143" spans="3:12" x14ac:dyDescent="0.25">
      <c r="C143" s="1" t="s">
        <v>42</v>
      </c>
      <c r="D143" s="1">
        <f t="shared" si="52"/>
        <v>5.074953269476933</v>
      </c>
      <c r="E143" s="1">
        <f t="shared" si="52"/>
        <v>4.0900866601338093</v>
      </c>
      <c r="F143" s="1">
        <f t="shared" si="52"/>
        <v>5.6860418126058221</v>
      </c>
      <c r="G143" s="1">
        <f t="shared" si="52"/>
        <v>6.9054382929467977</v>
      </c>
      <c r="H143" s="1">
        <f t="shared" si="52"/>
        <v>8.9881574268157092</v>
      </c>
      <c r="I143" s="1">
        <f t="shared" si="52"/>
        <v>8.5641290643987915</v>
      </c>
      <c r="J143" s="1">
        <f t="shared" si="52"/>
        <v>22.837096936558996</v>
      </c>
      <c r="K143" s="1">
        <f t="shared" si="52"/>
        <v>0</v>
      </c>
      <c r="L143" s="1">
        <f t="shared" si="52"/>
        <v>0</v>
      </c>
    </row>
    <row r="144" spans="3:12" x14ac:dyDescent="0.25">
      <c r="C144" s="1" t="s">
        <v>10</v>
      </c>
      <c r="D144" s="1" t="e">
        <f t="shared" si="52"/>
        <v>#DIV/0!</v>
      </c>
      <c r="E144" s="1">
        <f t="shared" si="52"/>
        <v>4.6466053398020017</v>
      </c>
      <c r="F144" s="1">
        <f t="shared" si="52"/>
        <v>34.114769934513241</v>
      </c>
      <c r="G144" s="1">
        <f t="shared" si="52"/>
        <v>7.1716287703000345</v>
      </c>
      <c r="H144" s="1">
        <f t="shared" si="52"/>
        <v>17.816866369966455</v>
      </c>
      <c r="I144" s="1">
        <f t="shared" si="52"/>
        <v>13.797766036799999</v>
      </c>
      <c r="J144" s="1">
        <f t="shared" si="52"/>
        <v>18.083846537297092</v>
      </c>
      <c r="K144" s="1">
        <f t="shared" si="52"/>
        <v>0</v>
      </c>
      <c r="L144" s="1">
        <f t="shared" si="52"/>
        <v>0</v>
      </c>
    </row>
    <row r="145" spans="3:12" x14ac:dyDescent="0.25">
      <c r="C145" s="1" t="s">
        <v>9</v>
      </c>
      <c r="D145" s="1">
        <f t="shared" si="52"/>
        <v>5.061820042331111</v>
      </c>
      <c r="E145" s="1">
        <f t="shared" si="52"/>
        <v>14.306765595564819</v>
      </c>
      <c r="F145" s="1">
        <f t="shared" si="52"/>
        <v>13.667164031544333</v>
      </c>
      <c r="G145" s="1">
        <f t="shared" si="52"/>
        <v>32.836054961443971</v>
      </c>
      <c r="H145" s="1">
        <f t="shared" si="52"/>
        <v>85.631799918034716</v>
      </c>
      <c r="I145" s="1">
        <f t="shared" si="52"/>
        <v>64.505184768876092</v>
      </c>
      <c r="J145" s="1">
        <f t="shared" si="52"/>
        <v>27.243083691641065</v>
      </c>
      <c r="K145" s="1">
        <f t="shared" si="52"/>
        <v>0</v>
      </c>
      <c r="L145" s="1">
        <f t="shared" si="52"/>
        <v>0</v>
      </c>
    </row>
    <row r="146" spans="3:12" x14ac:dyDescent="0.25">
      <c r="C146" s="1" t="s">
        <v>13</v>
      </c>
      <c r="D146" s="1">
        <f t="shared" si="52"/>
        <v>5.6676758666098488</v>
      </c>
      <c r="E146" s="1">
        <f t="shared" si="52"/>
        <v>7.657622630072539</v>
      </c>
      <c r="F146" s="1">
        <f t="shared" si="52"/>
        <v>5.8230951490377372</v>
      </c>
      <c r="G146" s="1">
        <f t="shared" si="52"/>
        <v>26.544907081213164</v>
      </c>
      <c r="H146" s="1">
        <f t="shared" si="52"/>
        <v>24.478556897893654</v>
      </c>
      <c r="I146" s="1">
        <f t="shared" si="52"/>
        <v>37.408047986289588</v>
      </c>
      <c r="J146" s="1">
        <f t="shared" si="52"/>
        <v>59.380985243803408</v>
      </c>
      <c r="K146" s="1">
        <f t="shared" si="52"/>
        <v>0</v>
      </c>
      <c r="L146" s="1">
        <f t="shared" si="52"/>
        <v>0</v>
      </c>
    </row>
    <row r="147" spans="3:12" x14ac:dyDescent="0.25">
      <c r="C147" s="1" t="s">
        <v>14</v>
      </c>
      <c r="D147" s="1">
        <f t="shared" si="52"/>
        <v>4.9498294255847952</v>
      </c>
      <c r="E147" s="1">
        <f t="shared" si="52"/>
        <v>4.5032010691428672</v>
      </c>
      <c r="F147" s="1">
        <f t="shared" si="52"/>
        <v>4.6297862909229179</v>
      </c>
      <c r="G147" s="1">
        <f t="shared" si="52"/>
        <v>10.160334618034272</v>
      </c>
      <c r="H147" s="1">
        <f t="shared" si="52"/>
        <v>10.431859229679967</v>
      </c>
      <c r="I147" s="1">
        <f t="shared" si="52"/>
        <v>17.670949608191119</v>
      </c>
      <c r="J147" s="1">
        <f t="shared" si="52"/>
        <v>30.347517734946113</v>
      </c>
      <c r="K147" s="1">
        <f t="shared" si="52"/>
        <v>0</v>
      </c>
      <c r="L147" s="1">
        <f t="shared" si="52"/>
        <v>0</v>
      </c>
    </row>
    <row r="148" spans="3:12" x14ac:dyDescent="0.25">
      <c r="C148" t="s">
        <v>3</v>
      </c>
    </row>
    <row r="149" spans="3:12" x14ac:dyDescent="0.25">
      <c r="C149" s="1">
        <v>50</v>
      </c>
      <c r="D149" s="2">
        <v>2</v>
      </c>
      <c r="E149" s="3">
        <v>4</v>
      </c>
      <c r="F149" s="2">
        <v>8</v>
      </c>
      <c r="G149" s="2">
        <v>16</v>
      </c>
      <c r="H149" s="2">
        <v>32</v>
      </c>
      <c r="I149" s="2">
        <v>64</v>
      </c>
      <c r="J149" s="2">
        <v>128</v>
      </c>
      <c r="K149" s="2">
        <v>256</v>
      </c>
      <c r="L149" s="2">
        <v>512</v>
      </c>
    </row>
    <row r="150" spans="3:12" x14ac:dyDescent="0.25">
      <c r="C150" s="1"/>
      <c r="D150" s="4">
        <v>42</v>
      </c>
      <c r="E150" s="4">
        <v>84</v>
      </c>
      <c r="F150" s="4">
        <v>168</v>
      </c>
      <c r="G150" s="4">
        <v>336</v>
      </c>
      <c r="H150" s="4">
        <v>672</v>
      </c>
      <c r="I150" s="4">
        <v>1344</v>
      </c>
      <c r="J150" s="4">
        <v>2688</v>
      </c>
      <c r="K150" s="4">
        <v>5376</v>
      </c>
      <c r="L150" s="4">
        <v>10752</v>
      </c>
    </row>
    <row r="151" spans="3:12" x14ac:dyDescent="0.25">
      <c r="C151" s="1" t="s">
        <v>1</v>
      </c>
      <c r="D151" s="1">
        <v>11498.250379839999</v>
      </c>
      <c r="E151" s="1">
        <v>3877.8759590000013</v>
      </c>
      <c r="F151" s="1">
        <v>125074.76213000012</v>
      </c>
      <c r="G151" s="1">
        <v>30221.512466000062</v>
      </c>
      <c r="H151" s="1">
        <v>3420283.9930760013</v>
      </c>
      <c r="I151" s="1">
        <v>7818631.1302189985</v>
      </c>
      <c r="J151" s="1">
        <v>23987376.536843002</v>
      </c>
      <c r="K151" s="1"/>
      <c r="L151" s="1"/>
    </row>
    <row r="152" spans="3:12" x14ac:dyDescent="0.25">
      <c r="C152" s="1" t="s">
        <v>2</v>
      </c>
      <c r="D152" s="1">
        <v>225.48720875039999</v>
      </c>
      <c r="E152" s="1">
        <v>220.00809575999997</v>
      </c>
      <c r="F152" s="1">
        <v>1291.1690270000011</v>
      </c>
      <c r="G152" s="1">
        <v>1399.912760760001</v>
      </c>
      <c r="H152" s="1">
        <v>47035.096712999992</v>
      </c>
      <c r="I152" s="1">
        <v>13616.932724999991</v>
      </c>
      <c r="J152" s="1">
        <v>53312.779519999967</v>
      </c>
      <c r="K152" s="1"/>
      <c r="L152" s="1"/>
    </row>
    <row r="153" spans="3:12" x14ac:dyDescent="0.25">
      <c r="C153" s="1" t="s">
        <v>4</v>
      </c>
      <c r="D153" s="1">
        <v>264.68739104040014</v>
      </c>
      <c r="E153" s="1">
        <v>94.542759560000093</v>
      </c>
      <c r="F153" s="1">
        <v>69.332745960000096</v>
      </c>
      <c r="G153" s="1">
        <v>1001.5821030000023</v>
      </c>
      <c r="H153" s="6">
        <v>3770.8218924399985</v>
      </c>
      <c r="I153" s="1">
        <v>8019.7253470000032</v>
      </c>
      <c r="J153" s="1">
        <v>12682.268723000012</v>
      </c>
      <c r="K153" s="1"/>
      <c r="L153" s="1"/>
    </row>
    <row r="154" spans="3:12" x14ac:dyDescent="0.25">
      <c r="C154" s="1" t="s">
        <v>5</v>
      </c>
      <c r="D154" s="1">
        <v>43.13454695999998</v>
      </c>
      <c r="E154" s="1">
        <v>195.46965504000002</v>
      </c>
      <c r="F154" s="1">
        <v>268.65356875999976</v>
      </c>
      <c r="G154" s="1">
        <v>1479.7701079999999</v>
      </c>
      <c r="H154" s="1">
        <v>38475.371345840009</v>
      </c>
      <c r="I154" s="1">
        <v>23028.420931999972</v>
      </c>
      <c r="J154" s="1">
        <v>934054.5533029997</v>
      </c>
      <c r="K154" s="1"/>
      <c r="L154" s="1"/>
    </row>
    <row r="155" spans="3:12" x14ac:dyDescent="0.25">
      <c r="C155" s="1" t="s">
        <v>6</v>
      </c>
      <c r="D155" s="1"/>
      <c r="E155" s="1">
        <v>105.75440724000026</v>
      </c>
      <c r="F155" s="1">
        <v>377.37004655999954</v>
      </c>
      <c r="G155" s="1">
        <v>1034.4078822399988</v>
      </c>
      <c r="H155" s="1">
        <v>7591.8979848399968</v>
      </c>
      <c r="I155" s="1">
        <v>16718.369272</v>
      </c>
      <c r="J155" s="1">
        <v>1830133.7665100002</v>
      </c>
      <c r="K155" s="1"/>
      <c r="L155" s="1"/>
    </row>
    <row r="156" spans="3:12" x14ac:dyDescent="0.25">
      <c r="C156" s="1" t="s">
        <v>7</v>
      </c>
      <c r="D156" s="1"/>
      <c r="E156" s="1">
        <v>108.81129863999995</v>
      </c>
      <c r="F156" s="1">
        <v>317.37807800000013</v>
      </c>
      <c r="G156" s="1">
        <v>730.14570300000014</v>
      </c>
      <c r="H156" s="1">
        <v>124595.321883</v>
      </c>
      <c r="I156" s="1">
        <v>18364.407593999997</v>
      </c>
      <c r="J156" s="1">
        <v>36667.404528999934</v>
      </c>
      <c r="K156" s="1"/>
      <c r="L156" s="1"/>
    </row>
    <row r="157" spans="3:12" x14ac:dyDescent="0.25">
      <c r="C157" s="1" t="s">
        <v>8</v>
      </c>
      <c r="D157" s="1">
        <v>420.80370355039997</v>
      </c>
      <c r="E157" s="1">
        <v>126.2758983199999</v>
      </c>
      <c r="F157" s="1">
        <v>292.73158036000007</v>
      </c>
      <c r="G157" s="1">
        <v>135.31768043999995</v>
      </c>
      <c r="H157" s="1">
        <v>802.54317864000041</v>
      </c>
      <c r="I157" s="1">
        <v>1230.8642815600022</v>
      </c>
      <c r="J157" s="1">
        <v>2102.3650550000152</v>
      </c>
      <c r="K157" s="1"/>
      <c r="L157" s="4"/>
    </row>
    <row r="158" spans="3:12" x14ac:dyDescent="0.25">
      <c r="C158" s="1" t="s">
        <v>9</v>
      </c>
      <c r="D158" s="1">
        <v>208.45225184960006</v>
      </c>
      <c r="E158" s="1">
        <v>1960.1624421599995</v>
      </c>
      <c r="F158" s="1">
        <v>1845.6397228400001</v>
      </c>
      <c r="G158" s="1">
        <v>10605.614858439998</v>
      </c>
      <c r="H158" s="1">
        <v>71265.123388999957</v>
      </c>
      <c r="I158" s="1">
        <v>40174.222804999998</v>
      </c>
      <c r="J158" s="1">
        <v>7111.6785799999552</v>
      </c>
      <c r="K158" s="1"/>
      <c r="L158" s="1"/>
    </row>
    <row r="159" spans="3:12" x14ac:dyDescent="0.25">
      <c r="C159" s="1" t="s">
        <v>10</v>
      </c>
      <c r="D159" s="1"/>
      <c r="E159" s="1">
        <v>190.33316709000019</v>
      </c>
      <c r="F159" s="1">
        <v>11445.27635701</v>
      </c>
      <c r="G159" s="1">
        <v>492.28101744000008</v>
      </c>
      <c r="H159" s="1">
        <v>3908.9473211600002</v>
      </c>
      <c r="I159" s="1">
        <v>1903.0849201599995</v>
      </c>
      <c r="J159" s="1">
        <v>3192.6897400000025</v>
      </c>
      <c r="K159" s="1"/>
      <c r="L159" s="1"/>
    </row>
    <row r="160" spans="3:12" x14ac:dyDescent="0.25">
      <c r="C160" s="1" t="s">
        <v>13</v>
      </c>
      <c r="D160" s="1">
        <v>440.01813035560019</v>
      </c>
      <c r="E160" s="1">
        <v>496.41035612000042</v>
      </c>
      <c r="F160" s="1">
        <v>2357.7924625200008</v>
      </c>
      <c r="G160" s="1">
        <v>1698.0247884</v>
      </c>
      <c r="H160" s="1">
        <v>39549.649068520004</v>
      </c>
      <c r="I160" s="1">
        <v>12301.854527</v>
      </c>
      <c r="J160" s="1">
        <v>25840.655780999972</v>
      </c>
      <c r="K160" s="1"/>
      <c r="L160" s="1"/>
    </row>
    <row r="161" spans="3:12" x14ac:dyDescent="0.25">
      <c r="C161" s="1" t="s">
        <v>14</v>
      </c>
      <c r="D161" s="1">
        <v>519.92839393000008</v>
      </c>
      <c r="E161" s="1">
        <v>124.15633335880011</v>
      </c>
      <c r="F161" s="1">
        <v>120.18483940000007</v>
      </c>
      <c r="G161" s="1">
        <v>519.07987212000035</v>
      </c>
      <c r="H161" s="1">
        <v>565.71814291999897</v>
      </c>
      <c r="I161" s="1">
        <v>783.29452640000591</v>
      </c>
      <c r="J161" s="1">
        <v>2996.5743080000125</v>
      </c>
      <c r="K161" s="1"/>
      <c r="L161" s="1"/>
    </row>
    <row r="162" spans="3:12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3:12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3:12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3:12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3:12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3:12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3:12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3:12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1" spans="3:12" x14ac:dyDescent="0.25">
      <c r="C171" t="s">
        <v>15</v>
      </c>
    </row>
    <row r="172" spans="3:12" x14ac:dyDescent="0.25">
      <c r="C172" s="1">
        <v>50</v>
      </c>
      <c r="D172" s="2">
        <v>2</v>
      </c>
      <c r="E172" s="3">
        <v>4</v>
      </c>
      <c r="F172" s="2">
        <v>8</v>
      </c>
      <c r="G172" s="2">
        <v>16</v>
      </c>
      <c r="H172" s="2">
        <v>32</v>
      </c>
      <c r="I172" s="2">
        <v>64</v>
      </c>
      <c r="J172" s="2">
        <v>128</v>
      </c>
      <c r="K172" s="2">
        <v>256</v>
      </c>
      <c r="L172" s="2">
        <v>512</v>
      </c>
    </row>
    <row r="173" spans="3:12" x14ac:dyDescent="0.25">
      <c r="C173" s="1"/>
      <c r="D173" s="4">
        <v>42</v>
      </c>
      <c r="E173" s="4">
        <v>84</v>
      </c>
      <c r="F173" s="4">
        <v>168</v>
      </c>
      <c r="G173" s="4">
        <v>336</v>
      </c>
      <c r="H173" s="4">
        <v>672</v>
      </c>
      <c r="I173" s="4">
        <v>1344</v>
      </c>
      <c r="J173" s="4">
        <v>2688</v>
      </c>
      <c r="K173" s="4">
        <v>5376</v>
      </c>
      <c r="L173" s="4">
        <v>10752</v>
      </c>
    </row>
    <row r="174" spans="3:12" x14ac:dyDescent="0.25">
      <c r="C174" s="1" t="s">
        <v>1</v>
      </c>
      <c r="D174" s="1">
        <v>29.72261047054694</v>
      </c>
      <c r="E174" s="1">
        <v>17.26108240180459</v>
      </c>
      <c r="F174" s="1">
        <v>98.029302374199148</v>
      </c>
      <c r="G174" s="1">
        <v>48.186919862009397</v>
      </c>
      <c r="H174" s="1">
        <v>512.62779846201795</v>
      </c>
      <c r="I174" s="1">
        <v>775.06197622963418</v>
      </c>
      <c r="J174" s="1">
        <v>1357.5706663296471</v>
      </c>
      <c r="K174" s="1"/>
      <c r="L174" s="1"/>
    </row>
    <row r="175" spans="3:12" x14ac:dyDescent="0.25">
      <c r="C175" s="1" t="s">
        <v>2</v>
      </c>
      <c r="D175" s="1">
        <v>4.1622870183002432</v>
      </c>
      <c r="E175" s="1">
        <v>4.1114063303731383</v>
      </c>
      <c r="F175" s="1">
        <v>9.9600752347793069</v>
      </c>
      <c r="G175" s="1">
        <v>10.371021995671997</v>
      </c>
      <c r="H175" s="1">
        <v>60.114894582401242</v>
      </c>
      <c r="I175" s="1">
        <v>32.345265111406945</v>
      </c>
      <c r="J175" s="1">
        <v>64.000995899131425</v>
      </c>
      <c r="K175" s="1"/>
      <c r="L175" s="1"/>
    </row>
    <row r="176" spans="3:12" x14ac:dyDescent="0.25">
      <c r="C176" s="1" t="s">
        <v>4</v>
      </c>
      <c r="D176" s="1">
        <v>4.5095966148222191</v>
      </c>
      <c r="E176" s="1">
        <v>2.695164058552638</v>
      </c>
      <c r="F176" s="1">
        <v>2.3080237298604032</v>
      </c>
      <c r="G176" s="1">
        <v>8.7723176035581485</v>
      </c>
      <c r="H176" s="6">
        <v>17.021157059376133</v>
      </c>
      <c r="I176" s="1">
        <v>24.822802780119414</v>
      </c>
      <c r="J176" s="1">
        <v>31.215446024773321</v>
      </c>
      <c r="K176" s="1"/>
      <c r="L176" s="1"/>
    </row>
    <row r="177" spans="3:12" x14ac:dyDescent="0.25">
      <c r="C177" s="1" t="s">
        <v>5</v>
      </c>
      <c r="D177" s="1">
        <v>1.8204706841997533</v>
      </c>
      <c r="E177" s="1">
        <v>3.8753483115757841</v>
      </c>
      <c r="F177" s="1">
        <v>4.5432577513242967</v>
      </c>
      <c r="G177" s="1">
        <v>10.662724648881072</v>
      </c>
      <c r="H177" s="1">
        <v>54.370393885308381</v>
      </c>
      <c r="I177" s="1">
        <v>42.063281339517744</v>
      </c>
      <c r="J177" s="1">
        <v>267.89042431445</v>
      </c>
      <c r="K177" s="1"/>
      <c r="L177" s="1"/>
    </row>
    <row r="178" spans="3:12" x14ac:dyDescent="0.25">
      <c r="C178" s="1" t="s">
        <v>6</v>
      </c>
      <c r="D178" s="1" t="e">
        <v>#DIV/0!</v>
      </c>
      <c r="E178" s="1">
        <v>2.8504951529626745</v>
      </c>
      <c r="F178" s="1">
        <v>5.3846165524852259</v>
      </c>
      <c r="G178" s="1">
        <v>8.914910342132643</v>
      </c>
      <c r="H178" s="1">
        <v>24.151619116970743</v>
      </c>
      <c r="I178" s="1">
        <v>35.840002063424933</v>
      </c>
      <c r="J178" s="1">
        <v>374.9837830473424</v>
      </c>
      <c r="K178" s="1"/>
      <c r="L178" s="1"/>
    </row>
    <row r="179" spans="3:12" x14ac:dyDescent="0.25">
      <c r="C179" s="1" t="s">
        <v>7</v>
      </c>
      <c r="D179" s="1" t="e">
        <v>#DIV/0!</v>
      </c>
      <c r="E179" s="1">
        <v>2.8913992628325262</v>
      </c>
      <c r="F179" s="1">
        <v>4.9380960388489825</v>
      </c>
      <c r="G179" s="1">
        <v>7.4898968386017177</v>
      </c>
      <c r="H179" s="1">
        <v>97.841237578613317</v>
      </c>
      <c r="I179" s="1">
        <v>37.562936044220613</v>
      </c>
      <c r="J179" s="1">
        <v>53.077584956101035</v>
      </c>
      <c r="K179" s="1"/>
      <c r="L179" s="1"/>
    </row>
    <row r="180" spans="3:12" x14ac:dyDescent="0.25">
      <c r="C180" s="1" t="s">
        <v>8</v>
      </c>
      <c r="D180" s="1">
        <v>5.686052246610501</v>
      </c>
      <c r="E180" s="1">
        <v>3.1148081513509354</v>
      </c>
      <c r="F180" s="1">
        <v>4.7424838199217421</v>
      </c>
      <c r="G180" s="1">
        <v>3.2243957610017526</v>
      </c>
      <c r="H180" s="1">
        <v>7.8524516872928611</v>
      </c>
      <c r="I180" s="1">
        <v>9.724698683291841</v>
      </c>
      <c r="J180" s="1">
        <v>12.709402499951016</v>
      </c>
      <c r="K180" s="1"/>
      <c r="L180" s="4"/>
    </row>
    <row r="181" spans="3:12" x14ac:dyDescent="0.25">
      <c r="C181" s="1" t="s">
        <v>9</v>
      </c>
      <c r="D181" s="1">
        <v>4.0019749392154456</v>
      </c>
      <c r="E181" s="1">
        <v>12.272049574379867</v>
      </c>
      <c r="F181" s="1">
        <v>11.908156498184045</v>
      </c>
      <c r="G181" s="1">
        <v>28.545588114517134</v>
      </c>
      <c r="H181" s="1">
        <v>73.996229364905091</v>
      </c>
      <c r="I181" s="1">
        <v>55.557770712599329</v>
      </c>
      <c r="J181" s="1">
        <v>23.375296546965053</v>
      </c>
      <c r="K181" s="1"/>
      <c r="L181" s="1"/>
    </row>
    <row r="182" spans="3:12" x14ac:dyDescent="0.25">
      <c r="C182" s="1" t="s">
        <v>10</v>
      </c>
      <c r="D182" s="1" t="e">
        <v>#DIV/0!</v>
      </c>
      <c r="E182" s="1">
        <v>3.8240917737233882</v>
      </c>
      <c r="F182" s="1">
        <v>29.654063348246094</v>
      </c>
      <c r="G182" s="1">
        <v>6.1500353764795603</v>
      </c>
      <c r="H182" s="1">
        <v>17.330096381133174</v>
      </c>
      <c r="I182" s="1">
        <v>12.09205609421876</v>
      </c>
      <c r="J182" s="1">
        <v>15.662079622568651</v>
      </c>
      <c r="K182" s="1"/>
      <c r="L182" s="1"/>
    </row>
    <row r="183" spans="3:12" x14ac:dyDescent="0.25">
      <c r="C183" s="1" t="s">
        <v>13</v>
      </c>
      <c r="D183" s="1">
        <v>6.7759496916081181</v>
      </c>
      <c r="E183" s="1">
        <v>5.3030470028717946</v>
      </c>
      <c r="F183" s="1">
        <v>11.448449321290999</v>
      </c>
      <c r="G183" s="1">
        <v>9.9073160886486065</v>
      </c>
      <c r="H183" s="1">
        <v>47.589094849248696</v>
      </c>
      <c r="I183" s="1">
        <v>26.542539305754751</v>
      </c>
      <c r="J183" s="1">
        <v>38.649261902017194</v>
      </c>
      <c r="K183" s="1"/>
      <c r="L183" s="1"/>
    </row>
    <row r="184" spans="3:12" x14ac:dyDescent="0.25">
      <c r="C184" s="1" t="s">
        <v>14</v>
      </c>
      <c r="D184" s="1">
        <v>3.0645100422637723</v>
      </c>
      <c r="E184" s="1">
        <v>2.5012898125890075</v>
      </c>
      <c r="F184" s="1">
        <v>2.5583655943675274</v>
      </c>
      <c r="G184" s="1">
        <v>5.4142275404447799</v>
      </c>
      <c r="H184" s="1">
        <v>5.7135497458029549</v>
      </c>
      <c r="I184" s="1">
        <v>6.595168617154946</v>
      </c>
      <c r="J184" s="1">
        <v>13.240136674683123</v>
      </c>
      <c r="K184" s="1"/>
      <c r="L184" s="1"/>
    </row>
    <row r="185" spans="3:12" x14ac:dyDescent="0.25">
      <c r="C185" s="1" t="s">
        <v>13</v>
      </c>
      <c r="D185" s="1">
        <v>4.822021590408907</v>
      </c>
      <c r="E185" s="1">
        <v>6.6055772942261104</v>
      </c>
      <c r="F185" s="1">
        <v>4.9373749248987409</v>
      </c>
      <c r="G185" s="1">
        <v>22.829334179952273</v>
      </c>
      <c r="H185" s="1">
        <v>21.074887966863425</v>
      </c>
      <c r="I185" s="1">
        <v>32.342838027933681</v>
      </c>
      <c r="J185" s="1">
        <v>51.325587462044368</v>
      </c>
      <c r="K185" s="1"/>
      <c r="L185" s="1"/>
    </row>
    <row r="186" spans="3:12" x14ac:dyDescent="0.25">
      <c r="C186" s="1" t="s">
        <v>14</v>
      </c>
      <c r="D186" s="1">
        <v>4.007557393972383</v>
      </c>
      <c r="E186" s="1">
        <v>3.7527546732872432</v>
      </c>
      <c r="F186" s="1">
        <v>3.7828465556686632</v>
      </c>
      <c r="G186" s="1">
        <v>8.4951962688598233</v>
      </c>
      <c r="H186" s="1">
        <v>8.8273881816313278</v>
      </c>
      <c r="I186" s="1">
        <v>14.981477921541332</v>
      </c>
      <c r="J186" s="1">
        <v>25.964481608382506</v>
      </c>
      <c r="K186" s="1"/>
      <c r="L186" s="1"/>
    </row>
    <row r="187" spans="3:12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3:12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3:12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3:12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3:12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3:12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</row>
  </sheetData>
  <conditionalFormatting sqref="D62:D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E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:F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:G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:H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:I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Q21" sqref="Q21"/>
    </sheetView>
  </sheetViews>
  <sheetFormatPr defaultRowHeight="15" x14ac:dyDescent="0.25"/>
  <cols>
    <col min="2" max="2" width="27" bestFit="1" customWidth="1"/>
    <col min="3" max="3" width="18.42578125" customWidth="1"/>
    <col min="15" max="15" width="18.42578125" customWidth="1"/>
    <col min="17" max="23" width="6.5703125" bestFit="1" customWidth="1"/>
  </cols>
  <sheetData>
    <row r="1" spans="1:23" x14ac:dyDescent="0.25">
      <c r="A1">
        <v>29</v>
      </c>
      <c r="B1">
        <v>120</v>
      </c>
      <c r="E1" s="7">
        <v>2</v>
      </c>
      <c r="F1" s="8">
        <v>4</v>
      </c>
      <c r="G1" s="7">
        <v>8</v>
      </c>
      <c r="H1" s="7">
        <v>16</v>
      </c>
      <c r="I1" s="7">
        <v>32</v>
      </c>
      <c r="J1" s="7">
        <v>64</v>
      </c>
      <c r="K1" s="7">
        <v>128</v>
      </c>
      <c r="Q1" s="7">
        <v>2</v>
      </c>
      <c r="R1" s="8">
        <v>4</v>
      </c>
      <c r="S1" s="7">
        <v>8</v>
      </c>
      <c r="T1" s="7">
        <v>16</v>
      </c>
      <c r="U1" s="7">
        <v>32</v>
      </c>
      <c r="V1" s="7">
        <v>64</v>
      </c>
      <c r="W1" s="7">
        <v>128</v>
      </c>
    </row>
    <row r="2" spans="1:23" x14ac:dyDescent="0.25">
      <c r="B2">
        <v>3060</v>
      </c>
      <c r="E2" s="16">
        <v>42</v>
      </c>
      <c r="F2" s="16">
        <v>84</v>
      </c>
      <c r="G2" s="16">
        <v>168</v>
      </c>
      <c r="H2" s="16">
        <v>336</v>
      </c>
      <c r="I2" s="16">
        <v>672</v>
      </c>
      <c r="J2" s="16">
        <v>1344</v>
      </c>
      <c r="K2" s="16">
        <v>2688</v>
      </c>
      <c r="Q2" s="16">
        <v>42</v>
      </c>
      <c r="R2" s="16">
        <v>84</v>
      </c>
      <c r="S2" s="16">
        <v>168</v>
      </c>
      <c r="T2" s="16">
        <v>336</v>
      </c>
      <c r="U2" s="16">
        <v>672</v>
      </c>
      <c r="V2" s="16">
        <v>1344</v>
      </c>
      <c r="W2" s="16">
        <v>2688</v>
      </c>
    </row>
    <row r="3" spans="1:23" ht="15" customHeight="1" x14ac:dyDescent="0.25">
      <c r="A3" s="19">
        <v>10</v>
      </c>
      <c r="B3" s="19" t="str">
        <f ca="1">OFFSET('1050LAPTOP'!$C$1,A3-1,0)</f>
        <v>CUDA opt_one_GPU</v>
      </c>
      <c r="C3" s="185" t="s">
        <v>107</v>
      </c>
      <c r="D3" s="20" t="s">
        <v>0</v>
      </c>
      <c r="E3" s="12">
        <f ca="1">OFFSET('3060LAPTOP'!D$1,$A3-1+$A$1,0)</f>
        <v>41.466723809523799</v>
      </c>
      <c r="F3" s="12">
        <f ca="1">OFFSET('3060LAPTOP'!E$1,$A3-1+$A$1,0)</f>
        <v>30.437957142857137</v>
      </c>
      <c r="G3" s="12">
        <f ca="1">OFFSET('3060LAPTOP'!F$1,$A3-1+$A$1,0)</f>
        <v>82.683039285714287</v>
      </c>
      <c r="H3" s="12">
        <f ca="1">OFFSET('3060LAPTOP'!G$1,$A3-1+$A$1,0)</f>
        <v>43.975630952380961</v>
      </c>
      <c r="I3" s="12">
        <f ca="1">OFFSET('3060LAPTOP'!H$1,$A3-1+$A$1,0)</f>
        <v>0</v>
      </c>
      <c r="J3" s="12">
        <f ca="1">OFFSET('3060LAPTOP'!I$1,$A3-1+$A$1,0)</f>
        <v>0</v>
      </c>
      <c r="K3" s="12">
        <f ca="1">OFFSET('3060LAPTOP'!J$1,$A3-1+$A$1,0)</f>
        <v>0</v>
      </c>
      <c r="O3" s="185" t="s">
        <v>107</v>
      </c>
      <c r="P3" s="4" t="s">
        <v>0</v>
      </c>
      <c r="Q3" s="12">
        <v>41.466723809523799</v>
      </c>
      <c r="R3" s="12">
        <v>30.437957142857137</v>
      </c>
      <c r="S3" s="12">
        <v>82.683039285714287</v>
      </c>
      <c r="T3" s="12">
        <v>43.975630952380961</v>
      </c>
      <c r="U3" s="12"/>
      <c r="V3" s="12"/>
      <c r="W3" s="12"/>
    </row>
    <row r="4" spans="1:23" x14ac:dyDescent="0.25">
      <c r="C4" s="186"/>
      <c r="D4" s="1" t="s">
        <v>16</v>
      </c>
      <c r="E4" s="12">
        <f ca="1">OFFSET('3060LAPTOP'!D$1,$A3-1+$B$1,0)</f>
        <v>3.2249784799758276</v>
      </c>
      <c r="F4" s="12">
        <f ca="1">OFFSET('3060LAPTOP'!E$1,$A3-1+$B$1,0)</f>
        <v>3.990021304811048</v>
      </c>
      <c r="G4" s="12">
        <f ca="1">OFFSET('3060LAPTOP'!F$1,$A3-1+$B$1,0)/G$2</f>
        <v>19.674786738886912</v>
      </c>
      <c r="H4" s="12">
        <f ca="1">OFFSET('3060LAPTOP'!G$1,$A3-1+$B$1,0)/H$2</f>
        <v>3.7428997308978924E-2</v>
      </c>
      <c r="I4" s="12">
        <f ca="1">OFFSET('3060LAPTOP'!H$1,$A3-1+$B$1,0)/I$2</f>
        <v>7.6183771134215783E-4</v>
      </c>
      <c r="J4" s="12">
        <f ca="1">OFFSET('3060LAPTOP'!I$1,$A3-1+$B$1,0)/J$2</f>
        <v>3.955371477942476E-4</v>
      </c>
      <c r="K4" s="12">
        <f ca="1">OFFSET('3060LAPTOP'!J$1,$A3-1+$B$1,0)/K$2</f>
        <v>4.58231849248961E-4</v>
      </c>
      <c r="O4" s="186"/>
      <c r="P4" s="1" t="s">
        <v>16</v>
      </c>
      <c r="Q4" s="12">
        <v>7.6785201904186376E-2</v>
      </c>
      <c r="R4" s="12">
        <v>4.750025362870295E-2</v>
      </c>
      <c r="S4" s="12">
        <v>19.674786738886912</v>
      </c>
      <c r="T4" s="12">
        <v>3.7428997308978924E-2</v>
      </c>
      <c r="U4" s="12"/>
      <c r="V4" s="12"/>
      <c r="W4" s="12"/>
    </row>
    <row r="5" spans="1:23" ht="15" customHeight="1" x14ac:dyDescent="0.25">
      <c r="A5">
        <v>11</v>
      </c>
      <c r="B5" t="str">
        <f ca="1">OFFSET('1050LAPTOP'!$C$1,A5-1,0)</f>
        <v>CUDA opt_one_GPU ant</v>
      </c>
      <c r="C5" s="185" t="s">
        <v>108</v>
      </c>
      <c r="D5" s="1" t="s">
        <v>0</v>
      </c>
      <c r="E5" s="12">
        <f ca="1">OFFSET('3060LAPTOP'!D$1,$A5-1+$A$1,0)</f>
        <v>472.58390476190488</v>
      </c>
      <c r="F5" s="12">
        <f ca="1">OFFSET('3060LAPTOP'!E$1,$A5-1+$A$1,0)</f>
        <v>473.07042857142852</v>
      </c>
      <c r="G5" s="12">
        <f ca="1">OFFSET('3060LAPTOP'!F$1,$A5-1+$A$1,0)</f>
        <v>477.17455952380959</v>
      </c>
      <c r="H5" s="12">
        <f ca="1">OFFSET('3060LAPTOP'!G$1,$A5-1+$A$1,0)</f>
        <v>479.2723809523809</v>
      </c>
      <c r="I5" s="12">
        <f ca="1">OFFSET('3060LAPTOP'!H$1,$A5-1+$A$1,0)</f>
        <v>483.32369047619051</v>
      </c>
      <c r="J5" s="12">
        <f ca="1">OFFSET('3060LAPTOP'!I$1,$A5-1+$A$1,0)</f>
        <v>481.38525297619049</v>
      </c>
      <c r="K5" s="12">
        <f ca="1">OFFSET('3060LAPTOP'!J$1,$A5-1+$A$1,0)</f>
        <v>479.35580357142851</v>
      </c>
      <c r="O5" s="185" t="s">
        <v>108</v>
      </c>
      <c r="P5" s="1" t="s">
        <v>0</v>
      </c>
      <c r="Q5" s="12">
        <v>472.58390476190488</v>
      </c>
      <c r="R5" s="12">
        <v>473.07042857142852</v>
      </c>
      <c r="S5" s="12">
        <v>477.17455952380959</v>
      </c>
      <c r="T5" s="12">
        <v>479.2723809523809</v>
      </c>
      <c r="U5" s="12">
        <v>483.32369047619051</v>
      </c>
      <c r="V5" s="12">
        <v>481.38525297619049</v>
      </c>
      <c r="W5" s="12">
        <v>479.35580357142851</v>
      </c>
    </row>
    <row r="6" spans="1:23" x14ac:dyDescent="0.25">
      <c r="C6" s="186"/>
      <c r="D6" s="1" t="s">
        <v>16</v>
      </c>
      <c r="E6" s="12">
        <f ca="1">OFFSET('3060LAPTOP'!D$1,$A5-1+$B$1,0)/E$2</f>
        <v>8.9966180075256114E-2</v>
      </c>
      <c r="F6" s="12">
        <f ca="1">OFFSET('3060LAPTOP'!E$1,$A5-1+$B$1,0)/F$2</f>
        <v>0.33742802052388249</v>
      </c>
      <c r="G6" s="12">
        <f ca="1">OFFSET('3060LAPTOP'!F$1,$A5-1+$B$1,0)/G$2</f>
        <v>0.13181741457873508</v>
      </c>
      <c r="H6" s="12">
        <f ca="1">OFFSET('3060LAPTOP'!G$1,$A5-1+$B$1,0)/H$2</f>
        <v>6.0980629893616412E-2</v>
      </c>
      <c r="I6" s="12">
        <f ca="1">OFFSET('3060LAPTOP'!H$1,$A5-1+$B$1,0)/I$2</f>
        <v>4.3308458080932821</v>
      </c>
      <c r="J6" s="12">
        <f ca="1">OFFSET('3060LAPTOP'!I$1,$A5-1+$B$1,0)/J$2</f>
        <v>0.38302028749621153</v>
      </c>
      <c r="K6" s="12">
        <f ca="1">OFFSET('3060LAPTOP'!J$1,$A5-1+$B$1,0)/K$2</f>
        <v>0.57676994653324143</v>
      </c>
      <c r="O6" s="186"/>
      <c r="P6" s="1" t="s">
        <v>16</v>
      </c>
      <c r="Q6" s="12">
        <v>8.9966180075256114E-2</v>
      </c>
      <c r="R6" s="12">
        <v>0.33742802052388249</v>
      </c>
      <c r="S6" s="12">
        <v>0.13181741457873508</v>
      </c>
      <c r="T6" s="12">
        <v>6.0980629893616412E-2</v>
      </c>
      <c r="U6" s="12">
        <v>4.3308458080932821</v>
      </c>
      <c r="V6" s="12">
        <v>0.38302028749621153</v>
      </c>
      <c r="W6" s="12">
        <v>0.57676994653324143</v>
      </c>
    </row>
    <row r="7" spans="1:23" ht="15" customHeight="1" x14ac:dyDescent="0.25">
      <c r="A7">
        <v>12</v>
      </c>
      <c r="B7" t="str">
        <f ca="1">OFFSET('1050LAPTOP'!$C$1,A7-1,0)</f>
        <v>CUDA opt_one_GPU ant local</v>
      </c>
      <c r="C7" s="185" t="s">
        <v>109</v>
      </c>
      <c r="D7" s="1" t="s">
        <v>0</v>
      </c>
      <c r="E7" s="12">
        <f ca="1">OFFSET('3060LAPTOP'!D$1,$A7-1+$A$1,0)</f>
        <v>25.062347619047621</v>
      </c>
      <c r="F7" s="12">
        <f ca="1">OFFSET('3060LAPTOP'!E$1,$A7-1+$A$1,0)</f>
        <v>24.627707142857151</v>
      </c>
      <c r="G7" s="12">
        <f ca="1">OFFSET('3060LAPTOP'!F$1,$A7-1+$A$1,0)</f>
        <v>25.143697619047618</v>
      </c>
      <c r="H7" s="12">
        <f ca="1">OFFSET('3060LAPTOP'!G$1,$A7-1+$A$1,0)</f>
        <v>25.036353571428577</v>
      </c>
      <c r="I7" s="12">
        <f ca="1">OFFSET('3060LAPTOP'!H$1,$A7-1+$A$1,0)</f>
        <v>25.834705357142859</v>
      </c>
      <c r="J7" s="12">
        <f ca="1">OFFSET('3060LAPTOP'!I$1,$A7-1+$A$1,0)</f>
        <v>25.314092261904769</v>
      </c>
      <c r="K7" s="12">
        <f ca="1">OFFSET('3060LAPTOP'!J$1,$A7-1+$A$1,0)</f>
        <v>33.96437127976192</v>
      </c>
      <c r="O7" s="185" t="s">
        <v>109</v>
      </c>
      <c r="P7" s="1" t="s">
        <v>0</v>
      </c>
      <c r="Q7" s="12">
        <v>25.062347619047621</v>
      </c>
      <c r="R7" s="12">
        <v>24.627707142857151</v>
      </c>
      <c r="S7" s="12">
        <v>25.143697619047618</v>
      </c>
      <c r="T7" s="12">
        <v>25.036353571428577</v>
      </c>
      <c r="U7" s="12">
        <v>25.834705357142859</v>
      </c>
      <c r="V7" s="12">
        <v>25.314092261904769</v>
      </c>
      <c r="W7" s="12">
        <v>33.96437127976192</v>
      </c>
    </row>
    <row r="8" spans="1:23" x14ac:dyDescent="0.25">
      <c r="C8" s="186"/>
      <c r="D8" s="1" t="s">
        <v>16</v>
      </c>
      <c r="E8" s="12">
        <f ca="1">OFFSET('3060LAPTOP'!D$1,$A7-1+$B$1,0)/E$2</f>
        <v>8.9795291339060303E-3</v>
      </c>
      <c r="F8" s="12">
        <f ca="1">OFFSET('3060LAPTOP'!E$1,$A7-1+$B$1,0)/F$2</f>
        <v>6.3036061284173391E-3</v>
      </c>
      <c r="G8" s="12">
        <f ca="1">OFFSET('3060LAPTOP'!F$1,$A7-1+$B$1,0)/G$2</f>
        <v>6.7257440994370398E-3</v>
      </c>
      <c r="H8" s="12">
        <f ca="1">OFFSET('3060LAPTOP'!G$1,$A7-1+$B$1,0)/H$2</f>
        <v>2.8800908129982001E-2</v>
      </c>
      <c r="I8" s="12">
        <f ca="1">OFFSET('3060LAPTOP'!H$1,$A7-1+$B$1,0)/I$2</f>
        <v>1.4096378554831281E-2</v>
      </c>
      <c r="J8" s="12">
        <f ca="1">OFFSET('3060LAPTOP'!I$1,$A7-1+$B$1,0)/J$2</f>
        <v>6.9773521959741154E-3</v>
      </c>
      <c r="K8" s="12">
        <f ca="1">OFFSET('3060LAPTOP'!J$1,$A7-1+$B$1,0)/K$2</f>
        <v>1.3607193219807689E-2</v>
      </c>
      <c r="O8" s="186"/>
      <c r="P8" s="1" t="s">
        <v>16</v>
      </c>
      <c r="Q8" s="12">
        <v>8.9795291339060303E-3</v>
      </c>
      <c r="R8" s="12">
        <v>6.3036061284173391E-3</v>
      </c>
      <c r="S8" s="12">
        <v>6.7257440994370398E-3</v>
      </c>
      <c r="T8" s="12">
        <v>2.8800908129982001E-2</v>
      </c>
      <c r="U8" s="12">
        <v>1.4096378554831281E-2</v>
      </c>
      <c r="V8" s="12">
        <v>6.9773521959741154E-3</v>
      </c>
      <c r="W8" s="12">
        <v>1.3607193219807689E-2</v>
      </c>
    </row>
    <row r="9" spans="1:23" ht="15" customHeight="1" x14ac:dyDescent="0.25">
      <c r="A9">
        <v>4</v>
      </c>
      <c r="B9" t="str">
        <f ca="1">OFFSET('1050LAPTOP'!$C$1,A9-1,0)</f>
        <v>CUDA Time</v>
      </c>
      <c r="C9" s="185" t="s">
        <v>111</v>
      </c>
      <c r="D9" s="1" t="s">
        <v>0</v>
      </c>
      <c r="E9" s="12">
        <f ca="1">OFFSET('3060LAPTOP'!D$1,$A9-1+$A$1,0)</f>
        <v>14.333989523809525</v>
      </c>
      <c r="F9" s="12">
        <f ca="1">OFFSET('3060LAPTOP'!E$1,$A9-1+$A$1,0)</f>
        <v>10.906300476190479</v>
      </c>
      <c r="G9" s="12">
        <f ca="1">OFFSET('3060LAPTOP'!F$1,$A9-1+$A$1,0)</f>
        <v>14.846705952380955</v>
      </c>
      <c r="H9" s="12">
        <f ca="1">OFFSET('3060LAPTOP'!G$1,$A9-1+$A$1,0)</f>
        <v>23.734932738095239</v>
      </c>
      <c r="I9" s="12">
        <f ca="1">OFFSET('3060LAPTOP'!H$1,$A9-1+$A$1,0)</f>
        <v>0</v>
      </c>
      <c r="J9" s="12">
        <f ca="1">OFFSET('3060LAPTOP'!I$1,$A9-1+$A$1,0)</f>
        <v>0</v>
      </c>
      <c r="K9" s="12">
        <f ca="1">OFFSET('3060LAPTOP'!J$1,$A9-1+$A$1,0)</f>
        <v>0</v>
      </c>
      <c r="O9" s="185" t="s">
        <v>111</v>
      </c>
      <c r="P9" s="1" t="s">
        <v>0</v>
      </c>
      <c r="Q9" s="12">
        <v>14.333989523809525</v>
      </c>
      <c r="R9" s="12">
        <v>10.906300476190479</v>
      </c>
      <c r="S9" s="12">
        <v>14.846705952380955</v>
      </c>
      <c r="T9" s="12">
        <v>23.734932738095239</v>
      </c>
      <c r="U9" s="12"/>
      <c r="V9" s="12"/>
      <c r="W9" s="12"/>
    </row>
    <row r="10" spans="1:23" x14ac:dyDescent="0.25">
      <c r="C10" s="186"/>
      <c r="D10" s="1" t="s">
        <v>16</v>
      </c>
      <c r="E10" s="12">
        <f ca="1">OFFSET('3060LAPTOP'!D$1,$A9-1+$B$1,0)/E$2</f>
        <v>7.4849804309478893E-2</v>
      </c>
      <c r="F10" s="12">
        <f ca="1">OFFSET('3060LAPTOP'!E$1,$A9-1+$B$1,0)/F$2</f>
        <v>2.0738748994736086E-2</v>
      </c>
      <c r="G10" s="12">
        <f ca="1">OFFSET('3060LAPTOP'!F$1,$A9-1+$B$1,0)/G$2</f>
        <v>2.8624502256710881E-2</v>
      </c>
      <c r="H10" s="12">
        <f ca="1">OFFSET('3060LAPTOP'!G$1,$A9-1+$B$1,0)/H$2</f>
        <v>2.8333125425394054E-2</v>
      </c>
      <c r="I10" s="12">
        <f ca="1">OFFSET('3060LAPTOP'!H$1,$A9-1+$B$1,0)/I$2</f>
        <v>0</v>
      </c>
      <c r="J10" s="12">
        <f ca="1">OFFSET('3060LAPTOP'!I$1,$A9-1+$B$1,0)/J$2</f>
        <v>0</v>
      </c>
      <c r="K10" s="12">
        <f ca="1">OFFSET('3060LAPTOP'!J$1,$A9-1+$B$1,0)/K$2</f>
        <v>0</v>
      </c>
      <c r="O10" s="186"/>
      <c r="P10" s="1" t="s">
        <v>16</v>
      </c>
      <c r="Q10" s="12">
        <v>7.4849804309478893E-2</v>
      </c>
      <c r="R10" s="12">
        <v>2.0738748994736086E-2</v>
      </c>
      <c r="S10" s="12">
        <v>2.8624502256710881E-2</v>
      </c>
      <c r="T10" s="12">
        <v>2.8333125425394054E-2</v>
      </c>
      <c r="U10" s="12"/>
      <c r="V10" s="12"/>
      <c r="W10" s="12"/>
    </row>
    <row r="11" spans="1:23" ht="15" customHeight="1" x14ac:dyDescent="0.25">
      <c r="A11">
        <v>6</v>
      </c>
      <c r="B11" t="str">
        <f ca="1">OFFSET('1050LAPTOP'!$C$1,A11-1,0)</f>
        <v>CUDA ant par</v>
      </c>
      <c r="C11" s="185" t="s">
        <v>113</v>
      </c>
      <c r="D11" s="1" t="s">
        <v>0</v>
      </c>
      <c r="E11" s="12">
        <f ca="1">OFFSET('3060LAPTOP'!D$1,$A11-1+$A$1,0)</f>
        <v>16.696030952380951</v>
      </c>
      <c r="F11" s="12">
        <f ca="1">OFFSET('3060LAPTOP'!E$1,$A11-1+$A$1,0)</f>
        <v>10.610096428571429</v>
      </c>
      <c r="G11" s="12">
        <f ca="1">OFFSET('3060LAPTOP'!F$1,$A11-1+$A$1,0)</f>
        <v>7.5459607142857141</v>
      </c>
      <c r="H11" s="12">
        <f ca="1">OFFSET('3060LAPTOP'!G$1,$A11-1+$A$1,0)</f>
        <v>6.1368136904761901</v>
      </c>
      <c r="I11" s="12">
        <f ca="1">OFFSET('3060LAPTOP'!H$1,$A11-1+$A$1,0)</f>
        <v>5.6038708333333336</v>
      </c>
      <c r="J11" s="12">
        <f ca="1">OFFSET('3060LAPTOP'!I$1,$A11-1+$A$1,0)</f>
        <v>5.3508409226190494</v>
      </c>
      <c r="K11" s="12">
        <f ca="1">OFFSET('3060LAPTOP'!J$1,$A11-1+$A$1,0)</f>
        <v>5.0695565476190483</v>
      </c>
      <c r="O11" s="185" t="s">
        <v>113</v>
      </c>
      <c r="P11" s="1" t="s">
        <v>0</v>
      </c>
      <c r="Q11" s="12">
        <v>16.696030952380951</v>
      </c>
      <c r="R11" s="12">
        <v>10.610096428571429</v>
      </c>
      <c r="S11" s="12">
        <v>7.5459607142857141</v>
      </c>
      <c r="T11" s="12">
        <v>6.1368136904761901</v>
      </c>
      <c r="U11" s="12">
        <v>5.6038708333333336</v>
      </c>
      <c r="V11" s="12">
        <v>5.3508409226190494</v>
      </c>
      <c r="W11" s="12">
        <v>5.0695565476190483</v>
      </c>
    </row>
    <row r="12" spans="1:23" x14ac:dyDescent="0.25">
      <c r="C12" s="186"/>
      <c r="D12" s="1" t="s">
        <v>16</v>
      </c>
      <c r="E12" s="12">
        <f ca="1">OFFSET('3060LAPTOP'!D$1,$A11-1+$B$1,0)/E$2</f>
        <v>4.0523634467906917E-2</v>
      </c>
      <c r="F12" s="12">
        <f ca="1">OFFSET('3060LAPTOP'!E$1,$A11-1+$B$1,0)/F$2</f>
        <v>1.8544335495299401E-2</v>
      </c>
      <c r="G12" s="12">
        <f ca="1">OFFSET('3060LAPTOP'!F$1,$A11-1+$B$1,0)/G$2</f>
        <v>6.3717604832224835E-3</v>
      </c>
      <c r="H12" s="12">
        <f ca="1">OFFSET('3060LAPTOP'!G$1,$A11-1+$B$1,0)/H$2</f>
        <v>3.8484927251530012E-3</v>
      </c>
      <c r="I12" s="12">
        <f ca="1">OFFSET('3060LAPTOP'!H$1,$A11-1+$B$1,0)/I$2</f>
        <v>3.9055703944103188E-3</v>
      </c>
      <c r="J12" s="12">
        <f ca="1">OFFSET('3060LAPTOP'!I$1,$A11-1+$B$1,0)/J$2</f>
        <v>1.3635985875819687E-3</v>
      </c>
      <c r="K12" s="12">
        <f ca="1">OFFSET('3060LAPTOP'!J$1,$A11-1+$B$1,0)/K$2</f>
        <v>6.8063077362104873E-4</v>
      </c>
      <c r="O12" s="186"/>
      <c r="P12" s="1" t="s">
        <v>16</v>
      </c>
      <c r="Q12" s="12">
        <v>4.0523634467906917E-2</v>
      </c>
      <c r="R12" s="12">
        <v>1.8544335495299401E-2</v>
      </c>
      <c r="S12" s="12">
        <v>6.3717604832224835E-3</v>
      </c>
      <c r="T12" s="12">
        <v>3.8484927251530012E-3</v>
      </c>
      <c r="U12" s="12">
        <v>3.9055703944103188E-3</v>
      </c>
      <c r="V12" s="12">
        <v>1.3635985875819687E-3</v>
      </c>
      <c r="W12" s="12">
        <v>6.8063077362104873E-4</v>
      </c>
    </row>
    <row r="13" spans="1:23" ht="15" customHeight="1" x14ac:dyDescent="0.25">
      <c r="A13">
        <v>7</v>
      </c>
      <c r="B13" t="str">
        <f ca="1">OFFSET('1050LAPTOP'!$C$1,A13-1,0)</f>
        <v>CUDA opt</v>
      </c>
      <c r="C13" s="185" t="s">
        <v>110</v>
      </c>
      <c r="D13" s="1" t="s">
        <v>0</v>
      </c>
      <c r="E13" s="12">
        <f ca="1">OFFSET('3060LAPTOP'!D$1,$A13-1+$A$1,0)</f>
        <v>14.677589047619051</v>
      </c>
      <c r="F13" s="12">
        <f ca="1">OFFSET('3060LAPTOP'!E$1,$A13-1+$A$1,0)</f>
        <v>11.026964523809525</v>
      </c>
      <c r="G13" s="12">
        <f ca="1">OFFSET('3060LAPTOP'!F$1,$A13-1+$A$1,0)</f>
        <v>14.954302380952381</v>
      </c>
      <c r="H13" s="12">
        <f ca="1">OFFSET('3060LAPTOP'!G$1,$A13-1+$A$1,0)</f>
        <v>23.778740476190485</v>
      </c>
      <c r="I13" s="12">
        <f ca="1">OFFSET('3060LAPTOP'!H$1,$A13-1+$A$1,0)</f>
        <v>0</v>
      </c>
      <c r="J13" s="12">
        <f ca="1">OFFSET('3060LAPTOP'!I$1,$A13-1+$A$1,0)</f>
        <v>0</v>
      </c>
      <c r="K13" s="12">
        <f ca="1">OFFSET('3060LAPTOP'!J$1,$A13-1+$A$1,0)</f>
        <v>0</v>
      </c>
      <c r="O13" s="185" t="s">
        <v>110</v>
      </c>
      <c r="P13" s="1" t="s">
        <v>0</v>
      </c>
      <c r="Q13" s="12">
        <v>14.677589047619051</v>
      </c>
      <c r="R13" s="12">
        <v>11.026964523809525</v>
      </c>
      <c r="S13" s="12">
        <v>14.954302380952381</v>
      </c>
      <c r="T13" s="12">
        <v>23.778740476190485</v>
      </c>
      <c r="U13" s="12"/>
      <c r="V13" s="12"/>
      <c r="W13" s="12"/>
    </row>
    <row r="14" spans="1:23" x14ac:dyDescent="0.25">
      <c r="C14" s="186"/>
      <c r="D14" s="1" t="s">
        <v>16</v>
      </c>
      <c r="E14" s="12">
        <f ca="1">OFFSET('3060LAPTOP'!D$1,$A13-1+$B$1,0)/E$2</f>
        <v>4.5963755188661373E-2</v>
      </c>
      <c r="F14" s="12">
        <f ca="1">OFFSET('3060LAPTOP'!E$1,$A13-1+$B$1,0)/F$2</f>
        <v>2.0825879306926445E-2</v>
      </c>
      <c r="G14" s="12">
        <f ca="1">OFFSET('3060LAPTOP'!F$1,$A13-1+$B$1,0)/G$2</f>
        <v>1.0889303156564072E-2</v>
      </c>
      <c r="H14" s="12">
        <f ca="1">OFFSET('3060LAPTOP'!G$1,$A13-1+$B$1,0)/H$2</f>
        <v>1.2709324960677953E-2</v>
      </c>
      <c r="I14" s="12">
        <f ca="1">OFFSET('3060LAPTOP'!H$1,$A13-1+$B$1,0)/I$2</f>
        <v>0</v>
      </c>
      <c r="J14" s="12">
        <f ca="1">OFFSET('3060LAPTOP'!I$1,$A13-1+$B$1,0)/J$2</f>
        <v>0</v>
      </c>
      <c r="K14" s="12">
        <f ca="1">OFFSET('3060LAPTOP'!J$1,$A13-1+$B$1,0)/K$2</f>
        <v>0</v>
      </c>
      <c r="O14" s="186"/>
      <c r="P14" s="1" t="s">
        <v>16</v>
      </c>
      <c r="Q14" s="12">
        <v>4.5963755188661373E-2</v>
      </c>
      <c r="R14" s="12">
        <v>2.0825879306926445E-2</v>
      </c>
      <c r="S14" s="12">
        <v>1.0889303156564072E-2</v>
      </c>
      <c r="T14" s="12">
        <v>1.2709324960677953E-2</v>
      </c>
      <c r="U14" s="12"/>
      <c r="V14" s="12"/>
      <c r="W14" s="12"/>
    </row>
    <row r="15" spans="1:23" ht="15" customHeight="1" x14ac:dyDescent="0.25">
      <c r="A15">
        <v>9</v>
      </c>
      <c r="B15" t="str">
        <f ca="1">OFFSET('1050LAPTOP'!$C$1,A15-1,0)</f>
        <v>CUDA opt ant par</v>
      </c>
      <c r="C15" s="185" t="s">
        <v>112</v>
      </c>
      <c r="D15" s="1" t="s">
        <v>0</v>
      </c>
      <c r="E15" s="12">
        <f ca="1">OFFSET('3060LAPTOP'!D$1,$A15-1+$A$1,0)</f>
        <v>16.144213809523805</v>
      </c>
      <c r="F15" s="12">
        <f ca="1">OFFSET('3060LAPTOP'!E$1,$A15-1+$A$1,0)</f>
        <v>10.595108095238093</v>
      </c>
      <c r="G15" s="12">
        <f ca="1">OFFSET('3060LAPTOP'!F$1,$A15-1+$A$1,0)</f>
        <v>7.6067309523809543</v>
      </c>
      <c r="H15" s="12">
        <f ca="1">OFFSET('3060LAPTOP'!G$1,$A15-1+$A$1,0)</f>
        <v>6.1357982142857148</v>
      </c>
      <c r="I15" s="12">
        <f ca="1">OFFSET('3060LAPTOP'!H$1,$A15-1+$A$1,0)</f>
        <v>5.6183440476190487</v>
      </c>
      <c r="J15" s="12">
        <f ca="1">OFFSET('3060LAPTOP'!I$1,$A15-1+$A$1,0)</f>
        <v>5.3484831845238094</v>
      </c>
      <c r="K15" s="12">
        <f ca="1">OFFSET('3060LAPTOP'!J$1,$A15-1+$A$1,0)</f>
        <v>5.0739084821428566</v>
      </c>
      <c r="O15" s="185" t="s">
        <v>112</v>
      </c>
      <c r="P15" s="1" t="s">
        <v>0</v>
      </c>
      <c r="Q15" s="12">
        <v>16.144213809523805</v>
      </c>
      <c r="R15" s="12">
        <v>10.595108095238093</v>
      </c>
      <c r="S15" s="12">
        <v>7.6067309523809543</v>
      </c>
      <c r="T15" s="12">
        <v>6.1357982142857148</v>
      </c>
      <c r="U15" s="12">
        <v>5.6183440476190487</v>
      </c>
      <c r="V15" s="12">
        <v>5.3484831845238094</v>
      </c>
      <c r="W15" s="12">
        <v>5.0739084821428566</v>
      </c>
    </row>
    <row r="16" spans="1:23" x14ac:dyDescent="0.25">
      <c r="C16" s="186"/>
      <c r="D16" s="1" t="s">
        <v>16</v>
      </c>
      <c r="E16" s="12">
        <f ca="1">OFFSET('3060LAPTOP'!D$1,$A15-1+$B$1,0)/E$2</f>
        <v>1.9070408464634408E-2</v>
      </c>
      <c r="F16" s="12">
        <f ca="1">OFFSET('3060LAPTOP'!E$1,$A15-1+$B$1,0)/F$2</f>
        <v>2.5190033711487304E-2</v>
      </c>
      <c r="G16" s="12">
        <f ca="1">OFFSET('3060LAPTOP'!F$1,$A15-1+$B$1,0)/G$2</f>
        <v>6.5518112033577484E-3</v>
      </c>
      <c r="H16" s="12">
        <f ca="1">OFFSET('3060LAPTOP'!G$1,$A15-1+$B$1,0)/H$2</f>
        <v>8.3306598349777231E-3</v>
      </c>
      <c r="I16" s="12">
        <f ca="1">OFFSET('3060LAPTOP'!H$1,$A15-1+$B$1,0)/I$2</f>
        <v>2.4888930284253821E-3</v>
      </c>
      <c r="J16" s="12">
        <f ca="1">OFFSET('3060LAPTOP'!I$1,$A15-1+$B$1,0)/J$2</f>
        <v>2.0889226571868032E-3</v>
      </c>
      <c r="K16" s="12">
        <f ca="1">OFFSET('3060LAPTOP'!J$1,$A15-1+$B$1,0)/K$2</f>
        <v>5.3630595469370381E-4</v>
      </c>
      <c r="O16" s="186"/>
      <c r="P16" s="1" t="s">
        <v>16</v>
      </c>
      <c r="Q16" s="12">
        <v>1.9070408464634408E-2</v>
      </c>
      <c r="R16" s="12">
        <v>2.5190033711487304E-2</v>
      </c>
      <c r="S16" s="12">
        <v>6.5518112033577484E-3</v>
      </c>
      <c r="T16" s="12">
        <v>8.3306598349777231E-3</v>
      </c>
      <c r="U16" s="12">
        <v>2.4888930284253821E-3</v>
      </c>
      <c r="V16" s="12">
        <v>2.0889226571868032E-3</v>
      </c>
      <c r="W16" s="12">
        <v>5.3630595469370381E-4</v>
      </c>
    </row>
    <row r="17" spans="1:23" x14ac:dyDescent="0.25">
      <c r="A17">
        <v>10</v>
      </c>
      <c r="B17" t="str">
        <f ca="1">OFFSET('1050LAPTOP'!$C$1,A17-1,0)</f>
        <v>CUDA opt_one_GPU</v>
      </c>
      <c r="C17" s="185" t="s">
        <v>17</v>
      </c>
      <c r="D17" s="1" t="s">
        <v>0</v>
      </c>
      <c r="E17" s="12">
        <f ca="1">OFFSET('3060LAPTOP'!D$1,$A17-1+$A$1,0)</f>
        <v>41.466723809523799</v>
      </c>
      <c r="F17" s="12">
        <f ca="1">OFFSET('3060LAPTOP'!E$1,$A17-1+$A$1,0)</f>
        <v>30.437957142857137</v>
      </c>
      <c r="G17" s="12">
        <f ca="1">OFFSET('3060LAPTOP'!F$1,$A17-1+$A$1,0)</f>
        <v>82.683039285714287</v>
      </c>
      <c r="H17" s="12">
        <f ca="1">OFFSET('3060LAPTOP'!G$1,$A17-1+$A$1,0)</f>
        <v>43.975630952380961</v>
      </c>
      <c r="I17" s="12">
        <f ca="1">OFFSET('3060LAPTOP'!H$1,$A17-1+$A$1,0)</f>
        <v>0</v>
      </c>
      <c r="J17" s="12">
        <f ca="1">OFFSET('3060LAPTOP'!I$1,$A17-1+$A$1,0)</f>
        <v>0</v>
      </c>
      <c r="K17" s="12">
        <f ca="1">OFFSET('3060LAPTOP'!J$1,$A17-1+$A$1,0)</f>
        <v>0</v>
      </c>
      <c r="O17" s="185"/>
      <c r="P17" s="1"/>
      <c r="Q17" s="12"/>
      <c r="R17" s="12"/>
      <c r="S17" s="12"/>
      <c r="T17" s="12"/>
      <c r="U17" s="12"/>
      <c r="V17" s="12"/>
      <c r="W17" s="12"/>
    </row>
    <row r="18" spans="1:23" x14ac:dyDescent="0.25">
      <c r="C18" s="186"/>
      <c r="D18" s="1" t="s">
        <v>16</v>
      </c>
      <c r="E18" s="12">
        <f ca="1">OFFSET('3060LAPTOP'!D$1,$A17-1+$B$1,0)/E$2</f>
        <v>7.6785201904186376E-2</v>
      </c>
      <c r="F18" s="12">
        <f ca="1">OFFSET('3060LAPTOP'!E$1,$A17-1+$B$1,0)/F$2</f>
        <v>4.750025362870295E-2</v>
      </c>
      <c r="G18" s="12">
        <f ca="1">OFFSET('3060LAPTOP'!F$1,$A17-1+$B$1,0)/G$2</f>
        <v>19.674786738886912</v>
      </c>
      <c r="H18" s="12">
        <f ca="1">OFFSET('3060LAPTOP'!G$1,$A17-1+$B$1,0)/H$2</f>
        <v>3.7428997308978924E-2</v>
      </c>
      <c r="I18" s="12">
        <f ca="1">OFFSET('3060LAPTOP'!H$1,$A17-1+$B$1,0)/I$2</f>
        <v>7.6183771134215783E-4</v>
      </c>
      <c r="J18" s="12">
        <f ca="1">OFFSET('3060LAPTOP'!I$1,$A17-1+$B$1,0)/J$2</f>
        <v>3.955371477942476E-4</v>
      </c>
      <c r="K18" s="12">
        <f ca="1">OFFSET('3060LAPTOP'!J$1,$A17-1+$B$1,0)/K$2</f>
        <v>4.58231849248961E-4</v>
      </c>
      <c r="O18" s="186"/>
      <c r="P18" s="1"/>
      <c r="Q18" s="12"/>
      <c r="R18" s="12"/>
      <c r="S18" s="12"/>
      <c r="T18" s="12"/>
      <c r="U18" s="12"/>
      <c r="V18" s="12"/>
      <c r="W18" s="12"/>
    </row>
    <row r="19" spans="1:23" x14ac:dyDescent="0.25">
      <c r="A19">
        <v>11</v>
      </c>
      <c r="B19" t="str">
        <f ca="1">OFFSET('1050LAPTOP'!$C$1,A19-1,0)</f>
        <v>CUDA opt_one_GPU ant</v>
      </c>
      <c r="C19" s="185" t="s">
        <v>17</v>
      </c>
      <c r="D19" s="1" t="s">
        <v>0</v>
      </c>
      <c r="E19" s="12">
        <f ca="1">OFFSET('3060LAPTOP'!D$1,$A19-1+$A$1,0)</f>
        <v>472.58390476190488</v>
      </c>
      <c r="F19" s="12">
        <f ca="1">OFFSET('3060LAPTOP'!E$1,$A19-1+$A$1,0)</f>
        <v>473.07042857142852</v>
      </c>
      <c r="G19" s="12">
        <f ca="1">OFFSET('3060LAPTOP'!F$1,$A19-1+$A$1,0)</f>
        <v>477.17455952380959</v>
      </c>
      <c r="H19" s="12">
        <f ca="1">OFFSET('3060LAPTOP'!G$1,$A19-1+$A$1,0)</f>
        <v>479.2723809523809</v>
      </c>
      <c r="I19" s="12">
        <f ca="1">OFFSET('3060LAPTOP'!H$1,$A19-1+$A$1,0)</f>
        <v>483.32369047619051</v>
      </c>
      <c r="J19" s="12">
        <f ca="1">OFFSET('3060LAPTOP'!I$1,$A19-1+$A$1,0)</f>
        <v>481.38525297619049</v>
      </c>
      <c r="K19" s="12">
        <f ca="1">OFFSET('3060LAPTOP'!J$1,$A19-1+$A$1,0)</f>
        <v>479.35580357142851</v>
      </c>
      <c r="O19" s="185"/>
      <c r="P19" s="1"/>
      <c r="Q19" s="12"/>
      <c r="R19" s="12"/>
      <c r="S19" s="12"/>
      <c r="T19" s="12"/>
      <c r="U19" s="12"/>
      <c r="V19" s="12"/>
      <c r="W19" s="12"/>
    </row>
    <row r="20" spans="1:23" x14ac:dyDescent="0.25">
      <c r="C20" s="186"/>
      <c r="D20" s="1" t="s">
        <v>16</v>
      </c>
      <c r="E20" s="12">
        <f ca="1">OFFSET('3060LAPTOP'!D$1,$A19-1+$B$1,0)/E$2</f>
        <v>8.9966180075256114E-2</v>
      </c>
      <c r="F20" s="12">
        <f ca="1">OFFSET('3060LAPTOP'!E$1,$A19-1+$B$1,0)/F$2</f>
        <v>0.33742802052388249</v>
      </c>
      <c r="G20" s="12">
        <f ca="1">OFFSET('3060LAPTOP'!F$1,$A19-1+$B$1,0)/G$2</f>
        <v>0.13181741457873508</v>
      </c>
      <c r="H20" s="12">
        <f ca="1">OFFSET('3060LAPTOP'!G$1,$A19-1+$B$1,0)/H$2</f>
        <v>6.0980629893616412E-2</v>
      </c>
      <c r="I20" s="12">
        <f ca="1">OFFSET('3060LAPTOP'!H$1,$A19-1+$B$1,0)/I$2</f>
        <v>4.3308458080932821</v>
      </c>
      <c r="J20" s="12">
        <f ca="1">OFFSET('3060LAPTOP'!I$1,$A19-1+$B$1,0)/J$2</f>
        <v>0.38302028749621153</v>
      </c>
      <c r="K20" s="12">
        <f ca="1">OFFSET('3060LAPTOP'!J$1,$A19-1+$B$1,0)/K$2</f>
        <v>0.57676994653324143</v>
      </c>
      <c r="O20" s="186"/>
      <c r="P20" s="1"/>
      <c r="Q20" s="12"/>
      <c r="R20" s="12"/>
      <c r="S20" s="12"/>
      <c r="T20" s="12"/>
      <c r="U20" s="12"/>
      <c r="V20" s="12"/>
      <c r="W20" s="12"/>
    </row>
    <row r="22" spans="1:23" x14ac:dyDescent="0.25">
      <c r="A22">
        <v>29</v>
      </c>
      <c r="B22">
        <v>120</v>
      </c>
      <c r="E22" s="7">
        <v>2</v>
      </c>
      <c r="F22" s="8">
        <v>4</v>
      </c>
      <c r="G22" s="7">
        <v>8</v>
      </c>
      <c r="H22" s="7">
        <v>16</v>
      </c>
      <c r="I22" s="7">
        <v>32</v>
      </c>
      <c r="J22" s="7">
        <v>64</v>
      </c>
      <c r="K22" s="7">
        <v>128</v>
      </c>
    </row>
    <row r="23" spans="1:23" x14ac:dyDescent="0.25">
      <c r="B23">
        <v>3060</v>
      </c>
      <c r="E23" s="16">
        <v>42</v>
      </c>
      <c r="F23" s="16">
        <v>84</v>
      </c>
      <c r="G23" s="16">
        <v>168</v>
      </c>
      <c r="H23" s="16">
        <v>336</v>
      </c>
      <c r="I23" s="16">
        <v>672</v>
      </c>
      <c r="J23" s="16">
        <v>1344</v>
      </c>
      <c r="K23" s="16">
        <v>2688</v>
      </c>
    </row>
    <row r="24" spans="1:23" x14ac:dyDescent="0.25">
      <c r="A24" s="19">
        <v>10</v>
      </c>
      <c r="B24" s="19" t="str">
        <f ca="1">OFFSET('1050LAPTOP'!$C$1,A24-1,0)</f>
        <v>CUDA opt_one_GPU</v>
      </c>
      <c r="C24" s="185" t="s">
        <v>107</v>
      </c>
      <c r="D24" s="20" t="s">
        <v>0</v>
      </c>
      <c r="E24" s="12">
        <f ca="1">OFFSET('3060LAPTOP'!D$1,$A24-1+$A$1,0)</f>
        <v>41.466723809523799</v>
      </c>
      <c r="F24" s="12">
        <f ca="1">OFFSET('3060LAPTOP'!E$1,$A24-1+$A$1,0)</f>
        <v>30.437957142857137</v>
      </c>
      <c r="G24" s="12">
        <f ca="1">OFFSET('3060LAPTOP'!F$1,$A24-1+$A$1,0)</f>
        <v>82.683039285714287</v>
      </c>
      <c r="H24" s="12">
        <f ca="1">OFFSET('3060LAPTOP'!G$1,$A24-1+$A$1,0)</f>
        <v>43.975630952380961</v>
      </c>
      <c r="I24" s="12">
        <f ca="1">OFFSET('3060LAPTOP'!H$1,$A24-1+$A$1,0)</f>
        <v>0</v>
      </c>
      <c r="J24" s="12">
        <f ca="1">OFFSET('3060LAPTOP'!I$1,$A24-1+$A$1,0)</f>
        <v>0</v>
      </c>
      <c r="K24" s="12">
        <f ca="1">OFFSET('3060LAPTOP'!J$1,$A24-1+$A$1,0)</f>
        <v>0</v>
      </c>
    </row>
    <row r="25" spans="1:23" x14ac:dyDescent="0.25">
      <c r="C25" s="186"/>
      <c r="D25" s="1" t="s">
        <v>16</v>
      </c>
      <c r="E25" s="12">
        <f ca="1">OFFSET('3060LAPTOP'!D$1,$A24-1+$B$1,0)</f>
        <v>3.2249784799758276</v>
      </c>
      <c r="F25" s="12">
        <f ca="1">OFFSET('3060LAPTOP'!E$1,$A24-1+$B$1,0)</f>
        <v>3.990021304811048</v>
      </c>
      <c r="G25" s="12">
        <f ca="1">OFFSET('3060LAPTOP'!F$1,$A24-1+$B$1,0)</f>
        <v>3305.3641721330014</v>
      </c>
      <c r="H25" s="12">
        <f ca="1">OFFSET('3060LAPTOP'!G$1,$A24-1+$B$1,0)</f>
        <v>12.576143095816919</v>
      </c>
      <c r="I25" s="12">
        <f ca="1">OFFSET('3060LAPTOP'!H$1,$A24-1+$B$1,0)</f>
        <v>0.51195494202193004</v>
      </c>
      <c r="J25" s="12">
        <f ca="1">OFFSET('3060LAPTOP'!I$1,$A24-1+$B$1,0)</f>
        <v>0.53160192663546879</v>
      </c>
      <c r="K25" s="12">
        <f ca="1">OFFSET('3060LAPTOP'!J$1,$A24-1+$B$1,0)</f>
        <v>1.2317272107812072</v>
      </c>
    </row>
    <row r="26" spans="1:23" ht="15" customHeight="1" x14ac:dyDescent="0.25">
      <c r="A26">
        <v>11</v>
      </c>
      <c r="B26" t="str">
        <f ca="1">OFFSET('1050LAPTOP'!$C$1,A26-1,0)</f>
        <v>CUDA opt_one_GPU ant</v>
      </c>
      <c r="C26" s="185" t="s">
        <v>108</v>
      </c>
      <c r="D26" s="1" t="s">
        <v>0</v>
      </c>
      <c r="E26" s="12">
        <f ca="1">OFFSET('3060LAPTOP'!D$1,$A26-1+$A$1,0)</f>
        <v>472.58390476190488</v>
      </c>
      <c r="F26" s="12">
        <f ca="1">OFFSET('3060LAPTOP'!E$1,$A26-1+$A$1,0)</f>
        <v>473.07042857142852</v>
      </c>
      <c r="G26" s="12">
        <f ca="1">OFFSET('3060LAPTOP'!F$1,$A26-1+$A$1,0)</f>
        <v>477.17455952380959</v>
      </c>
      <c r="H26" s="12">
        <f ca="1">OFFSET('3060LAPTOP'!G$1,$A26-1+$A$1,0)</f>
        <v>479.2723809523809</v>
      </c>
      <c r="I26" s="12">
        <f ca="1">OFFSET('3060LAPTOP'!H$1,$A26-1+$A$1,0)</f>
        <v>483.32369047619051</v>
      </c>
      <c r="J26" s="12">
        <f ca="1">OFFSET('3060LAPTOP'!I$1,$A26-1+$A$1,0)</f>
        <v>481.38525297619049</v>
      </c>
      <c r="K26" s="12">
        <f ca="1">OFFSET('3060LAPTOP'!J$1,$A26-1+$A$1,0)</f>
        <v>479.35580357142851</v>
      </c>
    </row>
    <row r="27" spans="1:23" x14ac:dyDescent="0.25">
      <c r="C27" s="186"/>
      <c r="D27" s="1" t="s">
        <v>16</v>
      </c>
      <c r="E27" s="12">
        <f ca="1">OFFSET('3060LAPTOP'!D$1,$A26-1+$B$1,0)</f>
        <v>3.7785795631607568</v>
      </c>
      <c r="F27" s="12">
        <f ca="1">OFFSET('3060LAPTOP'!E$1,$A26-1+$B$1,0)</f>
        <v>28.343953724006131</v>
      </c>
      <c r="G27" s="12">
        <f ca="1">OFFSET('3060LAPTOP'!F$1,$A26-1+$B$1,0)</f>
        <v>22.145325649227495</v>
      </c>
      <c r="H27" s="12">
        <f ca="1">OFFSET('3060LAPTOP'!G$1,$A26-1+$B$1,0)</f>
        <v>20.489491644255114</v>
      </c>
      <c r="I27" s="12">
        <f ca="1">OFFSET('3060LAPTOP'!H$1,$A26-1+$B$1,0)</f>
        <v>2910.3283830386858</v>
      </c>
      <c r="J27" s="12">
        <f ca="1">OFFSET('3060LAPTOP'!I$1,$A26-1+$B$1,0)</f>
        <v>514.77926639490829</v>
      </c>
      <c r="K27" s="12">
        <f ca="1">OFFSET('3060LAPTOP'!J$1,$A26-1+$B$1,0)</f>
        <v>1550.3576162813531</v>
      </c>
    </row>
    <row r="28" spans="1:23" ht="15" customHeight="1" x14ac:dyDescent="0.25">
      <c r="A28">
        <v>12</v>
      </c>
      <c r="B28" t="str">
        <f ca="1">OFFSET('1050LAPTOP'!$C$1,A28-1,0)</f>
        <v>CUDA opt_one_GPU ant local</v>
      </c>
      <c r="C28" s="185" t="s">
        <v>109</v>
      </c>
      <c r="D28" s="1" t="s">
        <v>0</v>
      </c>
      <c r="E28" s="12">
        <f ca="1">OFFSET('3060LAPTOP'!D$1,$A28-1+$A$1,0)</f>
        <v>25.062347619047621</v>
      </c>
      <c r="F28" s="12">
        <f ca="1">OFFSET('3060LAPTOP'!E$1,$A28-1+$A$1,0)</f>
        <v>24.627707142857151</v>
      </c>
      <c r="G28" s="12">
        <f ca="1">OFFSET('3060LAPTOP'!F$1,$A28-1+$A$1,0)</f>
        <v>25.143697619047618</v>
      </c>
      <c r="H28" s="12">
        <f ca="1">OFFSET('3060LAPTOP'!G$1,$A28-1+$A$1,0)</f>
        <v>25.036353571428577</v>
      </c>
      <c r="I28" s="12">
        <f ca="1">OFFSET('3060LAPTOP'!H$1,$A28-1+$A$1,0)</f>
        <v>25.834705357142859</v>
      </c>
      <c r="J28" s="12">
        <f ca="1">OFFSET('3060LAPTOP'!I$1,$A28-1+$A$1,0)</f>
        <v>25.314092261904769</v>
      </c>
      <c r="K28" s="12">
        <f ca="1">OFFSET('3060LAPTOP'!J$1,$A28-1+$A$1,0)</f>
        <v>33.96437127976192</v>
      </c>
    </row>
    <row r="29" spans="1:23" x14ac:dyDescent="0.25">
      <c r="C29" s="186"/>
      <c r="D29" s="1" t="s">
        <v>16</v>
      </c>
      <c r="E29" s="12">
        <f ca="1">OFFSET('3060LAPTOP'!D$1,$A28-1+$B$1,0)</f>
        <v>0.37714022362405331</v>
      </c>
      <c r="F29" s="12">
        <f ca="1">OFFSET('3060LAPTOP'!E$1,$A28-1+$B$1,0)</f>
        <v>0.52950291478705647</v>
      </c>
      <c r="G29" s="12">
        <f ca="1">OFFSET('3060LAPTOP'!F$1,$A28-1+$B$1,0)</f>
        <v>1.1299250087054227</v>
      </c>
      <c r="H29" s="12">
        <f ca="1">OFFSET('3060LAPTOP'!G$1,$A28-1+$B$1,0)</f>
        <v>9.6771051316739527</v>
      </c>
      <c r="I29" s="12">
        <f ca="1">OFFSET('3060LAPTOP'!H$1,$A28-1+$B$1,0)</f>
        <v>9.4727663888466207</v>
      </c>
      <c r="J29" s="12">
        <f ca="1">OFFSET('3060LAPTOP'!I$1,$A28-1+$B$1,0)</f>
        <v>9.3775613513892111</v>
      </c>
      <c r="K29" s="12">
        <f ca="1">OFFSET('3060LAPTOP'!J$1,$A28-1+$B$1,0)</f>
        <v>36.576135374843069</v>
      </c>
    </row>
    <row r="30" spans="1:23" ht="15" customHeight="1" x14ac:dyDescent="0.25">
      <c r="A30">
        <v>4</v>
      </c>
      <c r="B30" t="str">
        <f ca="1">OFFSET('1050LAPTOP'!$C$1,A30-1,0)</f>
        <v>CUDA Time</v>
      </c>
      <c r="C30" s="185" t="s">
        <v>111</v>
      </c>
      <c r="D30" s="1" t="s">
        <v>0</v>
      </c>
      <c r="E30" s="12">
        <f ca="1">OFFSET('3060LAPTOP'!D$1,$A30-1+$A$1,0)</f>
        <v>14.333989523809525</v>
      </c>
      <c r="F30" s="12">
        <f ca="1">OFFSET('3060LAPTOP'!E$1,$A30-1+$A$1,0)</f>
        <v>10.906300476190479</v>
      </c>
      <c r="G30" s="12">
        <f ca="1">OFFSET('3060LAPTOP'!F$1,$A30-1+$A$1,0)</f>
        <v>14.846705952380955</v>
      </c>
      <c r="H30" s="12">
        <f ca="1">OFFSET('3060LAPTOP'!G$1,$A30-1+$A$1,0)</f>
        <v>23.734932738095239</v>
      </c>
      <c r="I30" s="12">
        <f ca="1">OFFSET('3060LAPTOP'!H$1,$A30-1+$A$1,0)</f>
        <v>0</v>
      </c>
      <c r="J30" s="12">
        <f ca="1">OFFSET('3060LAPTOP'!I$1,$A30-1+$A$1,0)</f>
        <v>0</v>
      </c>
      <c r="K30" s="12">
        <f ca="1">OFFSET('3060LAPTOP'!J$1,$A30-1+$A$1,0)</f>
        <v>0</v>
      </c>
    </row>
    <row r="31" spans="1:23" x14ac:dyDescent="0.25">
      <c r="C31" s="186"/>
      <c r="D31" s="1" t="s">
        <v>16</v>
      </c>
      <c r="E31" s="12">
        <f ca="1">OFFSET('3060LAPTOP'!D$1,$A30-1+$B$1,0)</f>
        <v>3.1436917809981133</v>
      </c>
      <c r="F31" s="12">
        <f ca="1">OFFSET('3060LAPTOP'!E$1,$A30-1+$B$1,0)</f>
        <v>1.7420549155578313</v>
      </c>
      <c r="G31" s="12">
        <f ca="1">OFFSET('3060LAPTOP'!F$1,$A30-1+$B$1,0)</f>
        <v>4.8089163791274281</v>
      </c>
      <c r="H31" s="12">
        <f ca="1">OFFSET('3060LAPTOP'!G$1,$A30-1+$B$1,0)</f>
        <v>9.5199301429324024</v>
      </c>
      <c r="I31" s="12">
        <f ca="1">OFFSET('3060LAPTOP'!H$1,$A30-1+$B$1,0)</f>
        <v>0</v>
      </c>
      <c r="J31" s="12">
        <f ca="1">OFFSET('3060LAPTOP'!I$1,$A30-1+$B$1,0)</f>
        <v>0</v>
      </c>
      <c r="K31" s="12">
        <f ca="1">OFFSET('3060LAPTOP'!J$1,$A30-1+$B$1,0)</f>
        <v>0</v>
      </c>
    </row>
    <row r="32" spans="1:23" ht="15" customHeight="1" x14ac:dyDescent="0.25">
      <c r="A32">
        <v>6</v>
      </c>
      <c r="B32" t="str">
        <f ca="1">OFFSET('1050LAPTOP'!$C$1,A32-1,0)</f>
        <v>CUDA ant par</v>
      </c>
      <c r="C32" s="185" t="s">
        <v>113</v>
      </c>
      <c r="D32" s="1" t="s">
        <v>0</v>
      </c>
      <c r="E32" s="12">
        <f ca="1">OFFSET('3060LAPTOP'!D$1,$A32-1+$A$1,0)</f>
        <v>16.696030952380951</v>
      </c>
      <c r="F32" s="12">
        <f ca="1">OFFSET('3060LAPTOP'!E$1,$A32-1+$A$1,0)</f>
        <v>10.610096428571429</v>
      </c>
      <c r="G32" s="12">
        <f ca="1">OFFSET('3060LAPTOP'!F$1,$A32-1+$A$1,0)</f>
        <v>7.5459607142857141</v>
      </c>
      <c r="H32" s="12">
        <f ca="1">OFFSET('3060LAPTOP'!G$1,$A32-1+$A$1,0)</f>
        <v>6.1368136904761901</v>
      </c>
      <c r="I32" s="12">
        <f ca="1">OFFSET('3060LAPTOP'!H$1,$A32-1+$A$1,0)</f>
        <v>5.6038708333333336</v>
      </c>
      <c r="J32" s="12">
        <f ca="1">OFFSET('3060LAPTOP'!I$1,$A32-1+$A$1,0)</f>
        <v>5.3508409226190494</v>
      </c>
      <c r="K32" s="12">
        <f ca="1">OFFSET('3060LAPTOP'!J$1,$A32-1+$A$1,0)</f>
        <v>5.0695565476190483</v>
      </c>
    </row>
    <row r="33" spans="1:11" x14ac:dyDescent="0.25">
      <c r="C33" s="186"/>
      <c r="D33" s="1" t="s">
        <v>16</v>
      </c>
      <c r="E33" s="12">
        <f ca="1">OFFSET('3060LAPTOP'!D$1,$A32-1+$B$1,0)</f>
        <v>1.7019926476520906</v>
      </c>
      <c r="F33" s="12">
        <f ca="1">OFFSET('3060LAPTOP'!E$1,$A32-1+$B$1,0)</f>
        <v>1.5577241816051497</v>
      </c>
      <c r="G33" s="12">
        <f ca="1">OFFSET('3060LAPTOP'!F$1,$A32-1+$B$1,0)</f>
        <v>1.0704557611813772</v>
      </c>
      <c r="H33" s="12">
        <f ca="1">OFFSET('3060LAPTOP'!G$1,$A32-1+$B$1,0)</f>
        <v>1.2930935556514085</v>
      </c>
      <c r="I33" s="12">
        <f ca="1">OFFSET('3060LAPTOP'!H$1,$A32-1+$B$1,0)</f>
        <v>2.6245433050437343</v>
      </c>
      <c r="J33" s="12">
        <f ca="1">OFFSET('3060LAPTOP'!I$1,$A32-1+$B$1,0)</f>
        <v>1.8326765017101661</v>
      </c>
      <c r="K33" s="12">
        <f ca="1">OFFSET('3060LAPTOP'!J$1,$A32-1+$B$1,0)</f>
        <v>1.8295355194933789</v>
      </c>
    </row>
    <row r="34" spans="1:11" ht="15" customHeight="1" x14ac:dyDescent="0.25">
      <c r="A34">
        <v>7</v>
      </c>
      <c r="B34" t="str">
        <f ca="1">OFFSET('1050LAPTOP'!$C$1,A34-1,0)</f>
        <v>CUDA opt</v>
      </c>
      <c r="C34" s="185" t="s">
        <v>110</v>
      </c>
      <c r="D34" s="1" t="s">
        <v>0</v>
      </c>
      <c r="E34" s="12">
        <f ca="1">OFFSET('3060LAPTOP'!D$1,$A34-1+$A$1,0)</f>
        <v>14.677589047619051</v>
      </c>
      <c r="F34" s="12">
        <f ca="1">OFFSET('3060LAPTOP'!E$1,$A34-1+$A$1,0)</f>
        <v>11.026964523809525</v>
      </c>
      <c r="G34" s="12">
        <f ca="1">OFFSET('3060LAPTOP'!F$1,$A34-1+$A$1,0)</f>
        <v>14.954302380952381</v>
      </c>
      <c r="H34" s="12">
        <f ca="1">OFFSET('3060LAPTOP'!G$1,$A34-1+$A$1,0)</f>
        <v>23.778740476190485</v>
      </c>
      <c r="I34" s="12">
        <f ca="1">OFFSET('3060LAPTOP'!H$1,$A34-1+$A$1,0)</f>
        <v>0</v>
      </c>
      <c r="J34" s="12">
        <f ca="1">OFFSET('3060LAPTOP'!I$1,$A34-1+$A$1,0)</f>
        <v>0</v>
      </c>
      <c r="K34" s="12">
        <f ca="1">OFFSET('3060LAPTOP'!J$1,$A34-1+$A$1,0)</f>
        <v>0</v>
      </c>
    </row>
    <row r="35" spans="1:11" x14ac:dyDescent="0.25">
      <c r="C35" s="186"/>
      <c r="D35" s="1" t="s">
        <v>16</v>
      </c>
      <c r="E35" s="12">
        <f ca="1">OFFSET('3060LAPTOP'!D$1,$A34-1+$B$1,0)</f>
        <v>1.9304777179237778</v>
      </c>
      <c r="F35" s="12">
        <f ca="1">OFFSET('3060LAPTOP'!E$1,$A34-1+$B$1,0)</f>
        <v>1.7493738617818213</v>
      </c>
      <c r="G35" s="12">
        <f ca="1">OFFSET('3060LAPTOP'!F$1,$A34-1+$B$1,0)</f>
        <v>1.8294029303027641</v>
      </c>
      <c r="H35" s="12">
        <f ca="1">OFFSET('3060LAPTOP'!G$1,$A34-1+$B$1,0)</f>
        <v>4.2703331867877923</v>
      </c>
      <c r="I35" s="12">
        <f ca="1">OFFSET('3060LAPTOP'!H$1,$A34-1+$B$1,0)</f>
        <v>0</v>
      </c>
      <c r="J35" s="12">
        <f ca="1">OFFSET('3060LAPTOP'!I$1,$A34-1+$B$1,0)</f>
        <v>0</v>
      </c>
      <c r="K35" s="12">
        <f ca="1">OFFSET('3060LAPTOP'!J$1,$A34-1+$B$1,0)</f>
        <v>0</v>
      </c>
    </row>
    <row r="36" spans="1:11" ht="15" customHeight="1" x14ac:dyDescent="0.25">
      <c r="A36">
        <v>9</v>
      </c>
      <c r="B36" t="str">
        <f ca="1">OFFSET('1050LAPTOP'!$C$1,A36-1,0)</f>
        <v>CUDA opt ant par</v>
      </c>
      <c r="C36" s="185" t="s">
        <v>112</v>
      </c>
      <c r="D36" s="1" t="s">
        <v>0</v>
      </c>
      <c r="E36" s="12">
        <f ca="1">OFFSET('3060LAPTOP'!D$1,$A36-1+$A$1,0)</f>
        <v>16.144213809523805</v>
      </c>
      <c r="F36" s="12">
        <f ca="1">OFFSET('3060LAPTOP'!E$1,$A36-1+$A$1,0)</f>
        <v>10.595108095238093</v>
      </c>
      <c r="G36" s="12">
        <f ca="1">OFFSET('3060LAPTOP'!F$1,$A36-1+$A$1,0)</f>
        <v>7.6067309523809543</v>
      </c>
      <c r="H36" s="12">
        <f ca="1">OFFSET('3060LAPTOP'!G$1,$A36-1+$A$1,0)</f>
        <v>6.1357982142857148</v>
      </c>
      <c r="I36" s="12">
        <f ca="1">OFFSET('3060LAPTOP'!H$1,$A36-1+$A$1,0)</f>
        <v>5.6183440476190487</v>
      </c>
      <c r="J36" s="12">
        <f ca="1">OFFSET('3060LAPTOP'!I$1,$A36-1+$A$1,0)</f>
        <v>5.3484831845238094</v>
      </c>
      <c r="K36" s="12">
        <f ca="1">OFFSET('3060LAPTOP'!J$1,$A36-1+$A$1,0)</f>
        <v>5.0739084821428566</v>
      </c>
    </row>
    <row r="37" spans="1:11" x14ac:dyDescent="0.25">
      <c r="C37" s="186"/>
      <c r="D37" s="1" t="s">
        <v>16</v>
      </c>
      <c r="E37" s="12">
        <f ca="1">OFFSET('3060LAPTOP'!D$1,$A36-1+$B$1,0)</f>
        <v>0.80095715551464508</v>
      </c>
      <c r="F37" s="12">
        <f ca="1">OFFSET('3060LAPTOP'!E$1,$A36-1+$B$1,0)</f>
        <v>2.1159628317649335</v>
      </c>
      <c r="G37" s="12">
        <f ca="1">OFFSET('3060LAPTOP'!F$1,$A36-1+$B$1,0)</f>
        <v>1.1007042821641018</v>
      </c>
      <c r="H37" s="12">
        <f ca="1">OFFSET('3060LAPTOP'!G$1,$A36-1+$B$1,0)</f>
        <v>2.7991017045525148</v>
      </c>
      <c r="I37" s="12">
        <f ca="1">OFFSET('3060LAPTOP'!H$1,$A36-1+$B$1,0)</f>
        <v>1.6725361151018567</v>
      </c>
      <c r="J37" s="12">
        <f ca="1">OFFSET('3060LAPTOP'!I$1,$A36-1+$B$1,0)</f>
        <v>2.8075120512590637</v>
      </c>
      <c r="K37" s="12">
        <f ca="1">OFFSET('3060LAPTOP'!J$1,$A36-1+$B$1,0)</f>
        <v>1.4415904062166758</v>
      </c>
    </row>
    <row r="38" spans="1:11" x14ac:dyDescent="0.25">
      <c r="A38">
        <v>10</v>
      </c>
      <c r="B38" t="str">
        <f ca="1">OFFSET('1050LAPTOP'!$C$1,A38-1,0)</f>
        <v>CUDA opt_one_GPU</v>
      </c>
      <c r="C38" s="185" t="s">
        <v>17</v>
      </c>
      <c r="D38" s="1" t="s">
        <v>0</v>
      </c>
      <c r="E38" s="12">
        <f ca="1">OFFSET('3060LAPTOP'!D$1,$A38-1+$A$1,0)</f>
        <v>41.466723809523799</v>
      </c>
      <c r="F38" s="12">
        <f ca="1">OFFSET('3060LAPTOP'!E$1,$A38-1+$A$1,0)</f>
        <v>30.437957142857137</v>
      </c>
      <c r="G38" s="12">
        <f ca="1">OFFSET('3060LAPTOP'!F$1,$A38-1+$A$1,0)</f>
        <v>82.683039285714287</v>
      </c>
      <c r="H38" s="12">
        <f ca="1">OFFSET('3060LAPTOP'!G$1,$A38-1+$A$1,0)</f>
        <v>43.975630952380961</v>
      </c>
      <c r="I38" s="12">
        <f ca="1">OFFSET('3060LAPTOP'!H$1,$A38-1+$A$1,0)</f>
        <v>0</v>
      </c>
      <c r="J38" s="12">
        <f ca="1">OFFSET('3060LAPTOP'!I$1,$A38-1+$A$1,0)</f>
        <v>0</v>
      </c>
      <c r="K38" s="12">
        <f ca="1">OFFSET('3060LAPTOP'!J$1,$A38-1+$A$1,0)</f>
        <v>0</v>
      </c>
    </row>
    <row r="39" spans="1:11" x14ac:dyDescent="0.25">
      <c r="C39" s="186"/>
      <c r="D39" s="1" t="s">
        <v>16</v>
      </c>
      <c r="E39" s="12">
        <f ca="1">OFFSET('3060LAPTOP'!D$1,$A38-1+$B$1,0)</f>
        <v>3.2249784799758276</v>
      </c>
      <c r="F39" s="12">
        <f ca="1">OFFSET('3060LAPTOP'!E$1,$A38-1+$B$1,0)</f>
        <v>3.990021304811048</v>
      </c>
      <c r="G39" s="12">
        <f ca="1">OFFSET('3060LAPTOP'!F$1,$A38-1+$B$1,0)</f>
        <v>3305.3641721330014</v>
      </c>
      <c r="H39" s="12">
        <f ca="1">OFFSET('3060LAPTOP'!G$1,$A38-1+$B$1,0)</f>
        <v>12.576143095816919</v>
      </c>
      <c r="I39" s="12">
        <f ca="1">OFFSET('3060LAPTOP'!H$1,$A38-1+$B$1,0)</f>
        <v>0.51195494202193004</v>
      </c>
      <c r="J39" s="12">
        <f ca="1">OFFSET('3060LAPTOP'!I$1,$A38-1+$B$1,0)</f>
        <v>0.53160192663546879</v>
      </c>
      <c r="K39" s="12">
        <f ca="1">OFFSET('3060LAPTOP'!J$1,$A38-1+$B$1,0)</f>
        <v>1.2317272107812072</v>
      </c>
    </row>
    <row r="40" spans="1:11" x14ac:dyDescent="0.25">
      <c r="A40">
        <v>11</v>
      </c>
      <c r="B40" t="str">
        <f ca="1">OFFSET('1050LAPTOP'!$C$1,A40-1,0)</f>
        <v>CUDA opt_one_GPU ant</v>
      </c>
      <c r="C40" s="185" t="s">
        <v>17</v>
      </c>
      <c r="D40" s="1" t="s">
        <v>0</v>
      </c>
      <c r="E40" s="12">
        <f ca="1">OFFSET('3060LAPTOP'!D$1,$A40-1+$A$1,0)</f>
        <v>472.58390476190488</v>
      </c>
      <c r="F40" s="12">
        <f ca="1">OFFSET('3060LAPTOP'!E$1,$A40-1+$A$1,0)</f>
        <v>473.07042857142852</v>
      </c>
      <c r="G40" s="12">
        <f ca="1">OFFSET('3060LAPTOP'!F$1,$A40-1+$A$1,0)</f>
        <v>477.17455952380959</v>
      </c>
      <c r="H40" s="12">
        <f ca="1">OFFSET('3060LAPTOP'!G$1,$A40-1+$A$1,0)</f>
        <v>479.2723809523809</v>
      </c>
      <c r="I40" s="12">
        <f ca="1">OFFSET('3060LAPTOP'!H$1,$A40-1+$A$1,0)</f>
        <v>483.32369047619051</v>
      </c>
      <c r="J40" s="12">
        <f ca="1">OFFSET('3060LAPTOP'!I$1,$A40-1+$A$1,0)</f>
        <v>481.38525297619049</v>
      </c>
      <c r="K40" s="12">
        <f ca="1">OFFSET('3060LAPTOP'!J$1,$A40-1+$A$1,0)</f>
        <v>479.35580357142851</v>
      </c>
    </row>
    <row r="41" spans="1:11" x14ac:dyDescent="0.25">
      <c r="C41" s="186"/>
      <c r="D41" s="1" t="s">
        <v>16</v>
      </c>
      <c r="E41" s="12">
        <f ca="1">OFFSET('3060LAPTOP'!D$1,$A40-1+$B$1,0)</f>
        <v>3.7785795631607568</v>
      </c>
      <c r="F41" s="12">
        <f ca="1">OFFSET('3060LAPTOP'!E$1,$A40-1+$B$1,0)</f>
        <v>28.343953724006131</v>
      </c>
      <c r="G41" s="12">
        <f ca="1">OFFSET('3060LAPTOP'!F$1,$A40-1+$B$1,0)</f>
        <v>22.145325649227495</v>
      </c>
      <c r="H41" s="12">
        <f ca="1">OFFSET('3060LAPTOP'!G$1,$A40-1+$B$1,0)</f>
        <v>20.489491644255114</v>
      </c>
      <c r="I41" s="12">
        <f ca="1">OFFSET('3060LAPTOP'!H$1,$A40-1+$B$1,0)</f>
        <v>2910.3283830386858</v>
      </c>
      <c r="J41" s="12">
        <f ca="1">OFFSET('3060LAPTOP'!I$1,$A40-1+$B$1,0)</f>
        <v>514.77926639490829</v>
      </c>
      <c r="K41" s="12">
        <f ca="1">OFFSET('3060LAPTOP'!J$1,$A40-1+$B$1,0)</f>
        <v>1550.3576162813531</v>
      </c>
    </row>
  </sheetData>
  <mergeCells count="27">
    <mergeCell ref="C30:C31"/>
    <mergeCell ref="C15:C16"/>
    <mergeCell ref="C17:C18"/>
    <mergeCell ref="C19:C20"/>
    <mergeCell ref="O13:O14"/>
    <mergeCell ref="O15:O16"/>
    <mergeCell ref="C13:C14"/>
    <mergeCell ref="O17:O18"/>
    <mergeCell ref="O19:O20"/>
    <mergeCell ref="C24:C25"/>
    <mergeCell ref="C26:C27"/>
    <mergeCell ref="C28:C29"/>
    <mergeCell ref="C3:C4"/>
    <mergeCell ref="C5:C6"/>
    <mergeCell ref="C7:C8"/>
    <mergeCell ref="C9:C10"/>
    <mergeCell ref="C11:C12"/>
    <mergeCell ref="O3:O4"/>
    <mergeCell ref="O5:O6"/>
    <mergeCell ref="O7:O8"/>
    <mergeCell ref="O9:O10"/>
    <mergeCell ref="O11:O12"/>
    <mergeCell ref="C32:C33"/>
    <mergeCell ref="C34:C35"/>
    <mergeCell ref="C36:C37"/>
    <mergeCell ref="C38:C39"/>
    <mergeCell ref="C40:C4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"/>
  <sheetViews>
    <sheetView zoomScale="85" zoomScaleNormal="85" workbookViewId="0">
      <pane xSplit="3" ySplit="2" topLeftCell="D57" activePane="bottomRight" state="frozen"/>
      <selection pane="topRight" activeCell="D1" sqref="D1"/>
      <selection pane="bottomLeft" activeCell="A3" sqref="A3"/>
      <selection pane="bottomRight" activeCell="I1" sqref="I1:I1048576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0" max="10" width="9.42578125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11</v>
      </c>
    </row>
    <row r="2" spans="1:13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  <c r="M2" t="s">
        <v>12</v>
      </c>
    </row>
    <row r="3" spans="1:13" x14ac:dyDescent="0.25">
      <c r="A3">
        <v>1</v>
      </c>
      <c r="C3" s="1" t="s">
        <v>1</v>
      </c>
      <c r="D3" s="10">
        <v>6150.9387999999999</v>
      </c>
      <c r="E3" s="10">
        <v>11699.451999999999</v>
      </c>
      <c r="F3" s="10">
        <v>21907.942000000003</v>
      </c>
      <c r="G3" s="10">
        <v>42192.441999999995</v>
      </c>
      <c r="H3" s="10">
        <v>84585.997999999992</v>
      </c>
      <c r="I3" s="10">
        <v>167119.54</v>
      </c>
      <c r="J3" s="10">
        <v>334990.88</v>
      </c>
      <c r="K3" s="10"/>
      <c r="L3" s="10"/>
    </row>
    <row r="4" spans="1:13" x14ac:dyDescent="0.25">
      <c r="C4" s="1" t="s">
        <v>25</v>
      </c>
      <c r="D4" s="10">
        <v>914.50250000000005</v>
      </c>
      <c r="E4" s="10">
        <v>946.50761999999986</v>
      </c>
      <c r="F4" s="10">
        <v>1133.8452</v>
      </c>
      <c r="G4" s="10">
        <v>1518.0788000000002</v>
      </c>
      <c r="H4" s="10">
        <v>3507.1862000000001</v>
      </c>
      <c r="I4" s="10">
        <v>10172</v>
      </c>
      <c r="J4" s="10"/>
      <c r="K4" s="10"/>
      <c r="L4" s="10"/>
    </row>
    <row r="5" spans="1:13" x14ac:dyDescent="0.25">
      <c r="C5" s="1" t="s">
        <v>26</v>
      </c>
      <c r="D5" s="10">
        <v>1124.0660000000003</v>
      </c>
      <c r="E5" s="10">
        <v>1396.4622000000004</v>
      </c>
      <c r="F5" s="10">
        <v>1905.9054000000001</v>
      </c>
      <c r="G5" s="10">
        <v>2983.9481999999998</v>
      </c>
      <c r="H5" s="11">
        <v>5212.2334000000001</v>
      </c>
      <c r="I5" s="10">
        <v>9869.009</v>
      </c>
      <c r="J5" s="10">
        <v>19459.478000000003</v>
      </c>
      <c r="K5" s="10"/>
      <c r="L5" s="10"/>
    </row>
    <row r="6" spans="1:13" x14ac:dyDescent="0.25">
      <c r="C6" s="1" t="s">
        <v>27</v>
      </c>
      <c r="D6" s="10">
        <v>1188.8610000000001</v>
      </c>
      <c r="E6" s="10">
        <v>1436.8627999999997</v>
      </c>
      <c r="F6" s="10">
        <v>1951.0403999999999</v>
      </c>
      <c r="G6" s="10">
        <v>3054.8431999999989</v>
      </c>
      <c r="H6" s="10">
        <v>5134.3990000000003</v>
      </c>
      <c r="I6" s="10">
        <v>9517.6113999999961</v>
      </c>
      <c r="J6" s="10">
        <v>18237.763999999999</v>
      </c>
      <c r="K6" s="10"/>
      <c r="L6" s="10"/>
    </row>
    <row r="7" spans="1:13" x14ac:dyDescent="0.25">
      <c r="C7" s="1" t="s">
        <v>28</v>
      </c>
      <c r="D7" s="10">
        <v>928.88396000000012</v>
      </c>
      <c r="E7" s="10">
        <v>951.77046000000018</v>
      </c>
      <c r="F7" s="10">
        <v>1171.5778</v>
      </c>
      <c r="G7" s="10">
        <v>1534.7590000000002</v>
      </c>
      <c r="H7" s="10">
        <v>3528.3334000000009</v>
      </c>
      <c r="I7" s="10">
        <v>10224.26</v>
      </c>
      <c r="J7" s="10"/>
      <c r="K7" s="10"/>
      <c r="L7" s="10"/>
    </row>
    <row r="8" spans="1:13" x14ac:dyDescent="0.25">
      <c r="C8" s="1" t="s">
        <v>29</v>
      </c>
      <c r="D8" s="10">
        <v>1116.2385999999999</v>
      </c>
      <c r="E8" s="10">
        <v>1399.9622000000006</v>
      </c>
      <c r="F8" s="10">
        <v>1925.3410000000003</v>
      </c>
      <c r="G8" s="10">
        <v>2978.7549999999987</v>
      </c>
      <c r="H8" s="10">
        <v>5200.3581999999988</v>
      </c>
      <c r="I8" s="10">
        <v>9894.4381999999987</v>
      </c>
      <c r="J8" s="10">
        <v>19576.04</v>
      </c>
      <c r="K8" s="10"/>
      <c r="L8" s="10"/>
    </row>
    <row r="9" spans="1:13" x14ac:dyDescent="0.25">
      <c r="C9" s="1" t="s">
        <v>30</v>
      </c>
      <c r="D9" s="10">
        <v>1188.5240000000001</v>
      </c>
      <c r="E9" s="10">
        <v>1448.0625999999997</v>
      </c>
      <c r="F9" s="10">
        <v>1964.5523999999998</v>
      </c>
      <c r="G9" s="10">
        <v>3061.6414000000009</v>
      </c>
      <c r="H9" s="10">
        <v>5122.9259999999995</v>
      </c>
      <c r="I9" s="10">
        <v>9521.4629999999997</v>
      </c>
      <c r="J9" s="10">
        <v>18376.669999999998</v>
      </c>
      <c r="K9" s="10"/>
      <c r="L9" s="9"/>
    </row>
    <row r="10" spans="1:13" x14ac:dyDescent="0.25">
      <c r="C10" s="1" t="s">
        <v>31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3" x14ac:dyDescent="0.25">
      <c r="C11" s="1" t="s">
        <v>32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3" x14ac:dyDescent="0.25">
      <c r="C12" s="1" t="s">
        <v>33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3" x14ac:dyDescent="0.25">
      <c r="C13" s="1" t="s">
        <v>34</v>
      </c>
      <c r="D13" s="10">
        <v>921.82925999999998</v>
      </c>
      <c r="E13" s="10">
        <v>965.55812000000014</v>
      </c>
      <c r="F13" s="10">
        <v>1158.1961999999999</v>
      </c>
      <c r="G13" s="10" t="e">
        <v>#DIV/0!</v>
      </c>
      <c r="H13" s="10" t="e">
        <v>#DIV/0!</v>
      </c>
      <c r="I13" s="10" t="e">
        <v>#DIV/0!</v>
      </c>
      <c r="J13" s="10" t="e">
        <v>#DIV/0!</v>
      </c>
      <c r="K13" s="10"/>
      <c r="L13" s="10"/>
    </row>
    <row r="14" spans="1:13" x14ac:dyDescent="0.25">
      <c r="C14" s="1" t="s">
        <v>35</v>
      </c>
      <c r="D14" s="10">
        <v>1161.7637999999999</v>
      </c>
      <c r="E14" s="10">
        <v>1392.2208000000001</v>
      </c>
      <c r="F14" s="10">
        <v>1903.6836000000001</v>
      </c>
      <c r="G14" s="10" t="e">
        <v>#DIV/0!</v>
      </c>
      <c r="H14" s="10" t="e">
        <v>#DIV/0!</v>
      </c>
      <c r="I14" s="10" t="e">
        <v>#DIV/0!</v>
      </c>
      <c r="J14" s="10" t="e">
        <v>#DIV/0!</v>
      </c>
      <c r="K14" s="10"/>
      <c r="L14" s="10"/>
    </row>
    <row r="15" spans="1:13" x14ac:dyDescent="0.25">
      <c r="C15" s="1" t="s">
        <v>36</v>
      </c>
      <c r="D15" s="10">
        <v>1199.6632</v>
      </c>
      <c r="E15" s="10">
        <v>1450.2569999999998</v>
      </c>
      <c r="F15" s="10">
        <v>1968.7308000000005</v>
      </c>
      <c r="G15" s="10" t="e">
        <v>#DIV/0!</v>
      </c>
      <c r="H15" s="10" t="e">
        <v>#DIV/0!</v>
      </c>
      <c r="I15" s="10" t="e">
        <v>#DIV/0!</v>
      </c>
      <c r="J15" s="10" t="e">
        <v>#DIV/0!</v>
      </c>
      <c r="K15" s="10"/>
      <c r="L15" s="10"/>
    </row>
    <row r="16" spans="1:13" x14ac:dyDescent="0.25">
      <c r="C16" s="1" t="s">
        <v>38</v>
      </c>
      <c r="D16" s="10">
        <v>926.2144599999998</v>
      </c>
      <c r="E16" s="10">
        <v>965.49582000000044</v>
      </c>
      <c r="F16" s="10">
        <v>1157.8974000000003</v>
      </c>
      <c r="G16" s="10" t="e">
        <v>#DIV/0!</v>
      </c>
      <c r="H16" s="10" t="e">
        <v>#DIV/0!</v>
      </c>
      <c r="I16" s="10" t="e">
        <v>#DIV/0!</v>
      </c>
      <c r="J16" s="10" t="e">
        <v>#DIV/0!</v>
      </c>
      <c r="K16" s="10"/>
      <c r="L16" s="10"/>
    </row>
    <row r="17" spans="3:12" x14ac:dyDescent="0.25">
      <c r="C17" s="1" t="s">
        <v>39</v>
      </c>
      <c r="D17" s="10">
        <v>1148.2720000000002</v>
      </c>
      <c r="E17" s="10">
        <v>1389.5866000000005</v>
      </c>
      <c r="F17" s="10">
        <v>1910.5167999999994</v>
      </c>
      <c r="G17" s="10" t="e">
        <v>#DIV/0!</v>
      </c>
      <c r="H17" s="10" t="e">
        <v>#DIV/0!</v>
      </c>
      <c r="I17" s="10" t="e">
        <v>#DIV/0!</v>
      </c>
      <c r="J17" s="10" t="e">
        <v>#DIV/0!</v>
      </c>
      <c r="K17" s="10"/>
      <c r="L17" s="10"/>
    </row>
    <row r="18" spans="3:12" x14ac:dyDescent="0.25">
      <c r="C18" s="1" t="s">
        <v>40</v>
      </c>
      <c r="D18" s="10">
        <v>1197.6622000000002</v>
      </c>
      <c r="E18" s="10">
        <v>1450.0131999999999</v>
      </c>
      <c r="F18" s="10">
        <v>1960.6027999999999</v>
      </c>
      <c r="G18" s="10" t="e">
        <v>#DIV/0!</v>
      </c>
      <c r="H18" s="10" t="e">
        <v>#DIV/0!</v>
      </c>
      <c r="I18" s="10" t="e">
        <v>#DIV/0!</v>
      </c>
      <c r="J18" s="10" t="e">
        <v>#DIV/0!</v>
      </c>
      <c r="K18" s="10"/>
      <c r="L18" s="10"/>
    </row>
    <row r="19" spans="3:12" x14ac:dyDescent="0.25">
      <c r="C19" s="1" t="s">
        <v>41</v>
      </c>
      <c r="D19" s="10">
        <v>1200.0860000000002</v>
      </c>
      <c r="E19" s="10">
        <v>1467.4834000000003</v>
      </c>
      <c r="F19" s="10">
        <v>1980.8625999999995</v>
      </c>
      <c r="G19" s="10">
        <v>3085.8611999999994</v>
      </c>
      <c r="H19" s="10">
        <v>5113.8653999999997</v>
      </c>
      <c r="I19" s="10">
        <v>9454.0155999999988</v>
      </c>
      <c r="J19" s="10">
        <v>18229.62</v>
      </c>
      <c r="K19" s="10"/>
      <c r="L19" s="10"/>
    </row>
    <row r="20" spans="3:12" x14ac:dyDescent="0.25">
      <c r="C20" s="1" t="s">
        <v>43</v>
      </c>
      <c r="D20" s="10">
        <v>1196.8322000000001</v>
      </c>
      <c r="E20" s="10">
        <v>1466.4148</v>
      </c>
      <c r="F20" s="10">
        <v>1988.6463999999999</v>
      </c>
      <c r="G20" s="10">
        <v>3054.7892000000006</v>
      </c>
      <c r="H20" s="10">
        <v>5139.4353999999994</v>
      </c>
      <c r="I20" s="10">
        <v>9424.6128000000026</v>
      </c>
      <c r="J20" s="10">
        <v>18177.344000000005</v>
      </c>
      <c r="K20" s="10"/>
      <c r="L20" s="10"/>
    </row>
    <row r="21" spans="3:12" x14ac:dyDescent="0.25">
      <c r="C21" s="1" t="s">
        <v>44</v>
      </c>
      <c r="D21" s="10">
        <v>358.29425999999978</v>
      </c>
      <c r="E21" s="10">
        <v>640.96640000000002</v>
      </c>
      <c r="F21" s="10">
        <v>1199.2008000000001</v>
      </c>
      <c r="G21" s="10">
        <v>2310.1030000000001</v>
      </c>
      <c r="H21" s="10">
        <v>4588.4299999999985</v>
      </c>
      <c r="I21" s="10">
        <v>9275.4860000000008</v>
      </c>
      <c r="J21" s="10">
        <v>19000.003999999994</v>
      </c>
      <c r="K21" s="10"/>
      <c r="L21" s="10"/>
    </row>
    <row r="22" spans="3:12" x14ac:dyDescent="0.25">
      <c r="C22" s="1" t="s">
        <v>37</v>
      </c>
      <c r="D22" s="10">
        <v>333.62779999999992</v>
      </c>
      <c r="E22" s="10">
        <v>614.77017999999998</v>
      </c>
      <c r="F22" s="10">
        <v>1157.9887999999996</v>
      </c>
      <c r="G22" s="10" t="e">
        <v>#DIV/0!</v>
      </c>
      <c r="H22" s="10" t="e">
        <v>#DIV/0!</v>
      </c>
      <c r="I22" s="10" t="e">
        <v>#DIV/0!</v>
      </c>
      <c r="J22" s="10" t="e">
        <v>#DIV/0!</v>
      </c>
      <c r="K22" s="10"/>
      <c r="L22" s="10"/>
    </row>
    <row r="23" spans="3:12" x14ac:dyDescent="0.25">
      <c r="C23" s="1" t="s">
        <v>42</v>
      </c>
      <c r="D23" s="10">
        <v>340.09124000000003</v>
      </c>
      <c r="E23" s="10">
        <v>617.39094</v>
      </c>
      <c r="F23" s="10">
        <v>1172.4597999999999</v>
      </c>
      <c r="G23" s="10">
        <v>2314.8501999999999</v>
      </c>
      <c r="H23" s="10">
        <v>4552.6649999999991</v>
      </c>
      <c r="I23" s="10">
        <v>9186.4033999999992</v>
      </c>
      <c r="J23" s="10">
        <v>18871.295999999998</v>
      </c>
      <c r="K23" s="10"/>
      <c r="L23" s="10"/>
    </row>
    <row r="24" spans="3:12" x14ac:dyDescent="0.25">
      <c r="C24" s="1" t="s">
        <v>103</v>
      </c>
      <c r="D24" s="10">
        <v>338.06511999999998</v>
      </c>
      <c r="E24" s="10">
        <v>618.59949999999992</v>
      </c>
      <c r="F24" s="10">
        <v>1172.96</v>
      </c>
      <c r="G24" s="10">
        <v>2326.9565999999995</v>
      </c>
      <c r="H24" s="10">
        <v>4577.7558000000026</v>
      </c>
      <c r="I24" s="10">
        <v>9264.0740000000005</v>
      </c>
      <c r="J24" s="10">
        <v>19102.474000000002</v>
      </c>
      <c r="K24" s="10"/>
      <c r="L24" s="10"/>
    </row>
    <row r="25" spans="3:12" x14ac:dyDescent="0.25">
      <c r="C25" s="1" t="s">
        <v>9</v>
      </c>
      <c r="D25" s="10">
        <v>1219.2482</v>
      </c>
      <c r="E25" s="10">
        <v>1472.4141999999999</v>
      </c>
      <c r="F25" s="10">
        <v>1882.0869999999995</v>
      </c>
      <c r="G25" s="10">
        <v>3023.0388000000007</v>
      </c>
      <c r="H25" s="10">
        <v>7829.2189999999982</v>
      </c>
      <c r="I25" s="10">
        <v>12819.903999999997</v>
      </c>
      <c r="J25" s="10">
        <v>25264.369999999995</v>
      </c>
      <c r="K25" s="10"/>
      <c r="L25" s="10"/>
    </row>
    <row r="26" spans="3:12" x14ac:dyDescent="0.25">
      <c r="C26" s="1" t="s">
        <v>10</v>
      </c>
      <c r="D26" s="10">
        <v>344.10663999999991</v>
      </c>
      <c r="E26" s="10">
        <v>643.30742000000009</v>
      </c>
      <c r="F26" s="10">
        <v>1215.0220000000002</v>
      </c>
      <c r="G26" s="10">
        <v>2403.0542</v>
      </c>
      <c r="H26" s="10">
        <v>4747.4350000000004</v>
      </c>
      <c r="I26" s="10">
        <v>9580.2356000000018</v>
      </c>
      <c r="J26" s="10">
        <v>19506.599999999999</v>
      </c>
      <c r="K26" s="10"/>
      <c r="L26" s="10"/>
    </row>
    <row r="27" spans="3:12" x14ac:dyDescent="0.25">
      <c r="C27" s="1" t="s">
        <v>25</v>
      </c>
      <c r="D27" s="10">
        <v>887.33061999999973</v>
      </c>
      <c r="E27" s="10">
        <v>923.50011999999992</v>
      </c>
      <c r="F27" s="10">
        <v>1096.1482000000003</v>
      </c>
      <c r="G27" s="10">
        <v>1462.8584000000005</v>
      </c>
      <c r="H27" s="10">
        <v>3319.2503999999981</v>
      </c>
      <c r="I27" s="10">
        <v>9701.9652000000006</v>
      </c>
      <c r="J27" s="10"/>
      <c r="K27" s="10"/>
      <c r="L27" s="10"/>
    </row>
    <row r="28" spans="3:12" x14ac:dyDescent="0.25">
      <c r="C28" s="1" t="s">
        <v>27</v>
      </c>
      <c r="D28" s="10">
        <v>1017.9053999999996</v>
      </c>
      <c r="E28" s="10">
        <v>1114.6653999999999</v>
      </c>
      <c r="F28" s="10">
        <v>1292.2051999999999</v>
      </c>
      <c r="G28" s="10">
        <v>1706.2409999999995</v>
      </c>
      <c r="H28" s="10">
        <v>2428.8938000000003</v>
      </c>
      <c r="I28" s="10">
        <v>4001.6655999999994</v>
      </c>
      <c r="J28" s="10">
        <v>7064.9448000000011</v>
      </c>
      <c r="K28" s="10"/>
      <c r="L28" s="10"/>
    </row>
    <row r="29" spans="3:12" x14ac:dyDescent="0.25">
      <c r="C29" s="1" t="s">
        <v>8</v>
      </c>
      <c r="D29" s="10">
        <v>161.55688000000001</v>
      </c>
      <c r="E29" s="10">
        <v>269.65035999999992</v>
      </c>
      <c r="F29" s="10">
        <v>481.21071999999987</v>
      </c>
      <c r="G29" s="10">
        <v>941.90092000000038</v>
      </c>
      <c r="H29" s="10">
        <v>1795.9584000000002</v>
      </c>
      <c r="I29" s="10">
        <v>3615.3114</v>
      </c>
      <c r="J29" s="10">
        <v>7396.7887999999966</v>
      </c>
      <c r="K29" s="10"/>
      <c r="L29" s="10"/>
    </row>
    <row r="30" spans="3:12" x14ac:dyDescent="0.25">
      <c r="C30" s="1" t="s">
        <v>30</v>
      </c>
      <c r="D30" s="10">
        <v>1012.7280000000003</v>
      </c>
      <c r="E30" s="10">
        <v>1104.0413999999996</v>
      </c>
      <c r="F30" s="10">
        <v>1293.5447999999999</v>
      </c>
      <c r="G30" s="10">
        <v>1698.0785999999998</v>
      </c>
      <c r="H30" s="10">
        <v>2420.8137999999994</v>
      </c>
      <c r="I30" s="10">
        <v>4001.9280000000012</v>
      </c>
      <c r="J30" s="10">
        <v>7070.9327999999978</v>
      </c>
      <c r="K30" s="10"/>
      <c r="L30" s="10"/>
    </row>
    <row r="31" spans="3:12" x14ac:dyDescent="0.25">
      <c r="C31" s="1" t="s">
        <v>103</v>
      </c>
      <c r="D31" s="10">
        <v>166.39832000000001</v>
      </c>
      <c r="E31" s="10">
        <v>273.24957999999998</v>
      </c>
      <c r="F31" s="10">
        <v>486.96388000000002</v>
      </c>
      <c r="G31" s="10">
        <v>945.68083999999999</v>
      </c>
      <c r="H31" s="10">
        <v>1822.2892000000004</v>
      </c>
      <c r="I31" s="10">
        <v>3660.082800000001</v>
      </c>
      <c r="J31" s="10">
        <v>7486.0344000000005</v>
      </c>
      <c r="K31" s="10"/>
      <c r="L31" s="10"/>
    </row>
    <row r="32" spans="3:12" x14ac:dyDescent="0.25">
      <c r="C32" s="1" t="s">
        <v>10</v>
      </c>
      <c r="D32" s="10">
        <v>339.79502000000008</v>
      </c>
      <c r="E32" s="10">
        <v>620.5803800000001</v>
      </c>
      <c r="F32" s="10">
        <v>1197.9846</v>
      </c>
      <c r="G32" s="10">
        <v>2393.0125999999991</v>
      </c>
      <c r="H32" s="10">
        <v>4702.8194000000021</v>
      </c>
      <c r="I32" s="10">
        <v>9527.4737999999998</v>
      </c>
      <c r="J32" s="10">
        <v>19699.62</v>
      </c>
      <c r="K32" s="10"/>
      <c r="L32" s="10"/>
    </row>
    <row r="33" spans="3:12" x14ac:dyDescent="0.25">
      <c r="C33" s="1" t="s">
        <v>104</v>
      </c>
      <c r="D33" s="10">
        <v>2881.3801999999996</v>
      </c>
      <c r="E33" s="10">
        <v>5199.4790000000003</v>
      </c>
      <c r="F33" s="10">
        <v>9768.384600000003</v>
      </c>
      <c r="G33" s="10">
        <v>18816.770000000004</v>
      </c>
      <c r="H33" s="10">
        <v>37032.144</v>
      </c>
      <c r="I33" s="10">
        <v>73973.153999999995</v>
      </c>
      <c r="J33" s="10">
        <v>148239.12</v>
      </c>
      <c r="K33" s="10"/>
      <c r="L33" s="10"/>
    </row>
    <row r="34" spans="3:12" x14ac:dyDescent="0.25">
      <c r="C34" s="1" t="s">
        <v>105</v>
      </c>
      <c r="D34" s="10">
        <v>2670.2932000000001</v>
      </c>
      <c r="E34" s="10">
        <v>3110.6402000000007</v>
      </c>
      <c r="F34" s="10">
        <v>3665.2540000000013</v>
      </c>
      <c r="G34" s="10">
        <v>4796.3047999999981</v>
      </c>
      <c r="H34" s="10">
        <v>7009.789200000002</v>
      </c>
      <c r="I34" s="10">
        <v>11494.846000000001</v>
      </c>
      <c r="J34" s="10">
        <v>20581.848000000002</v>
      </c>
      <c r="K34" s="10"/>
      <c r="L34" s="10"/>
    </row>
    <row r="37" spans="3:12" x14ac:dyDescent="0.25">
      <c r="C37" s="1">
        <v>6</v>
      </c>
      <c r="D37" s="2">
        <v>2</v>
      </c>
      <c r="E37" s="3">
        <v>4</v>
      </c>
      <c r="F37" s="2">
        <v>8</v>
      </c>
      <c r="G37" s="2">
        <v>16</v>
      </c>
      <c r="H37" s="2">
        <v>32</v>
      </c>
      <c r="I37" s="2">
        <v>64</v>
      </c>
      <c r="J37" s="2">
        <v>128</v>
      </c>
      <c r="K37" s="2">
        <v>256</v>
      </c>
      <c r="L37" s="2">
        <v>512</v>
      </c>
    </row>
    <row r="38" spans="3:12" x14ac:dyDescent="0.25">
      <c r="C38" s="1"/>
      <c r="D38" s="4">
        <v>42</v>
      </c>
      <c r="E38" s="4">
        <v>84</v>
      </c>
      <c r="F38" s="4">
        <v>168</v>
      </c>
      <c r="G38" s="4">
        <v>336</v>
      </c>
      <c r="H38" s="4">
        <v>672</v>
      </c>
      <c r="I38" s="4">
        <v>1344</v>
      </c>
      <c r="J38" s="4">
        <v>2688</v>
      </c>
      <c r="K38" s="4">
        <v>5376</v>
      </c>
      <c r="L38" s="4">
        <v>10752</v>
      </c>
    </row>
    <row r="39" spans="3:12" x14ac:dyDescent="0.25">
      <c r="C39" s="1" t="s">
        <v>1</v>
      </c>
      <c r="D39" s="5">
        <f>D3/D$2</f>
        <v>146.4509238095238</v>
      </c>
      <c r="E39" s="5">
        <f t="shared" ref="E39:L39" si="0">E3/E$2</f>
        <v>139.27919047619048</v>
      </c>
      <c r="F39" s="5">
        <f t="shared" si="0"/>
        <v>130.40441666666669</v>
      </c>
      <c r="G39" s="5">
        <f t="shared" si="0"/>
        <v>125.57274404761904</v>
      </c>
      <c r="H39" s="5">
        <f t="shared" si="0"/>
        <v>125.87202083333332</v>
      </c>
      <c r="I39" s="5">
        <f t="shared" si="0"/>
        <v>124.34489583333334</v>
      </c>
      <c r="J39" s="5">
        <f t="shared" si="0"/>
        <v>124.62458333333333</v>
      </c>
      <c r="K39" s="5">
        <f t="shared" si="0"/>
        <v>0</v>
      </c>
      <c r="L39" s="5">
        <f t="shared" si="0"/>
        <v>0</v>
      </c>
    </row>
    <row r="40" spans="3:12" x14ac:dyDescent="0.25">
      <c r="C40" s="1" t="s">
        <v>25</v>
      </c>
      <c r="D40" s="5">
        <f t="shared" ref="D40:L55" si="1">D4/D$2</f>
        <v>21.773869047619048</v>
      </c>
      <c r="E40" s="5">
        <f t="shared" si="1"/>
        <v>11.267947857142856</v>
      </c>
      <c r="F40" s="5">
        <f t="shared" si="1"/>
        <v>6.749078571428571</v>
      </c>
      <c r="G40" s="5">
        <f t="shared" si="1"/>
        <v>4.5180916666666677</v>
      </c>
      <c r="H40" s="5">
        <f t="shared" si="1"/>
        <v>5.2190270833333336</v>
      </c>
      <c r="I40" s="5">
        <f t="shared" si="1"/>
        <v>7.5684523809523814</v>
      </c>
      <c r="J40" s="5">
        <f t="shared" si="1"/>
        <v>0</v>
      </c>
      <c r="K40" s="5">
        <f t="shared" si="1"/>
        <v>0</v>
      </c>
      <c r="L40" s="5">
        <f t="shared" si="1"/>
        <v>0</v>
      </c>
    </row>
    <row r="41" spans="3:12" x14ac:dyDescent="0.25">
      <c r="C41" s="1" t="s">
        <v>26</v>
      </c>
      <c r="D41" s="5">
        <f t="shared" si="1"/>
        <v>26.763476190476197</v>
      </c>
      <c r="E41" s="5">
        <f t="shared" si="1"/>
        <v>16.624550000000006</v>
      </c>
      <c r="F41" s="5">
        <f t="shared" si="1"/>
        <v>11.344675000000001</v>
      </c>
      <c r="G41" s="5">
        <f t="shared" si="1"/>
        <v>8.8807982142857131</v>
      </c>
      <c r="H41" s="5">
        <f t="shared" si="1"/>
        <v>7.7562997023809528</v>
      </c>
      <c r="I41" s="5">
        <f t="shared" si="1"/>
        <v>7.3430126488095242</v>
      </c>
      <c r="J41" s="5">
        <f t="shared" si="1"/>
        <v>7.2393891369047632</v>
      </c>
      <c r="K41" s="5">
        <f t="shared" si="1"/>
        <v>0</v>
      </c>
      <c r="L41" s="5">
        <f t="shared" si="1"/>
        <v>0</v>
      </c>
    </row>
    <row r="42" spans="3:12" x14ac:dyDescent="0.25">
      <c r="C42" s="1" t="s">
        <v>27</v>
      </c>
      <c r="D42" s="5">
        <f t="shared" si="1"/>
        <v>28.306214285714287</v>
      </c>
      <c r="E42" s="5">
        <f t="shared" si="1"/>
        <v>17.10550952380952</v>
      </c>
      <c r="F42" s="5">
        <f t="shared" si="1"/>
        <v>11.613335714285714</v>
      </c>
      <c r="G42" s="5">
        <f t="shared" si="1"/>
        <v>9.0917952380952354</v>
      </c>
      <c r="H42" s="5">
        <f t="shared" si="1"/>
        <v>7.6404747023809527</v>
      </c>
      <c r="I42" s="5">
        <f t="shared" si="1"/>
        <v>7.0815561011904737</v>
      </c>
      <c r="J42" s="5">
        <f t="shared" si="1"/>
        <v>6.7848824404761903</v>
      </c>
      <c r="K42" s="5">
        <f t="shared" si="1"/>
        <v>0</v>
      </c>
      <c r="L42" s="5">
        <f t="shared" si="1"/>
        <v>0</v>
      </c>
    </row>
    <row r="43" spans="3:12" x14ac:dyDescent="0.25">
      <c r="C43" s="1" t="s">
        <v>28</v>
      </c>
      <c r="D43" s="5">
        <f t="shared" si="1"/>
        <v>22.116284761904765</v>
      </c>
      <c r="E43" s="5">
        <f t="shared" si="1"/>
        <v>11.330600714285717</v>
      </c>
      <c r="F43" s="5">
        <f t="shared" si="1"/>
        <v>6.9736773809523811</v>
      </c>
      <c r="G43" s="5">
        <f t="shared" si="1"/>
        <v>4.5677351190476196</v>
      </c>
      <c r="H43" s="5">
        <f t="shared" si="1"/>
        <v>5.2504961309523823</v>
      </c>
      <c r="I43" s="5">
        <f t="shared" si="1"/>
        <v>7.6073363095238093</v>
      </c>
      <c r="J43" s="5">
        <f t="shared" si="1"/>
        <v>0</v>
      </c>
      <c r="K43" s="5">
        <f t="shared" si="1"/>
        <v>0</v>
      </c>
      <c r="L43" s="5">
        <f t="shared" si="1"/>
        <v>0</v>
      </c>
    </row>
    <row r="44" spans="3:12" x14ac:dyDescent="0.25">
      <c r="C44" s="1" t="s">
        <v>29</v>
      </c>
      <c r="D44" s="5">
        <f t="shared" si="1"/>
        <v>26.577109523809522</v>
      </c>
      <c r="E44" s="5">
        <f t="shared" si="1"/>
        <v>16.666216666666674</v>
      </c>
      <c r="F44" s="5">
        <f t="shared" si="1"/>
        <v>11.460363095238097</v>
      </c>
      <c r="G44" s="5">
        <f t="shared" si="1"/>
        <v>8.8653422619047575</v>
      </c>
      <c r="H44" s="5">
        <f t="shared" si="1"/>
        <v>7.738628273809522</v>
      </c>
      <c r="I44" s="5">
        <f t="shared" si="1"/>
        <v>7.3619331845238083</v>
      </c>
      <c r="J44" s="5">
        <f t="shared" si="1"/>
        <v>7.2827529761904763</v>
      </c>
      <c r="K44" s="5">
        <f t="shared" si="1"/>
        <v>0</v>
      </c>
      <c r="L44" s="5">
        <f t="shared" si="1"/>
        <v>0</v>
      </c>
    </row>
    <row r="45" spans="3:12" x14ac:dyDescent="0.25">
      <c r="C45" s="1" t="s">
        <v>30</v>
      </c>
      <c r="D45" s="5">
        <f t="shared" si="1"/>
        <v>28.298190476190477</v>
      </c>
      <c r="E45" s="5">
        <f t="shared" si="1"/>
        <v>17.238840476190472</v>
      </c>
      <c r="F45" s="5">
        <f t="shared" si="1"/>
        <v>11.693764285714284</v>
      </c>
      <c r="G45" s="5">
        <f t="shared" si="1"/>
        <v>9.112027976190479</v>
      </c>
      <c r="H45" s="5">
        <f t="shared" si="1"/>
        <v>7.6234017857142851</v>
      </c>
      <c r="I45" s="5">
        <f t="shared" si="1"/>
        <v>7.0844218749999994</v>
      </c>
      <c r="J45" s="5">
        <f t="shared" si="1"/>
        <v>6.8365587797619041</v>
      </c>
      <c r="K45" s="5">
        <f t="shared" si="1"/>
        <v>0</v>
      </c>
      <c r="L45" s="5">
        <f t="shared" si="1"/>
        <v>0</v>
      </c>
    </row>
    <row r="46" spans="3:12" x14ac:dyDescent="0.25">
      <c r="C46" s="1" t="s">
        <v>31</v>
      </c>
      <c r="D46" s="5">
        <f t="shared" si="1"/>
        <v>0</v>
      </c>
      <c r="E46" s="5">
        <f t="shared" si="1"/>
        <v>0</v>
      </c>
      <c r="F46" s="5">
        <f t="shared" si="1"/>
        <v>0</v>
      </c>
      <c r="G46" s="5">
        <f t="shared" si="1"/>
        <v>0</v>
      </c>
      <c r="H46" s="5">
        <f t="shared" si="1"/>
        <v>0</v>
      </c>
      <c r="I46" s="5">
        <f t="shared" si="1"/>
        <v>0</v>
      </c>
      <c r="J46" s="5">
        <f t="shared" si="1"/>
        <v>0</v>
      </c>
      <c r="K46" s="5">
        <f t="shared" si="1"/>
        <v>0</v>
      </c>
      <c r="L46" s="5">
        <f t="shared" si="1"/>
        <v>0</v>
      </c>
    </row>
    <row r="47" spans="3:12" x14ac:dyDescent="0.25">
      <c r="C47" s="1" t="s">
        <v>32</v>
      </c>
      <c r="D47" s="5">
        <f t="shared" si="1"/>
        <v>0</v>
      </c>
      <c r="E47" s="5">
        <f t="shared" si="1"/>
        <v>0</v>
      </c>
      <c r="F47" s="5">
        <f t="shared" si="1"/>
        <v>0</v>
      </c>
      <c r="G47" s="5">
        <f t="shared" si="1"/>
        <v>0</v>
      </c>
      <c r="H47" s="5">
        <f t="shared" si="1"/>
        <v>0</v>
      </c>
      <c r="I47" s="5">
        <f t="shared" si="1"/>
        <v>0</v>
      </c>
      <c r="J47" s="5">
        <f t="shared" si="1"/>
        <v>0</v>
      </c>
      <c r="K47" s="5">
        <f t="shared" si="1"/>
        <v>0</v>
      </c>
      <c r="L47" s="5">
        <f t="shared" si="1"/>
        <v>0</v>
      </c>
    </row>
    <row r="48" spans="3:12" x14ac:dyDescent="0.25">
      <c r="C48" s="1" t="s">
        <v>33</v>
      </c>
      <c r="D48" s="5">
        <f t="shared" si="1"/>
        <v>0</v>
      </c>
      <c r="E48" s="5">
        <f t="shared" si="1"/>
        <v>0</v>
      </c>
      <c r="F48" s="5">
        <f t="shared" si="1"/>
        <v>0</v>
      </c>
      <c r="G48" s="5">
        <f t="shared" si="1"/>
        <v>0</v>
      </c>
      <c r="H48" s="5">
        <f t="shared" si="1"/>
        <v>0</v>
      </c>
      <c r="I48" s="5">
        <f t="shared" si="1"/>
        <v>0</v>
      </c>
      <c r="J48" s="5">
        <f t="shared" si="1"/>
        <v>0</v>
      </c>
      <c r="K48" s="5">
        <f t="shared" si="1"/>
        <v>0</v>
      </c>
      <c r="L48" s="5">
        <f t="shared" si="1"/>
        <v>0</v>
      </c>
    </row>
    <row r="49" spans="3:12" x14ac:dyDescent="0.25">
      <c r="C49" s="1" t="s">
        <v>34</v>
      </c>
      <c r="D49" s="5">
        <f t="shared" si="1"/>
        <v>21.948315714285712</v>
      </c>
      <c r="E49" s="5">
        <f t="shared" si="1"/>
        <v>11.494739523809525</v>
      </c>
      <c r="F49" s="5">
        <f t="shared" si="1"/>
        <v>6.8940249999999992</v>
      </c>
      <c r="G49" s="5" t="e">
        <f t="shared" si="1"/>
        <v>#DIV/0!</v>
      </c>
      <c r="H49" s="5" t="e">
        <f t="shared" si="1"/>
        <v>#DIV/0!</v>
      </c>
      <c r="I49" s="5" t="e">
        <f t="shared" si="1"/>
        <v>#DIV/0!</v>
      </c>
      <c r="J49" s="5" t="e">
        <f t="shared" si="1"/>
        <v>#DIV/0!</v>
      </c>
      <c r="K49" s="5">
        <f t="shared" si="1"/>
        <v>0</v>
      </c>
      <c r="L49" s="5">
        <f t="shared" si="1"/>
        <v>0</v>
      </c>
    </row>
    <row r="50" spans="3:12" x14ac:dyDescent="0.25">
      <c r="C50" s="1" t="s">
        <v>35</v>
      </c>
      <c r="D50" s="5">
        <f t="shared" si="1"/>
        <v>27.661042857142856</v>
      </c>
      <c r="E50" s="5">
        <f t="shared" si="1"/>
        <v>16.574057142857143</v>
      </c>
      <c r="F50" s="5">
        <f t="shared" si="1"/>
        <v>11.33145</v>
      </c>
      <c r="G50" s="5" t="e">
        <f t="shared" si="1"/>
        <v>#DIV/0!</v>
      </c>
      <c r="H50" s="5" t="e">
        <f t="shared" si="1"/>
        <v>#DIV/0!</v>
      </c>
      <c r="I50" s="5" t="e">
        <f t="shared" si="1"/>
        <v>#DIV/0!</v>
      </c>
      <c r="J50" s="5" t="e">
        <f t="shared" si="1"/>
        <v>#DIV/0!</v>
      </c>
      <c r="K50" s="5">
        <f t="shared" si="1"/>
        <v>0</v>
      </c>
      <c r="L50" s="5">
        <f t="shared" si="1"/>
        <v>0</v>
      </c>
    </row>
    <row r="51" spans="3:12" x14ac:dyDescent="0.25">
      <c r="C51" s="1" t="s">
        <v>36</v>
      </c>
      <c r="D51" s="5">
        <f t="shared" si="1"/>
        <v>28.563409523809522</v>
      </c>
      <c r="E51" s="5">
        <f t="shared" si="1"/>
        <v>17.264964285714285</v>
      </c>
      <c r="F51" s="5">
        <f t="shared" si="1"/>
        <v>11.718635714285718</v>
      </c>
      <c r="G51" s="5" t="e">
        <f t="shared" si="1"/>
        <v>#DIV/0!</v>
      </c>
      <c r="H51" s="5" t="e">
        <f t="shared" si="1"/>
        <v>#DIV/0!</v>
      </c>
      <c r="I51" s="5" t="e">
        <f t="shared" si="1"/>
        <v>#DIV/0!</v>
      </c>
      <c r="J51" s="5" t="e">
        <f t="shared" si="1"/>
        <v>#DIV/0!</v>
      </c>
      <c r="K51" s="5">
        <f t="shared" si="1"/>
        <v>0</v>
      </c>
      <c r="L51" s="5">
        <f t="shared" si="1"/>
        <v>0</v>
      </c>
    </row>
    <row r="52" spans="3:12" x14ac:dyDescent="0.25">
      <c r="C52" s="1" t="s">
        <v>38</v>
      </c>
      <c r="D52" s="5">
        <f t="shared" si="1"/>
        <v>22.052725238095235</v>
      </c>
      <c r="E52" s="5">
        <f t="shared" si="1"/>
        <v>11.493997857142862</v>
      </c>
      <c r="F52" s="5">
        <f t="shared" si="1"/>
        <v>6.89224642857143</v>
      </c>
      <c r="G52" s="5" t="e">
        <f t="shared" si="1"/>
        <v>#DIV/0!</v>
      </c>
      <c r="H52" s="5" t="e">
        <f t="shared" si="1"/>
        <v>#DIV/0!</v>
      </c>
      <c r="I52" s="5" t="e">
        <f t="shared" si="1"/>
        <v>#DIV/0!</v>
      </c>
      <c r="J52" s="5" t="e">
        <f t="shared" si="1"/>
        <v>#DIV/0!</v>
      </c>
      <c r="K52" s="5">
        <f t="shared" si="1"/>
        <v>0</v>
      </c>
      <c r="L52" s="5">
        <f t="shared" si="1"/>
        <v>0</v>
      </c>
    </row>
    <row r="53" spans="3:12" x14ac:dyDescent="0.25">
      <c r="C53" s="1" t="s">
        <v>39</v>
      </c>
      <c r="D53" s="5">
        <f t="shared" si="1"/>
        <v>27.339809523809528</v>
      </c>
      <c r="E53" s="5">
        <f t="shared" si="1"/>
        <v>16.542697619047626</v>
      </c>
      <c r="F53" s="5">
        <f t="shared" si="1"/>
        <v>11.372123809523806</v>
      </c>
      <c r="G53" s="5" t="e">
        <f t="shared" si="1"/>
        <v>#DIV/0!</v>
      </c>
      <c r="H53" s="5" t="e">
        <f t="shared" si="1"/>
        <v>#DIV/0!</v>
      </c>
      <c r="I53" s="5" t="e">
        <f t="shared" si="1"/>
        <v>#DIV/0!</v>
      </c>
      <c r="J53" s="5" t="e">
        <f t="shared" si="1"/>
        <v>#DIV/0!</v>
      </c>
      <c r="K53" s="5">
        <f t="shared" si="1"/>
        <v>0</v>
      </c>
      <c r="L53" s="5">
        <f t="shared" si="1"/>
        <v>0</v>
      </c>
    </row>
    <row r="54" spans="3:12" x14ac:dyDescent="0.25">
      <c r="C54" s="1" t="s">
        <v>40</v>
      </c>
      <c r="D54" s="5">
        <f t="shared" si="1"/>
        <v>28.515766666666671</v>
      </c>
      <c r="E54" s="5">
        <f t="shared" si="1"/>
        <v>17.262061904761904</v>
      </c>
      <c r="F54" s="5">
        <f t="shared" si="1"/>
        <v>11.670254761904761</v>
      </c>
      <c r="G54" s="5" t="e">
        <f t="shared" si="1"/>
        <v>#DIV/0!</v>
      </c>
      <c r="H54" s="5" t="e">
        <f t="shared" si="1"/>
        <v>#DIV/0!</v>
      </c>
      <c r="I54" s="5" t="e">
        <f t="shared" si="1"/>
        <v>#DIV/0!</v>
      </c>
      <c r="J54" s="5" t="e">
        <f t="shared" si="1"/>
        <v>#DIV/0!</v>
      </c>
      <c r="K54" s="5">
        <f t="shared" si="1"/>
        <v>0</v>
      </c>
      <c r="L54" s="5">
        <f t="shared" si="1"/>
        <v>0</v>
      </c>
    </row>
    <row r="55" spans="3:12" x14ac:dyDescent="0.25">
      <c r="C55" s="1" t="s">
        <v>41</v>
      </c>
      <c r="D55" s="5">
        <f t="shared" si="1"/>
        <v>28.573476190476196</v>
      </c>
      <c r="E55" s="5">
        <f t="shared" si="1"/>
        <v>17.47004047619048</v>
      </c>
      <c r="F55" s="5">
        <f t="shared" si="1"/>
        <v>11.790848809523807</v>
      </c>
      <c r="G55" s="5">
        <f t="shared" si="1"/>
        <v>9.1841107142857119</v>
      </c>
      <c r="H55" s="5">
        <f t="shared" si="1"/>
        <v>7.6099187499999994</v>
      </c>
      <c r="I55" s="5">
        <f t="shared" si="1"/>
        <v>7.0342377976190464</v>
      </c>
      <c r="J55" s="5">
        <f t="shared" si="1"/>
        <v>6.7818526785714282</v>
      </c>
      <c r="K55" s="5">
        <f t="shared" si="1"/>
        <v>0</v>
      </c>
      <c r="L55" s="5">
        <f t="shared" si="1"/>
        <v>0</v>
      </c>
    </row>
    <row r="56" spans="3:12" x14ac:dyDescent="0.25">
      <c r="C56" s="1" t="s">
        <v>43</v>
      </c>
      <c r="D56" s="5">
        <f t="shared" ref="D56:L63" si="2">D20/D$2</f>
        <v>28.496004761904764</v>
      </c>
      <c r="E56" s="5">
        <f t="shared" si="2"/>
        <v>17.457319047619048</v>
      </c>
      <c r="F56" s="5">
        <f t="shared" si="2"/>
        <v>11.837180952380951</v>
      </c>
      <c r="G56" s="5">
        <f t="shared" si="2"/>
        <v>9.0916345238095264</v>
      </c>
      <c r="H56" s="5">
        <f t="shared" si="2"/>
        <v>7.6479693452380939</v>
      </c>
      <c r="I56" s="5">
        <f t="shared" si="2"/>
        <v>7.0123607142857161</v>
      </c>
      <c r="J56" s="5">
        <f t="shared" si="2"/>
        <v>6.7624047619047634</v>
      </c>
      <c r="K56" s="5">
        <f t="shared" si="2"/>
        <v>0</v>
      </c>
      <c r="L56" s="5">
        <f t="shared" si="2"/>
        <v>0</v>
      </c>
    </row>
    <row r="57" spans="3:12" x14ac:dyDescent="0.25">
      <c r="C57" s="1" t="s">
        <v>44</v>
      </c>
      <c r="D57" s="5">
        <f t="shared" si="2"/>
        <v>8.5308157142857084</v>
      </c>
      <c r="E57" s="5">
        <f t="shared" si="2"/>
        <v>7.6305523809523814</v>
      </c>
      <c r="F57" s="5">
        <f t="shared" si="2"/>
        <v>7.1381000000000006</v>
      </c>
      <c r="G57" s="5">
        <f t="shared" si="2"/>
        <v>6.875306547619048</v>
      </c>
      <c r="H57" s="5">
        <f t="shared" si="2"/>
        <v>6.8280208333333308</v>
      </c>
      <c r="I57" s="5">
        <f t="shared" si="2"/>
        <v>6.9014032738095246</v>
      </c>
      <c r="J57" s="5">
        <f t="shared" si="2"/>
        <v>7.0684538690476169</v>
      </c>
      <c r="K57" s="5">
        <f t="shared" si="2"/>
        <v>0</v>
      </c>
      <c r="L57" s="5">
        <f t="shared" si="2"/>
        <v>0</v>
      </c>
    </row>
    <row r="58" spans="3:12" x14ac:dyDescent="0.25">
      <c r="C58" s="1" t="s">
        <v>37</v>
      </c>
      <c r="D58" s="5">
        <f t="shared" si="2"/>
        <v>7.9435190476190458</v>
      </c>
      <c r="E58" s="5">
        <f t="shared" si="2"/>
        <v>7.3186926190476189</v>
      </c>
      <c r="F58" s="5">
        <f t="shared" si="2"/>
        <v>6.8927904761904744</v>
      </c>
      <c r="G58" s="5" t="e">
        <f t="shared" si="2"/>
        <v>#DIV/0!</v>
      </c>
      <c r="H58" s="5" t="e">
        <f t="shared" si="2"/>
        <v>#DIV/0!</v>
      </c>
      <c r="I58" s="5" t="e">
        <f t="shared" si="2"/>
        <v>#DIV/0!</v>
      </c>
      <c r="J58" s="5" t="e">
        <f t="shared" si="2"/>
        <v>#DIV/0!</v>
      </c>
      <c r="K58" s="5">
        <f t="shared" si="2"/>
        <v>0</v>
      </c>
      <c r="L58" s="5">
        <f t="shared" si="2"/>
        <v>0</v>
      </c>
    </row>
    <row r="59" spans="3:12" x14ac:dyDescent="0.25">
      <c r="C59" s="1" t="s">
        <v>42</v>
      </c>
      <c r="D59" s="5">
        <f t="shared" si="2"/>
        <v>8.0974104761904773</v>
      </c>
      <c r="E59" s="5">
        <f t="shared" si="2"/>
        <v>7.3498921428571427</v>
      </c>
      <c r="F59" s="5">
        <f t="shared" si="2"/>
        <v>6.9789273809523804</v>
      </c>
      <c r="G59" s="5">
        <f t="shared" si="2"/>
        <v>6.8894351190476186</v>
      </c>
      <c r="H59" s="5">
        <f t="shared" si="2"/>
        <v>6.7747991071428562</v>
      </c>
      <c r="I59" s="5">
        <f t="shared" si="2"/>
        <v>6.8351215773809519</v>
      </c>
      <c r="J59" s="5">
        <f t="shared" si="2"/>
        <v>7.0205714285714276</v>
      </c>
      <c r="K59" s="5">
        <f t="shared" si="2"/>
        <v>0</v>
      </c>
      <c r="L59" s="5">
        <f t="shared" si="2"/>
        <v>0</v>
      </c>
    </row>
    <row r="60" spans="3:12" x14ac:dyDescent="0.25">
      <c r="C60" s="1" t="s">
        <v>103</v>
      </c>
      <c r="D60" s="5">
        <f t="shared" si="2"/>
        <v>8.0491695238095229</v>
      </c>
      <c r="E60" s="5">
        <f t="shared" si="2"/>
        <v>7.3642797619047613</v>
      </c>
      <c r="F60" s="5">
        <f t="shared" si="2"/>
        <v>6.9819047619047625</v>
      </c>
      <c r="G60" s="5">
        <f t="shared" si="2"/>
        <v>6.9254660714285698</v>
      </c>
      <c r="H60" s="5">
        <f t="shared" si="2"/>
        <v>6.8121366071428611</v>
      </c>
      <c r="I60" s="5">
        <f t="shared" si="2"/>
        <v>6.8929122023809528</v>
      </c>
      <c r="J60" s="5">
        <f t="shared" si="2"/>
        <v>7.1065751488095241</v>
      </c>
      <c r="K60" s="5">
        <f t="shared" si="2"/>
        <v>0</v>
      </c>
      <c r="L60" s="5">
        <f t="shared" si="2"/>
        <v>0</v>
      </c>
    </row>
    <row r="61" spans="3:12" x14ac:dyDescent="0.25">
      <c r="C61" s="1" t="s">
        <v>9</v>
      </c>
      <c r="D61" s="5">
        <f t="shared" si="2"/>
        <v>29.029719047619047</v>
      </c>
      <c r="E61" s="5">
        <f t="shared" si="2"/>
        <v>17.528740476190475</v>
      </c>
      <c r="F61" s="5">
        <f t="shared" si="2"/>
        <v>11.202898809523807</v>
      </c>
      <c r="G61" s="5">
        <f t="shared" si="2"/>
        <v>8.9971392857142884</v>
      </c>
      <c r="H61" s="5">
        <f t="shared" si="2"/>
        <v>11.65062351190476</v>
      </c>
      <c r="I61" s="5">
        <f t="shared" si="2"/>
        <v>9.5386190476190453</v>
      </c>
      <c r="J61" s="5">
        <f t="shared" si="2"/>
        <v>9.3989471726190459</v>
      </c>
      <c r="K61" s="5">
        <f t="shared" si="2"/>
        <v>0</v>
      </c>
      <c r="L61" s="5">
        <f t="shared" si="2"/>
        <v>0</v>
      </c>
    </row>
    <row r="62" spans="3:12" x14ac:dyDescent="0.25">
      <c r="C62" s="1" t="s">
        <v>10</v>
      </c>
      <c r="D62" s="5">
        <f t="shared" si="2"/>
        <v>8.1930152380952368</v>
      </c>
      <c r="E62" s="5">
        <f t="shared" si="2"/>
        <v>7.6584216666666673</v>
      </c>
      <c r="F62" s="5">
        <f t="shared" si="2"/>
        <v>7.2322738095238108</v>
      </c>
      <c r="G62" s="5">
        <f t="shared" si="2"/>
        <v>7.151947023809524</v>
      </c>
      <c r="H62" s="5">
        <f t="shared" si="2"/>
        <v>7.0646354166666674</v>
      </c>
      <c r="I62" s="5">
        <f t="shared" si="2"/>
        <v>7.1281514880952397</v>
      </c>
      <c r="J62" s="5">
        <f t="shared" si="2"/>
        <v>7.2569196428571425</v>
      </c>
      <c r="K62" s="5">
        <f t="shared" si="2"/>
        <v>0</v>
      </c>
      <c r="L62" s="5">
        <f t="shared" si="2"/>
        <v>0</v>
      </c>
    </row>
    <row r="63" spans="3:12" x14ac:dyDescent="0.25">
      <c r="C63" s="1" t="s">
        <v>25</v>
      </c>
      <c r="D63" s="5">
        <f t="shared" si="2"/>
        <v>21.126919523809516</v>
      </c>
      <c r="E63" s="5">
        <f t="shared" si="2"/>
        <v>10.994049047619047</v>
      </c>
      <c r="F63" s="5">
        <f t="shared" si="2"/>
        <v>6.5246916666666683</v>
      </c>
      <c r="G63" s="5">
        <f t="shared" si="2"/>
        <v>4.3537452380952395</v>
      </c>
      <c r="H63" s="5">
        <f t="shared" si="2"/>
        <v>4.9393607142857112</v>
      </c>
      <c r="I63" s="5">
        <f t="shared" si="2"/>
        <v>7.2187241071428572</v>
      </c>
      <c r="J63" s="5">
        <f t="shared" si="2"/>
        <v>0</v>
      </c>
      <c r="K63" s="5">
        <f t="shared" si="2"/>
        <v>0</v>
      </c>
      <c r="L63" s="5">
        <f t="shared" si="2"/>
        <v>0</v>
      </c>
    </row>
    <row r="64" spans="3:12" x14ac:dyDescent="0.25">
      <c r="C64" s="1" t="s">
        <v>27</v>
      </c>
      <c r="D64" s="5">
        <f t="shared" ref="D64:L64" si="3">D28/D$2</f>
        <v>24.235842857142849</v>
      </c>
      <c r="E64" s="5">
        <f t="shared" si="3"/>
        <v>13.26982619047619</v>
      </c>
      <c r="F64" s="5">
        <f t="shared" si="3"/>
        <v>7.6916976190476181</v>
      </c>
      <c r="G64" s="5">
        <f t="shared" si="3"/>
        <v>5.0780982142857125</v>
      </c>
      <c r="H64" s="5">
        <f t="shared" si="3"/>
        <v>3.6144252976190478</v>
      </c>
      <c r="I64" s="5">
        <f t="shared" si="3"/>
        <v>2.9774297619047614</v>
      </c>
      <c r="J64" s="5">
        <f t="shared" si="3"/>
        <v>2.6283276785714289</v>
      </c>
      <c r="K64" s="5">
        <f t="shared" si="3"/>
        <v>0</v>
      </c>
      <c r="L64" s="5">
        <f t="shared" si="3"/>
        <v>0</v>
      </c>
    </row>
    <row r="65" spans="3:12" x14ac:dyDescent="0.25">
      <c r="C65" s="15" t="s">
        <v>8</v>
      </c>
      <c r="D65" s="95">
        <f t="shared" ref="D65:L65" si="4">D29/D$2</f>
        <v>3.846592380952381</v>
      </c>
      <c r="E65" s="95">
        <f t="shared" si="4"/>
        <v>3.2101233333333323</v>
      </c>
      <c r="F65" s="95">
        <f t="shared" si="4"/>
        <v>2.8643495238095231</v>
      </c>
      <c r="G65" s="95">
        <f t="shared" si="4"/>
        <v>2.8032765476190487</v>
      </c>
      <c r="H65" s="95">
        <f t="shared" si="4"/>
        <v>2.6725571428571433</v>
      </c>
      <c r="I65" s="95">
        <f t="shared" si="4"/>
        <v>2.6899638392857144</v>
      </c>
      <c r="J65" s="95">
        <f t="shared" si="4"/>
        <v>2.7517815476190464</v>
      </c>
      <c r="K65" s="95">
        <f t="shared" si="4"/>
        <v>0</v>
      </c>
      <c r="L65" s="95">
        <f t="shared" si="4"/>
        <v>0</v>
      </c>
    </row>
    <row r="66" spans="3:12" x14ac:dyDescent="0.25">
      <c r="C66" s="1" t="s">
        <v>30</v>
      </c>
      <c r="D66" s="5">
        <f t="shared" ref="D66:L66" si="5">D30/D$2</f>
        <v>24.112571428571435</v>
      </c>
      <c r="E66" s="5">
        <f t="shared" si="5"/>
        <v>13.143349999999995</v>
      </c>
      <c r="F66" s="5">
        <f t="shared" si="5"/>
        <v>7.6996714285714276</v>
      </c>
      <c r="G66" s="5">
        <f t="shared" si="5"/>
        <v>5.0538053571428563</v>
      </c>
      <c r="H66" s="5">
        <f t="shared" si="5"/>
        <v>3.6024014880952371</v>
      </c>
      <c r="I66" s="5">
        <f t="shared" si="5"/>
        <v>2.9776250000000011</v>
      </c>
      <c r="J66" s="5">
        <f t="shared" si="5"/>
        <v>2.6305553571428564</v>
      </c>
      <c r="K66" s="5">
        <f t="shared" si="5"/>
        <v>0</v>
      </c>
      <c r="L66" s="5">
        <f t="shared" si="5"/>
        <v>0</v>
      </c>
    </row>
    <row r="67" spans="3:12" x14ac:dyDescent="0.25">
      <c r="C67" s="15" t="s">
        <v>103</v>
      </c>
      <c r="D67" s="95">
        <f t="shared" ref="D67:L67" si="6">D31/D$2</f>
        <v>3.9618647619047622</v>
      </c>
      <c r="E67" s="95">
        <f t="shared" si="6"/>
        <v>3.2529711904761904</v>
      </c>
      <c r="F67" s="95">
        <f t="shared" si="6"/>
        <v>2.8985945238095239</v>
      </c>
      <c r="G67" s="95">
        <f t="shared" si="6"/>
        <v>2.8145263095238096</v>
      </c>
      <c r="H67" s="95">
        <f t="shared" si="6"/>
        <v>2.7117398809523814</v>
      </c>
      <c r="I67" s="95">
        <f t="shared" si="6"/>
        <v>2.7232758928571434</v>
      </c>
      <c r="J67" s="95">
        <f t="shared" si="6"/>
        <v>2.7849830357142857</v>
      </c>
      <c r="K67" s="95">
        <f t="shared" si="6"/>
        <v>0</v>
      </c>
      <c r="L67" s="95">
        <f t="shared" si="6"/>
        <v>0</v>
      </c>
    </row>
    <row r="68" spans="3:12" x14ac:dyDescent="0.25">
      <c r="C68" s="1" t="s">
        <v>10</v>
      </c>
      <c r="D68" s="5">
        <f t="shared" ref="D68:L68" si="7">D32/D$2</f>
        <v>8.0903576190476212</v>
      </c>
      <c r="E68" s="5">
        <f t="shared" si="7"/>
        <v>7.3878616666666677</v>
      </c>
      <c r="F68" s="5">
        <f t="shared" si="7"/>
        <v>7.1308607142857143</v>
      </c>
      <c r="G68" s="5">
        <f t="shared" si="7"/>
        <v>7.122061309523807</v>
      </c>
      <c r="H68" s="5">
        <f t="shared" si="7"/>
        <v>6.9982431547619077</v>
      </c>
      <c r="I68" s="5">
        <f t="shared" si="7"/>
        <v>7.088894196428571</v>
      </c>
      <c r="J68" s="5">
        <f t="shared" si="7"/>
        <v>7.3287276785714282</v>
      </c>
      <c r="K68" s="5">
        <f t="shared" si="7"/>
        <v>0</v>
      </c>
      <c r="L68" s="5">
        <f t="shared" si="7"/>
        <v>0</v>
      </c>
    </row>
    <row r="69" spans="3:12" x14ac:dyDescent="0.25">
      <c r="C69" s="1" t="s">
        <v>104</v>
      </c>
      <c r="D69" s="5">
        <f t="shared" ref="D69:L69" si="8">D33/D$2</f>
        <v>68.604290476190471</v>
      </c>
      <c r="E69" s="5">
        <f t="shared" si="8"/>
        <v>61.898559523809524</v>
      </c>
      <c r="F69" s="5">
        <f t="shared" si="8"/>
        <v>58.145146428571444</v>
      </c>
      <c r="G69" s="5">
        <f t="shared" si="8"/>
        <v>56.002291666666679</v>
      </c>
      <c r="H69" s="5">
        <f t="shared" si="8"/>
        <v>55.10735714285714</v>
      </c>
      <c r="I69" s="5">
        <f t="shared" si="8"/>
        <v>55.039549107142854</v>
      </c>
      <c r="J69" s="5">
        <f t="shared" si="8"/>
        <v>55.148482142857141</v>
      </c>
      <c r="K69" s="5">
        <f t="shared" si="8"/>
        <v>0</v>
      </c>
      <c r="L69" s="5">
        <f t="shared" si="8"/>
        <v>0</v>
      </c>
    </row>
    <row r="70" spans="3:12" x14ac:dyDescent="0.25">
      <c r="C70" s="1" t="s">
        <v>105</v>
      </c>
      <c r="D70" s="5">
        <f t="shared" ref="D70:L70" si="9">D34/D$2</f>
        <v>63.578409523809526</v>
      </c>
      <c r="E70" s="5">
        <f t="shared" si="9"/>
        <v>37.031430952380958</v>
      </c>
      <c r="F70" s="5">
        <f t="shared" si="9"/>
        <v>21.816988095238102</v>
      </c>
      <c r="G70" s="5">
        <f t="shared" si="9"/>
        <v>14.274716666666661</v>
      </c>
      <c r="H70" s="5">
        <f t="shared" si="9"/>
        <v>10.431233928571432</v>
      </c>
      <c r="I70" s="5">
        <f t="shared" si="9"/>
        <v>8.5527127976190478</v>
      </c>
      <c r="J70" s="5">
        <f t="shared" si="9"/>
        <v>7.6569375000000006</v>
      </c>
      <c r="K70" s="5">
        <f t="shared" si="9"/>
        <v>0</v>
      </c>
      <c r="L70" s="5">
        <f t="shared" si="9"/>
        <v>0</v>
      </c>
    </row>
    <row r="73" spans="3:12" x14ac:dyDescent="0.25">
      <c r="C73" s="1">
        <v>50</v>
      </c>
      <c r="D73" s="2">
        <v>2</v>
      </c>
      <c r="E73" s="3">
        <v>4</v>
      </c>
      <c r="F73" s="2">
        <v>8</v>
      </c>
      <c r="G73" s="2">
        <v>16</v>
      </c>
      <c r="H73" s="2">
        <v>32</v>
      </c>
      <c r="I73" s="2">
        <v>64</v>
      </c>
      <c r="J73" s="2">
        <v>128</v>
      </c>
      <c r="K73" s="2">
        <v>256</v>
      </c>
      <c r="L73" s="2">
        <v>512</v>
      </c>
    </row>
    <row r="74" spans="3:12" x14ac:dyDescent="0.25">
      <c r="C74" s="1"/>
      <c r="D74" s="4">
        <v>42</v>
      </c>
      <c r="E74" s="4">
        <v>84</v>
      </c>
      <c r="F74" s="4">
        <v>168</v>
      </c>
      <c r="G74" s="4">
        <v>336</v>
      </c>
      <c r="H74" s="4">
        <v>672</v>
      </c>
      <c r="I74" s="4">
        <v>1344</v>
      </c>
      <c r="J74" s="4">
        <v>2688</v>
      </c>
      <c r="K74" s="4">
        <v>5376</v>
      </c>
      <c r="L74" s="4">
        <v>10752</v>
      </c>
    </row>
    <row r="75" spans="3:12" x14ac:dyDescent="0.25">
      <c r="C75" s="1" t="s">
        <v>1</v>
      </c>
      <c r="D75" s="12">
        <f t="shared" ref="D75:L90" si="10">D$3/D3</f>
        <v>1</v>
      </c>
      <c r="E75" s="12">
        <f t="shared" si="10"/>
        <v>1</v>
      </c>
      <c r="F75" s="12">
        <f t="shared" si="10"/>
        <v>1</v>
      </c>
      <c r="G75" s="12">
        <f t="shared" si="10"/>
        <v>1</v>
      </c>
      <c r="H75" s="12">
        <f t="shared" si="10"/>
        <v>1</v>
      </c>
      <c r="I75" s="12">
        <f t="shared" si="10"/>
        <v>1</v>
      </c>
      <c r="J75" s="12">
        <f t="shared" si="10"/>
        <v>1</v>
      </c>
      <c r="K75" s="12" t="e">
        <f t="shared" si="10"/>
        <v>#DIV/0!</v>
      </c>
      <c r="L75" s="12" t="e">
        <f t="shared" si="10"/>
        <v>#DIV/0!</v>
      </c>
    </row>
    <row r="76" spans="3:12" x14ac:dyDescent="0.25">
      <c r="C76" s="1" t="s">
        <v>25</v>
      </c>
      <c r="D76" s="12">
        <f t="shared" si="10"/>
        <v>6.7259945161440235</v>
      </c>
      <c r="E76" s="12">
        <f t="shared" si="10"/>
        <v>12.360652733044031</v>
      </c>
      <c r="F76" s="12">
        <f t="shared" si="10"/>
        <v>19.321810419976202</v>
      </c>
      <c r="G76" s="12">
        <f t="shared" si="10"/>
        <v>27.79331481343392</v>
      </c>
      <c r="H76" s="12">
        <f t="shared" si="10"/>
        <v>24.117909109017361</v>
      </c>
      <c r="I76" s="12">
        <f t="shared" si="10"/>
        <v>16.429368855682267</v>
      </c>
      <c r="J76" s="12" t="e">
        <f t="shared" si="10"/>
        <v>#DIV/0!</v>
      </c>
      <c r="K76" s="12" t="e">
        <f t="shared" si="10"/>
        <v>#DIV/0!</v>
      </c>
      <c r="L76" s="12" t="e">
        <f t="shared" si="10"/>
        <v>#DIV/0!</v>
      </c>
    </row>
    <row r="77" spans="3:12" x14ac:dyDescent="0.25">
      <c r="C77" s="1" t="s">
        <v>26</v>
      </c>
      <c r="D77" s="12">
        <f t="shared" si="10"/>
        <v>5.4720441682249961</v>
      </c>
      <c r="E77" s="12">
        <f t="shared" si="10"/>
        <v>8.3779224385737017</v>
      </c>
      <c r="F77" s="12">
        <f t="shared" si="10"/>
        <v>11.494768837949671</v>
      </c>
      <c r="G77" s="12">
        <f t="shared" si="10"/>
        <v>14.139803767371028</v>
      </c>
      <c r="H77" s="12">
        <f t="shared" si="10"/>
        <v>16.228359612599082</v>
      </c>
      <c r="I77" s="12">
        <f t="shared" si="10"/>
        <v>16.933771161825874</v>
      </c>
      <c r="J77" s="12">
        <f t="shared" si="10"/>
        <v>17.214792709239166</v>
      </c>
      <c r="K77" s="12" t="e">
        <f t="shared" si="10"/>
        <v>#DIV/0!</v>
      </c>
      <c r="L77" s="12" t="e">
        <f t="shared" si="10"/>
        <v>#DIV/0!</v>
      </c>
    </row>
    <row r="78" spans="3:12" x14ac:dyDescent="0.25">
      <c r="C78" s="1" t="s">
        <v>27</v>
      </c>
      <c r="D78" s="12">
        <f t="shared" si="10"/>
        <v>5.1738082080243188</v>
      </c>
      <c r="E78" s="12">
        <f t="shared" si="10"/>
        <v>8.1423584770932909</v>
      </c>
      <c r="F78" s="12">
        <f t="shared" si="10"/>
        <v>11.22885102738006</v>
      </c>
      <c r="G78" s="12">
        <f t="shared" si="10"/>
        <v>13.811655537672117</v>
      </c>
      <c r="H78" s="12">
        <f t="shared" si="10"/>
        <v>16.474371781390573</v>
      </c>
      <c r="I78" s="12">
        <f t="shared" si="10"/>
        <v>17.558979136298849</v>
      </c>
      <c r="J78" s="12">
        <f t="shared" si="10"/>
        <v>18.367979758922203</v>
      </c>
      <c r="K78" s="12" t="e">
        <f t="shared" si="10"/>
        <v>#DIV/0!</v>
      </c>
      <c r="L78" s="12" t="e">
        <f t="shared" si="10"/>
        <v>#DIV/0!</v>
      </c>
    </row>
    <row r="79" spans="3:12" x14ac:dyDescent="0.25">
      <c r="C79" s="1" t="s">
        <v>28</v>
      </c>
      <c r="D79" s="12">
        <f t="shared" si="10"/>
        <v>6.6218592040280244</v>
      </c>
      <c r="E79" s="12">
        <f t="shared" si="10"/>
        <v>12.292304175945949</v>
      </c>
      <c r="F79" s="12">
        <f t="shared" si="10"/>
        <v>18.699519570958071</v>
      </c>
      <c r="G79" s="12">
        <f t="shared" si="10"/>
        <v>27.491249114681843</v>
      </c>
      <c r="H79" s="12">
        <f t="shared" si="10"/>
        <v>23.973357506407975</v>
      </c>
      <c r="I79" s="12">
        <f t="shared" si="10"/>
        <v>16.345392233765573</v>
      </c>
      <c r="J79" s="12" t="e">
        <f t="shared" si="10"/>
        <v>#DIV/0!</v>
      </c>
      <c r="K79" s="12" t="e">
        <f t="shared" si="10"/>
        <v>#DIV/0!</v>
      </c>
      <c r="L79" s="12" t="e">
        <f t="shared" si="10"/>
        <v>#DIV/0!</v>
      </c>
    </row>
    <row r="80" spans="3:12" x14ac:dyDescent="0.25">
      <c r="C80" s="1" t="s">
        <v>29</v>
      </c>
      <c r="D80" s="12">
        <f t="shared" si="10"/>
        <v>5.5104157838655645</v>
      </c>
      <c r="E80" s="12">
        <f t="shared" si="10"/>
        <v>8.3569770669522327</v>
      </c>
      <c r="F80" s="12">
        <f t="shared" si="10"/>
        <v>11.378733429558711</v>
      </c>
      <c r="G80" s="12">
        <f t="shared" si="10"/>
        <v>14.164455284170741</v>
      </c>
      <c r="H80" s="12">
        <f t="shared" si="10"/>
        <v>16.265417639884884</v>
      </c>
      <c r="I80" s="12">
        <f t="shared" si="10"/>
        <v>16.890250524784726</v>
      </c>
      <c r="J80" s="12">
        <f t="shared" si="10"/>
        <v>17.112290330424333</v>
      </c>
      <c r="K80" s="12" t="e">
        <f t="shared" si="10"/>
        <v>#DIV/0!</v>
      </c>
      <c r="L80" s="12" t="e">
        <f t="shared" si="10"/>
        <v>#DIV/0!</v>
      </c>
    </row>
    <row r="81" spans="3:12" x14ac:dyDescent="0.25">
      <c r="C81" s="1" t="s">
        <v>30</v>
      </c>
      <c r="D81" s="12">
        <f t="shared" si="10"/>
        <v>5.175275215309072</v>
      </c>
      <c r="E81" s="12">
        <f t="shared" si="10"/>
        <v>8.0793827559664901</v>
      </c>
      <c r="F81" s="12">
        <f t="shared" si="10"/>
        <v>11.151620084045611</v>
      </c>
      <c r="G81" s="12">
        <f t="shared" si="10"/>
        <v>13.780987544785612</v>
      </c>
      <c r="H81" s="12">
        <f t="shared" si="10"/>
        <v>16.511266803385411</v>
      </c>
      <c r="I81" s="12">
        <f t="shared" si="10"/>
        <v>17.551876219022226</v>
      </c>
      <c r="J81" s="12">
        <f t="shared" si="10"/>
        <v>18.229139446918296</v>
      </c>
      <c r="K81" s="12" t="e">
        <f t="shared" si="10"/>
        <v>#DIV/0!</v>
      </c>
      <c r="L81" s="12" t="e">
        <f t="shared" si="10"/>
        <v>#DIV/0!</v>
      </c>
    </row>
    <row r="82" spans="3:12" x14ac:dyDescent="0.25">
      <c r="C82" s="1" t="s">
        <v>31</v>
      </c>
      <c r="D82" s="12" t="e">
        <f t="shared" si="10"/>
        <v>#DIV/0!</v>
      </c>
      <c r="E82" s="12" t="e">
        <f t="shared" si="10"/>
        <v>#DIV/0!</v>
      </c>
      <c r="F82" s="12" t="e">
        <f t="shared" si="10"/>
        <v>#DIV/0!</v>
      </c>
      <c r="G82" s="12" t="e">
        <f t="shared" si="10"/>
        <v>#DIV/0!</v>
      </c>
      <c r="H82" s="12" t="e">
        <f t="shared" si="10"/>
        <v>#DIV/0!</v>
      </c>
      <c r="I82" s="12" t="e">
        <f t="shared" si="10"/>
        <v>#DIV/0!</v>
      </c>
      <c r="J82" s="12" t="e">
        <f t="shared" si="10"/>
        <v>#DIV/0!</v>
      </c>
      <c r="K82" s="12" t="e">
        <f t="shared" si="10"/>
        <v>#DIV/0!</v>
      </c>
      <c r="L82" s="12" t="e">
        <f t="shared" si="10"/>
        <v>#DIV/0!</v>
      </c>
    </row>
    <row r="83" spans="3:12" x14ac:dyDescent="0.25">
      <c r="C83" s="1" t="s">
        <v>32</v>
      </c>
      <c r="D83" s="12" t="e">
        <f t="shared" si="10"/>
        <v>#DIV/0!</v>
      </c>
      <c r="E83" s="12" t="e">
        <f t="shared" si="10"/>
        <v>#DIV/0!</v>
      </c>
      <c r="F83" s="12" t="e">
        <f t="shared" si="10"/>
        <v>#DIV/0!</v>
      </c>
      <c r="G83" s="12" t="e">
        <f t="shared" si="10"/>
        <v>#DIV/0!</v>
      </c>
      <c r="H83" s="12" t="e">
        <f t="shared" si="10"/>
        <v>#DIV/0!</v>
      </c>
      <c r="I83" s="12" t="e">
        <f t="shared" si="10"/>
        <v>#DIV/0!</v>
      </c>
      <c r="J83" s="12" t="e">
        <f t="shared" si="10"/>
        <v>#DIV/0!</v>
      </c>
      <c r="K83" s="12" t="e">
        <f t="shared" si="10"/>
        <v>#DIV/0!</v>
      </c>
      <c r="L83" s="12" t="e">
        <f t="shared" si="10"/>
        <v>#DIV/0!</v>
      </c>
    </row>
    <row r="84" spans="3:12" x14ac:dyDescent="0.25">
      <c r="C84" s="1" t="s">
        <v>33</v>
      </c>
      <c r="D84" s="12" t="e">
        <f t="shared" si="10"/>
        <v>#DIV/0!</v>
      </c>
      <c r="E84" s="12" t="e">
        <f t="shared" si="10"/>
        <v>#DIV/0!</v>
      </c>
      <c r="F84" s="12" t="e">
        <f t="shared" si="10"/>
        <v>#DIV/0!</v>
      </c>
      <c r="G84" s="12" t="e">
        <f t="shared" si="10"/>
        <v>#DIV/0!</v>
      </c>
      <c r="H84" s="12" t="e">
        <f t="shared" si="10"/>
        <v>#DIV/0!</v>
      </c>
      <c r="I84" s="12" t="e">
        <f t="shared" si="10"/>
        <v>#DIV/0!</v>
      </c>
      <c r="J84" s="12" t="e">
        <f t="shared" si="10"/>
        <v>#DIV/0!</v>
      </c>
      <c r="K84" s="12" t="e">
        <f t="shared" si="10"/>
        <v>#DIV/0!</v>
      </c>
      <c r="L84" s="12" t="e">
        <f t="shared" si="10"/>
        <v>#DIV/0!</v>
      </c>
    </row>
    <row r="85" spans="3:12" x14ac:dyDescent="0.25">
      <c r="C85" s="1" t="s">
        <v>34</v>
      </c>
      <c r="D85" s="12">
        <f t="shared" si="10"/>
        <v>6.6725358663490457</v>
      </c>
      <c r="E85" s="12">
        <f t="shared" si="10"/>
        <v>12.116776564418512</v>
      </c>
      <c r="F85" s="12">
        <f t="shared" si="10"/>
        <v>18.915570608848487</v>
      </c>
      <c r="G85" s="12" t="e">
        <f t="shared" si="10"/>
        <v>#DIV/0!</v>
      </c>
      <c r="H85" s="12" t="e">
        <f t="shared" si="10"/>
        <v>#DIV/0!</v>
      </c>
      <c r="I85" s="12" t="e">
        <f t="shared" si="10"/>
        <v>#DIV/0!</v>
      </c>
      <c r="J85" s="12" t="e">
        <f t="shared" si="10"/>
        <v>#DIV/0!</v>
      </c>
      <c r="K85" s="12" t="e">
        <f t="shared" si="10"/>
        <v>#DIV/0!</v>
      </c>
      <c r="L85" s="12" t="e">
        <f t="shared" si="10"/>
        <v>#DIV/0!</v>
      </c>
    </row>
    <row r="86" spans="3:12" x14ac:dyDescent="0.25">
      <c r="C86" s="1" t="s">
        <v>35</v>
      </c>
      <c r="D86" s="12">
        <f t="shared" si="10"/>
        <v>5.294483095445047</v>
      </c>
      <c r="E86" s="12">
        <f t="shared" si="10"/>
        <v>8.40344577526783</v>
      </c>
      <c r="F86" s="12">
        <f t="shared" si="10"/>
        <v>11.508184448298026</v>
      </c>
      <c r="G86" s="12" t="e">
        <f t="shared" si="10"/>
        <v>#DIV/0!</v>
      </c>
      <c r="H86" s="12" t="e">
        <f t="shared" si="10"/>
        <v>#DIV/0!</v>
      </c>
      <c r="I86" s="12" t="e">
        <f t="shared" si="10"/>
        <v>#DIV/0!</v>
      </c>
      <c r="J86" s="12" t="e">
        <f t="shared" si="10"/>
        <v>#DIV/0!</v>
      </c>
      <c r="K86" s="12" t="e">
        <f t="shared" si="10"/>
        <v>#DIV/0!</v>
      </c>
      <c r="L86" s="12" t="e">
        <f t="shared" si="10"/>
        <v>#DIV/0!</v>
      </c>
    </row>
    <row r="87" spans="3:12" x14ac:dyDescent="0.25">
      <c r="C87" s="1" t="s">
        <v>36</v>
      </c>
      <c r="D87" s="12">
        <f t="shared" si="10"/>
        <v>5.1272213734654857</v>
      </c>
      <c r="E87" s="12">
        <f t="shared" si="10"/>
        <v>8.0671577520398117</v>
      </c>
      <c r="F87" s="12">
        <f t="shared" si="10"/>
        <v>11.127952079583453</v>
      </c>
      <c r="G87" s="12" t="e">
        <f t="shared" si="10"/>
        <v>#DIV/0!</v>
      </c>
      <c r="H87" s="12" t="e">
        <f t="shared" si="10"/>
        <v>#DIV/0!</v>
      </c>
      <c r="I87" s="12" t="e">
        <f t="shared" si="10"/>
        <v>#DIV/0!</v>
      </c>
      <c r="J87" s="12" t="e">
        <f t="shared" si="10"/>
        <v>#DIV/0!</v>
      </c>
      <c r="K87" s="12" t="e">
        <f t="shared" si="10"/>
        <v>#DIV/0!</v>
      </c>
      <c r="L87" s="12" t="e">
        <f t="shared" si="10"/>
        <v>#DIV/0!</v>
      </c>
    </row>
    <row r="88" spans="3:12" x14ac:dyDescent="0.25">
      <c r="C88" s="1" t="s">
        <v>38</v>
      </c>
      <c r="D88" s="12">
        <f t="shared" si="10"/>
        <v>6.6409444741339936</v>
      </c>
      <c r="E88" s="12">
        <f t="shared" si="10"/>
        <v>12.117558416772839</v>
      </c>
      <c r="F88" s="12">
        <f t="shared" si="10"/>
        <v>18.920451846597114</v>
      </c>
      <c r="G88" s="12" t="e">
        <f t="shared" si="10"/>
        <v>#DIV/0!</v>
      </c>
      <c r="H88" s="12" t="e">
        <f t="shared" si="10"/>
        <v>#DIV/0!</v>
      </c>
      <c r="I88" s="12" t="e">
        <f t="shared" si="10"/>
        <v>#DIV/0!</v>
      </c>
      <c r="J88" s="12" t="e">
        <f t="shared" si="10"/>
        <v>#DIV/0!</v>
      </c>
      <c r="K88" s="12" t="e">
        <f t="shared" si="10"/>
        <v>#DIV/0!</v>
      </c>
      <c r="L88" s="12" t="e">
        <f t="shared" si="10"/>
        <v>#DIV/0!</v>
      </c>
    </row>
    <row r="89" spans="3:12" x14ac:dyDescent="0.25">
      <c r="C89" s="1" t="s">
        <v>39</v>
      </c>
      <c r="D89" s="12">
        <f t="shared" si="10"/>
        <v>5.3566914459291866</v>
      </c>
      <c r="E89" s="12">
        <f t="shared" si="10"/>
        <v>8.4193759496529363</v>
      </c>
      <c r="F89" s="12">
        <f t="shared" si="10"/>
        <v>11.467024001045168</v>
      </c>
      <c r="G89" s="12" t="e">
        <f t="shared" si="10"/>
        <v>#DIV/0!</v>
      </c>
      <c r="H89" s="12" t="e">
        <f t="shared" si="10"/>
        <v>#DIV/0!</v>
      </c>
      <c r="I89" s="12" t="e">
        <f t="shared" si="10"/>
        <v>#DIV/0!</v>
      </c>
      <c r="J89" s="12" t="e">
        <f t="shared" si="10"/>
        <v>#DIV/0!</v>
      </c>
      <c r="K89" s="12" t="e">
        <f t="shared" si="10"/>
        <v>#DIV/0!</v>
      </c>
      <c r="L89" s="12" t="e">
        <f t="shared" si="10"/>
        <v>#DIV/0!</v>
      </c>
    </row>
    <row r="90" spans="3:12" x14ac:dyDescent="0.25">
      <c r="C90" s="1" t="s">
        <v>40</v>
      </c>
      <c r="D90" s="12">
        <f t="shared" si="10"/>
        <v>5.1357877037448443</v>
      </c>
      <c r="E90" s="12">
        <f t="shared" si="10"/>
        <v>8.068514134905806</v>
      </c>
      <c r="F90" s="12">
        <f t="shared" si="10"/>
        <v>11.174084827380643</v>
      </c>
      <c r="G90" s="12" t="e">
        <f t="shared" si="10"/>
        <v>#DIV/0!</v>
      </c>
      <c r="H90" s="12" t="e">
        <f t="shared" si="10"/>
        <v>#DIV/0!</v>
      </c>
      <c r="I90" s="12" t="e">
        <f t="shared" si="10"/>
        <v>#DIV/0!</v>
      </c>
      <c r="J90" s="12" t="e">
        <f t="shared" si="10"/>
        <v>#DIV/0!</v>
      </c>
      <c r="K90" s="12" t="e">
        <f t="shared" si="10"/>
        <v>#DIV/0!</v>
      </c>
      <c r="L90" s="12" t="e">
        <f t="shared" si="10"/>
        <v>#DIV/0!</v>
      </c>
    </row>
    <row r="91" spans="3:12" x14ac:dyDescent="0.25">
      <c r="C91" s="1" t="s">
        <v>41</v>
      </c>
      <c r="D91" s="12">
        <f t="shared" ref="D91:L99" si="11">D$3/D19</f>
        <v>5.1254150119241446</v>
      </c>
      <c r="E91" s="12">
        <f t="shared" si="11"/>
        <v>7.972459518111072</v>
      </c>
      <c r="F91" s="12">
        <f t="shared" si="11"/>
        <v>11.059798897712547</v>
      </c>
      <c r="G91" s="12">
        <f t="shared" si="11"/>
        <v>13.672825595655437</v>
      </c>
      <c r="H91" s="12">
        <f t="shared" si="11"/>
        <v>16.540520992202882</v>
      </c>
      <c r="I91" s="12">
        <f t="shared" si="11"/>
        <v>17.67709585755285</v>
      </c>
      <c r="J91" s="12">
        <f t="shared" si="11"/>
        <v>18.376185570516554</v>
      </c>
      <c r="K91" s="12" t="e">
        <f t="shared" si="11"/>
        <v>#DIV/0!</v>
      </c>
      <c r="L91" s="12" t="e">
        <f t="shared" si="11"/>
        <v>#DIV/0!</v>
      </c>
    </row>
    <row r="92" spans="3:12" x14ac:dyDescent="0.25">
      <c r="C92" s="1" t="s">
        <v>43</v>
      </c>
      <c r="D92" s="12">
        <f t="shared" si="11"/>
        <v>5.1393493590830861</v>
      </c>
      <c r="E92" s="12">
        <f t="shared" si="11"/>
        <v>7.9782691773159948</v>
      </c>
      <c r="F92" s="12">
        <f t="shared" si="11"/>
        <v>11.016509521250235</v>
      </c>
      <c r="G92" s="12">
        <f t="shared" si="11"/>
        <v>13.811899688528422</v>
      </c>
      <c r="H92" s="12">
        <f t="shared" si="11"/>
        <v>16.458227687811778</v>
      </c>
      <c r="I92" s="12">
        <f t="shared" si="11"/>
        <v>17.732244660491514</v>
      </c>
      <c r="J92" s="12">
        <f t="shared" si="11"/>
        <v>18.429033416543138</v>
      </c>
      <c r="K92" s="12" t="e">
        <f t="shared" si="11"/>
        <v>#DIV/0!</v>
      </c>
      <c r="L92" s="12" t="e">
        <f t="shared" si="11"/>
        <v>#DIV/0!</v>
      </c>
    </row>
    <row r="93" spans="3:12" x14ac:dyDescent="0.25">
      <c r="C93" s="1" t="s">
        <v>44</v>
      </c>
      <c r="D93" s="12">
        <f t="shared" si="11"/>
        <v>17.167282557080327</v>
      </c>
      <c r="E93" s="12">
        <f t="shared" si="11"/>
        <v>18.252831973719683</v>
      </c>
      <c r="F93" s="12">
        <f t="shared" si="11"/>
        <v>18.268785344372688</v>
      </c>
      <c r="G93" s="12">
        <f t="shared" si="11"/>
        <v>18.26431202418247</v>
      </c>
      <c r="H93" s="12">
        <f t="shared" si="11"/>
        <v>18.434627530549669</v>
      </c>
      <c r="I93" s="12">
        <f t="shared" si="11"/>
        <v>18.017335156346522</v>
      </c>
      <c r="J93" s="12">
        <f t="shared" si="11"/>
        <v>17.631095235558902</v>
      </c>
      <c r="K93" s="12" t="e">
        <f t="shared" si="11"/>
        <v>#DIV/0!</v>
      </c>
      <c r="L93" s="12" t="e">
        <f t="shared" si="11"/>
        <v>#DIV/0!</v>
      </c>
    </row>
    <row r="94" spans="3:12" x14ac:dyDescent="0.25">
      <c r="C94" s="1" t="s">
        <v>37</v>
      </c>
      <c r="D94" s="12">
        <f t="shared" si="11"/>
        <v>18.436529569778063</v>
      </c>
      <c r="E94" s="12">
        <f t="shared" si="11"/>
        <v>19.030610756038946</v>
      </c>
      <c r="F94" s="12">
        <f t="shared" si="11"/>
        <v>18.918958456247598</v>
      </c>
      <c r="G94" s="12" t="e">
        <f t="shared" si="11"/>
        <v>#DIV/0!</v>
      </c>
      <c r="H94" s="12" t="e">
        <f t="shared" si="11"/>
        <v>#DIV/0!</v>
      </c>
      <c r="I94" s="12" t="e">
        <f t="shared" si="11"/>
        <v>#DIV/0!</v>
      </c>
      <c r="J94" s="12" t="e">
        <f t="shared" si="11"/>
        <v>#DIV/0!</v>
      </c>
      <c r="K94" s="12" t="e">
        <f t="shared" si="11"/>
        <v>#DIV/0!</v>
      </c>
      <c r="L94" s="12" t="e">
        <f t="shared" si="11"/>
        <v>#DIV/0!</v>
      </c>
    </row>
    <row r="95" spans="3:12" x14ac:dyDescent="0.25">
      <c r="C95" s="1" t="s">
        <v>42</v>
      </c>
      <c r="D95" s="12">
        <f t="shared" si="11"/>
        <v>18.0861430009194</v>
      </c>
      <c r="E95" s="12">
        <f t="shared" si="11"/>
        <v>18.949827802785702</v>
      </c>
      <c r="F95" s="12">
        <f t="shared" si="11"/>
        <v>18.685452584387118</v>
      </c>
      <c r="G95" s="12">
        <f t="shared" si="11"/>
        <v>18.226856320983533</v>
      </c>
      <c r="H95" s="12">
        <f t="shared" si="11"/>
        <v>18.57944698325047</v>
      </c>
      <c r="I95" s="12">
        <f t="shared" si="11"/>
        <v>18.192053268638304</v>
      </c>
      <c r="J95" s="12">
        <f t="shared" si="11"/>
        <v>17.751344687720444</v>
      </c>
      <c r="K95" s="12" t="e">
        <f t="shared" si="11"/>
        <v>#DIV/0!</v>
      </c>
      <c r="L95" s="12" t="e">
        <f t="shared" si="11"/>
        <v>#DIV/0!</v>
      </c>
    </row>
    <row r="96" spans="3:12" x14ac:dyDescent="0.25">
      <c r="C96" s="1" t="s">
        <v>103</v>
      </c>
      <c r="D96" s="12">
        <f t="shared" si="11"/>
        <v>18.194538377694808</v>
      </c>
      <c r="E96" s="12">
        <f t="shared" si="11"/>
        <v>18.912805458135676</v>
      </c>
      <c r="F96" s="12">
        <f t="shared" si="11"/>
        <v>18.677484313190561</v>
      </c>
      <c r="G96" s="12">
        <f t="shared" si="11"/>
        <v>18.132027902883966</v>
      </c>
      <c r="H96" s="12">
        <f t="shared" si="11"/>
        <v>18.477612545431093</v>
      </c>
      <c r="I96" s="12">
        <f t="shared" si="11"/>
        <v>18.039529908763683</v>
      </c>
      <c r="J96" s="12">
        <f t="shared" si="11"/>
        <v>17.536518044730748</v>
      </c>
      <c r="K96" s="12" t="e">
        <f t="shared" si="11"/>
        <v>#DIV/0!</v>
      </c>
      <c r="L96" s="12" t="e">
        <f t="shared" si="11"/>
        <v>#DIV/0!</v>
      </c>
    </row>
    <row r="97" spans="3:12" x14ac:dyDescent="0.25">
      <c r="C97" s="1" t="s">
        <v>9</v>
      </c>
      <c r="D97" s="12">
        <f t="shared" si="11"/>
        <v>5.0448619075262933</v>
      </c>
      <c r="E97" s="12">
        <f t="shared" si="11"/>
        <v>7.9457614576115878</v>
      </c>
      <c r="F97" s="12">
        <f t="shared" si="11"/>
        <v>11.64023873497878</v>
      </c>
      <c r="G97" s="12">
        <f t="shared" si="11"/>
        <v>13.956963436923134</v>
      </c>
      <c r="H97" s="12">
        <f t="shared" si="11"/>
        <v>10.803887079924577</v>
      </c>
      <c r="I97" s="12">
        <f t="shared" si="11"/>
        <v>13.035943170869302</v>
      </c>
      <c r="J97" s="12">
        <f t="shared" si="11"/>
        <v>13.259419490769018</v>
      </c>
      <c r="K97" s="12" t="e">
        <f t="shared" si="11"/>
        <v>#DIV/0!</v>
      </c>
      <c r="L97" s="12" t="e">
        <f t="shared" si="11"/>
        <v>#DIV/0!</v>
      </c>
    </row>
    <row r="98" spans="3:12" x14ac:dyDescent="0.25">
      <c r="C98" s="1" t="s">
        <v>10</v>
      </c>
      <c r="D98" s="12">
        <f t="shared" si="11"/>
        <v>17.87509476713382</v>
      </c>
      <c r="E98" s="12">
        <f t="shared" si="11"/>
        <v>18.186409228732348</v>
      </c>
      <c r="F98" s="12">
        <f t="shared" si="11"/>
        <v>18.030901498079871</v>
      </c>
      <c r="G98" s="12">
        <f t="shared" si="11"/>
        <v>17.557840351665806</v>
      </c>
      <c r="H98" s="12">
        <f t="shared" si="11"/>
        <v>17.817199814215464</v>
      </c>
      <c r="I98" s="12">
        <f t="shared" si="11"/>
        <v>17.44419938900041</v>
      </c>
      <c r="J98" s="12">
        <f t="shared" si="11"/>
        <v>17.173207017112158</v>
      </c>
      <c r="K98" s="12" t="e">
        <f t="shared" si="11"/>
        <v>#DIV/0!</v>
      </c>
      <c r="L98" s="12" t="e">
        <f t="shared" si="11"/>
        <v>#DIV/0!</v>
      </c>
    </row>
    <row r="99" spans="3:12" x14ac:dyDescent="0.25">
      <c r="C99" s="1" t="s">
        <v>25</v>
      </c>
      <c r="D99" s="12">
        <f t="shared" si="11"/>
        <v>6.931958236716774</v>
      </c>
      <c r="E99" s="12">
        <f t="shared" si="11"/>
        <v>12.668598245553017</v>
      </c>
      <c r="F99" s="12">
        <f t="shared" si="11"/>
        <v>19.986295648708811</v>
      </c>
      <c r="G99" s="12">
        <f t="shared" si="11"/>
        <v>28.842464861944247</v>
      </c>
      <c r="H99" s="12">
        <f t="shared" si="11"/>
        <v>25.483463977288377</v>
      </c>
      <c r="I99" s="12">
        <f t="shared" si="11"/>
        <v>17.225328740614323</v>
      </c>
      <c r="J99" s="12" t="e">
        <f t="shared" si="11"/>
        <v>#DIV/0!</v>
      </c>
      <c r="K99" s="12" t="e">
        <f t="shared" si="11"/>
        <v>#DIV/0!</v>
      </c>
      <c r="L99" s="12" t="e">
        <f t="shared" si="11"/>
        <v>#DIV/0!</v>
      </c>
    </row>
    <row r="100" spans="3:12" x14ac:dyDescent="0.25">
      <c r="C100" s="1" t="s">
        <v>27</v>
      </c>
      <c r="D100" s="12">
        <f t="shared" ref="D100:L100" si="12">D$3/D28</f>
        <v>6.0427411034463541</v>
      </c>
      <c r="E100" s="12">
        <f t="shared" si="12"/>
        <v>10.495931783654539</v>
      </c>
      <c r="F100" s="12">
        <f t="shared" si="12"/>
        <v>16.953918773891335</v>
      </c>
      <c r="G100" s="12">
        <f t="shared" si="12"/>
        <v>24.728301570528433</v>
      </c>
      <c r="H100" s="12">
        <f t="shared" si="12"/>
        <v>34.824905889257067</v>
      </c>
      <c r="I100" s="12">
        <f t="shared" si="12"/>
        <v>41.762495097041601</v>
      </c>
      <c r="J100" s="12">
        <f t="shared" si="12"/>
        <v>47.415923193058767</v>
      </c>
      <c r="K100" s="12" t="e">
        <f t="shared" si="12"/>
        <v>#DIV/0!</v>
      </c>
      <c r="L100" s="12" t="e">
        <f t="shared" si="12"/>
        <v>#DIV/0!</v>
      </c>
    </row>
    <row r="101" spans="3:12" x14ac:dyDescent="0.25">
      <c r="C101" s="1" t="s">
        <v>8</v>
      </c>
      <c r="D101" s="12">
        <f t="shared" ref="D101:L101" si="13">D$3/D29</f>
        <v>38.072899154774468</v>
      </c>
      <c r="E101" s="12">
        <f t="shared" si="13"/>
        <v>43.387488894878551</v>
      </c>
      <c r="F101" s="12">
        <f t="shared" si="13"/>
        <v>45.526712289368803</v>
      </c>
      <c r="G101" s="12">
        <f t="shared" si="13"/>
        <v>44.794989689573697</v>
      </c>
      <c r="H101" s="12">
        <f t="shared" si="13"/>
        <v>47.097971757029555</v>
      </c>
      <c r="I101" s="12">
        <f t="shared" si="13"/>
        <v>46.225489732364409</v>
      </c>
      <c r="J101" s="12">
        <f t="shared" si="13"/>
        <v>45.288690681556318</v>
      </c>
      <c r="K101" s="12" t="e">
        <f t="shared" si="13"/>
        <v>#DIV/0!</v>
      </c>
      <c r="L101" s="12" t="e">
        <f t="shared" si="13"/>
        <v>#DIV/0!</v>
      </c>
    </row>
    <row r="102" spans="3:12" x14ac:dyDescent="0.25">
      <c r="C102" s="1" t="s">
        <v>30</v>
      </c>
      <c r="D102" s="12">
        <f t="shared" ref="D102:L102" si="14">D$3/D30</f>
        <v>6.0736335916455335</v>
      </c>
      <c r="E102" s="12">
        <f t="shared" si="14"/>
        <v>10.596932325182737</v>
      </c>
      <c r="F102" s="12">
        <f t="shared" si="14"/>
        <v>16.936361230009201</v>
      </c>
      <c r="G102" s="12">
        <f t="shared" si="14"/>
        <v>24.847166674145708</v>
      </c>
      <c r="H102" s="12">
        <f t="shared" si="14"/>
        <v>34.941141693756045</v>
      </c>
      <c r="I102" s="12">
        <f t="shared" si="14"/>
        <v>41.75975679722373</v>
      </c>
      <c r="J102" s="12">
        <f t="shared" si="14"/>
        <v>47.375769148873836</v>
      </c>
      <c r="K102" s="12" t="e">
        <f t="shared" si="14"/>
        <v>#DIV/0!</v>
      </c>
      <c r="L102" s="12" t="e">
        <f t="shared" si="14"/>
        <v>#DIV/0!</v>
      </c>
    </row>
    <row r="103" spans="3:12" x14ac:dyDescent="0.25">
      <c r="C103" s="1" t="s">
        <v>103</v>
      </c>
      <c r="D103" s="12">
        <f t="shared" ref="D103:L103" si="15">D$3/D31</f>
        <v>36.965149648145484</v>
      </c>
      <c r="E103" s="12">
        <f t="shared" si="15"/>
        <v>42.815992617445197</v>
      </c>
      <c r="F103" s="12">
        <f t="shared" si="15"/>
        <v>44.988843936433234</v>
      </c>
      <c r="G103" s="12">
        <f t="shared" si="15"/>
        <v>44.615942520311606</v>
      </c>
      <c r="H103" s="12">
        <f t="shared" si="15"/>
        <v>46.417439119981601</v>
      </c>
      <c r="I103" s="12">
        <f t="shared" si="15"/>
        <v>45.660043537812847</v>
      </c>
      <c r="J103" s="12">
        <f t="shared" si="15"/>
        <v>44.748776468352858</v>
      </c>
      <c r="K103" s="12" t="e">
        <f t="shared" si="15"/>
        <v>#DIV/0!</v>
      </c>
      <c r="L103" s="12" t="e">
        <f t="shared" si="15"/>
        <v>#DIV/0!</v>
      </c>
    </row>
    <row r="104" spans="3:12" x14ac:dyDescent="0.25">
      <c r="C104" s="1" t="s">
        <v>10</v>
      </c>
      <c r="D104" s="12">
        <f t="shared" ref="D104:L104" si="16">D$3/D32</f>
        <v>18.101909792556697</v>
      </c>
      <c r="E104" s="12">
        <f t="shared" si="16"/>
        <v>18.852436166286786</v>
      </c>
      <c r="F104" s="12">
        <f t="shared" si="16"/>
        <v>18.287331907271597</v>
      </c>
      <c r="G104" s="12">
        <f t="shared" si="16"/>
        <v>17.631516858707727</v>
      </c>
      <c r="H104" s="12">
        <f t="shared" si="16"/>
        <v>17.986231408333467</v>
      </c>
      <c r="I104" s="12">
        <f t="shared" si="16"/>
        <v>17.540802893627482</v>
      </c>
      <c r="J104" s="12">
        <f t="shared" si="16"/>
        <v>17.00494121206399</v>
      </c>
      <c r="K104" s="12" t="e">
        <f t="shared" si="16"/>
        <v>#DIV/0!</v>
      </c>
      <c r="L104" s="12" t="e">
        <f t="shared" si="16"/>
        <v>#DIV/0!</v>
      </c>
    </row>
    <row r="105" spans="3:12" x14ac:dyDescent="0.25">
      <c r="C105" s="1" t="s">
        <v>104</v>
      </c>
      <c r="D105" s="12">
        <f t="shared" ref="D105:L105" si="17">D$3/D33</f>
        <v>2.1347196041674752</v>
      </c>
      <c r="E105" s="12">
        <f t="shared" si="17"/>
        <v>2.2501200601060218</v>
      </c>
      <c r="F105" s="12">
        <f t="shared" si="17"/>
        <v>2.2427395006539768</v>
      </c>
      <c r="G105" s="12">
        <f t="shared" si="17"/>
        <v>2.2422786695059771</v>
      </c>
      <c r="H105" s="12">
        <f t="shared" si="17"/>
        <v>2.2841237061510666</v>
      </c>
      <c r="I105" s="12">
        <f t="shared" si="17"/>
        <v>2.2591917602972562</v>
      </c>
      <c r="J105" s="12">
        <f t="shared" si="17"/>
        <v>2.2598007867289014</v>
      </c>
      <c r="K105" s="12" t="e">
        <f t="shared" si="17"/>
        <v>#DIV/0!</v>
      </c>
      <c r="L105" s="12" t="e">
        <f t="shared" si="17"/>
        <v>#DIV/0!</v>
      </c>
    </row>
    <row r="106" spans="3:12" x14ac:dyDescent="0.25">
      <c r="C106" s="1" t="s">
        <v>105</v>
      </c>
      <c r="D106" s="12">
        <f t="shared" ref="D106:L106" si="18">D$3/D34</f>
        <v>2.3034694467259249</v>
      </c>
      <c r="E106" s="12">
        <f t="shared" si="18"/>
        <v>3.7611074401983222</v>
      </c>
      <c r="F106" s="12">
        <f t="shared" si="18"/>
        <v>5.9771961233791693</v>
      </c>
      <c r="G106" s="12">
        <f t="shared" si="18"/>
        <v>8.7968642026253239</v>
      </c>
      <c r="H106" s="12">
        <f t="shared" si="18"/>
        <v>12.066839042748956</v>
      </c>
      <c r="I106" s="12">
        <f t="shared" si="18"/>
        <v>14.538649756595259</v>
      </c>
      <c r="J106" s="12">
        <f t="shared" si="18"/>
        <v>16.276035077122327</v>
      </c>
      <c r="K106" s="12" t="e">
        <f t="shared" si="18"/>
        <v>#DIV/0!</v>
      </c>
      <c r="L106" s="12" t="e">
        <f t="shared" si="18"/>
        <v>#DIV/0!</v>
      </c>
    </row>
    <row r="109" spans="3:12" x14ac:dyDescent="0.25">
      <c r="C109" t="s">
        <v>3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4">
        <v>42</v>
      </c>
      <c r="E111" s="4">
        <v>84</v>
      </c>
      <c r="F111" s="4">
        <v>168</v>
      </c>
      <c r="G111" s="4">
        <v>336</v>
      </c>
      <c r="H111" s="4">
        <v>672</v>
      </c>
      <c r="I111" s="4">
        <v>1344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">
        <v>11498.250379839999</v>
      </c>
      <c r="E112" s="1">
        <v>3877.8759590000013</v>
      </c>
      <c r="F112" s="1">
        <v>125074.76213000012</v>
      </c>
      <c r="G112" s="1">
        <v>30221.512466000062</v>
      </c>
      <c r="H112" s="1">
        <v>3420283.9930760013</v>
      </c>
      <c r="I112" s="1">
        <v>7818631.1302189985</v>
      </c>
      <c r="J112" s="1">
        <v>23987376.536843002</v>
      </c>
      <c r="K112" s="1"/>
      <c r="L112" s="1"/>
    </row>
    <row r="113" spans="3:12" x14ac:dyDescent="0.25">
      <c r="C113" s="1" t="s">
        <v>2</v>
      </c>
      <c r="D113" s="1">
        <v>225.48720875039999</v>
      </c>
      <c r="E113" s="1">
        <v>220.00809575999997</v>
      </c>
      <c r="F113" s="1">
        <v>1291.1690270000011</v>
      </c>
      <c r="G113" s="1">
        <v>1399.912760760001</v>
      </c>
      <c r="H113" s="1">
        <v>47035.096712999992</v>
      </c>
      <c r="I113" s="1">
        <v>13616.932724999991</v>
      </c>
      <c r="J113" s="1">
        <v>53312.779519999967</v>
      </c>
      <c r="K113" s="1"/>
      <c r="L113" s="1"/>
    </row>
    <row r="114" spans="3:12" x14ac:dyDescent="0.25">
      <c r="C114" s="1" t="s">
        <v>4</v>
      </c>
      <c r="D114" s="1">
        <v>264.68739104040014</v>
      </c>
      <c r="E114" s="1">
        <v>94.542759560000093</v>
      </c>
      <c r="F114" s="1">
        <v>69.332745960000096</v>
      </c>
      <c r="G114" s="1">
        <v>1001.5821030000023</v>
      </c>
      <c r="H114" s="6">
        <v>3770.8218924399985</v>
      </c>
      <c r="I114" s="1">
        <v>8019.7253470000032</v>
      </c>
      <c r="J114" s="1">
        <v>12682.268723000012</v>
      </c>
      <c r="K114" s="1"/>
      <c r="L114" s="1"/>
    </row>
    <row r="115" spans="3:12" x14ac:dyDescent="0.25">
      <c r="C115" s="1" t="s">
        <v>5</v>
      </c>
      <c r="D115" s="1">
        <v>43.13454695999998</v>
      </c>
      <c r="E115" s="1">
        <v>195.46965504000002</v>
      </c>
      <c r="F115" s="1">
        <v>268.65356875999976</v>
      </c>
      <c r="G115" s="1">
        <v>1479.7701079999999</v>
      </c>
      <c r="H115" s="1">
        <v>38475.371345840009</v>
      </c>
      <c r="I115" s="1">
        <v>23028.420931999972</v>
      </c>
      <c r="J115" s="1">
        <v>934054.5533029997</v>
      </c>
      <c r="K115" s="1"/>
      <c r="L115" s="1"/>
    </row>
    <row r="116" spans="3:12" x14ac:dyDescent="0.25">
      <c r="C116" s="1" t="s">
        <v>6</v>
      </c>
      <c r="D116" s="1"/>
      <c r="E116" s="1">
        <v>105.75440724000026</v>
      </c>
      <c r="F116" s="1">
        <v>377.37004655999954</v>
      </c>
      <c r="G116" s="1">
        <v>1034.4078822399988</v>
      </c>
      <c r="H116" s="1">
        <v>7591.8979848399968</v>
      </c>
      <c r="I116" s="1">
        <v>16718.369272</v>
      </c>
      <c r="J116" s="1">
        <v>1830133.7665100002</v>
      </c>
      <c r="K116" s="1"/>
      <c r="L116" s="1"/>
    </row>
    <row r="117" spans="3:12" x14ac:dyDescent="0.25">
      <c r="C117" s="1" t="s">
        <v>7</v>
      </c>
      <c r="D117" s="1"/>
      <c r="E117" s="1">
        <v>108.81129863999995</v>
      </c>
      <c r="F117" s="1">
        <v>317.37807800000013</v>
      </c>
      <c r="G117" s="1">
        <v>730.14570300000014</v>
      </c>
      <c r="H117" s="1">
        <v>124595.321883</v>
      </c>
      <c r="I117" s="1">
        <v>18364.407593999997</v>
      </c>
      <c r="J117" s="1">
        <v>36667.404528999934</v>
      </c>
      <c r="K117" s="1"/>
      <c r="L117" s="1"/>
    </row>
    <row r="118" spans="3:12" x14ac:dyDescent="0.25">
      <c r="C118" s="1" t="s">
        <v>8</v>
      </c>
      <c r="D118" s="1">
        <v>420.80370355039997</v>
      </c>
      <c r="E118" s="1">
        <v>126.2758983199999</v>
      </c>
      <c r="F118" s="1">
        <v>292.73158036000007</v>
      </c>
      <c r="G118" s="1">
        <v>135.31768043999995</v>
      </c>
      <c r="H118" s="1">
        <v>802.54317864000041</v>
      </c>
      <c r="I118" s="1">
        <v>1230.8642815600022</v>
      </c>
      <c r="J118" s="1">
        <v>2102.3650550000152</v>
      </c>
      <c r="K118" s="1"/>
      <c r="L118" s="4"/>
    </row>
    <row r="119" spans="3:12" x14ac:dyDescent="0.25">
      <c r="C119" s="1" t="s">
        <v>9</v>
      </c>
      <c r="D119" s="1">
        <v>208.45225184960006</v>
      </c>
      <c r="E119" s="1">
        <v>1960.1624421599995</v>
      </c>
      <c r="F119" s="1">
        <v>1845.6397228400001</v>
      </c>
      <c r="G119" s="1">
        <v>10605.614858439998</v>
      </c>
      <c r="H119" s="1">
        <v>71265.123388999957</v>
      </c>
      <c r="I119" s="1">
        <v>40174.222804999998</v>
      </c>
      <c r="J119" s="1">
        <v>7111.6785799999552</v>
      </c>
      <c r="K119" s="1"/>
      <c r="L119" s="1"/>
    </row>
    <row r="120" spans="3:12" x14ac:dyDescent="0.25">
      <c r="C120" s="1" t="s">
        <v>10</v>
      </c>
      <c r="D120" s="1"/>
      <c r="E120" s="1">
        <v>190.33316709000019</v>
      </c>
      <c r="F120" s="1">
        <v>11445.27635701</v>
      </c>
      <c r="G120" s="1">
        <v>492.28101744000008</v>
      </c>
      <c r="H120" s="1">
        <v>3908.9473211600002</v>
      </c>
      <c r="I120" s="1">
        <v>1903.0849201599995</v>
      </c>
      <c r="J120" s="1">
        <v>3192.6897400000025</v>
      </c>
      <c r="K120" s="1"/>
      <c r="L120" s="1"/>
    </row>
    <row r="121" spans="3:12" x14ac:dyDescent="0.25">
      <c r="C121" s="1" t="s">
        <v>13</v>
      </c>
      <c r="D121" s="1">
        <v>440.01813035560019</v>
      </c>
      <c r="E121" s="1">
        <v>496.41035612000042</v>
      </c>
      <c r="F121" s="1">
        <v>2357.7924625200008</v>
      </c>
      <c r="G121" s="1">
        <v>1698.0247884</v>
      </c>
      <c r="H121" s="1">
        <v>39549.649068520004</v>
      </c>
      <c r="I121" s="1">
        <v>12301.854527</v>
      </c>
      <c r="J121" s="1">
        <v>25840.655780999972</v>
      </c>
      <c r="K121" s="1"/>
      <c r="L121" s="1"/>
    </row>
    <row r="122" spans="3:12" x14ac:dyDescent="0.25">
      <c r="C122" s="1" t="s">
        <v>14</v>
      </c>
      <c r="D122" s="1">
        <v>519.92839393000008</v>
      </c>
      <c r="E122" s="1">
        <v>124.15633335880011</v>
      </c>
      <c r="F122" s="1">
        <v>120.18483940000007</v>
      </c>
      <c r="G122" s="1">
        <v>519.07987212000035</v>
      </c>
      <c r="H122" s="1">
        <v>565.71814291999897</v>
      </c>
      <c r="I122" s="1">
        <v>783.29452640000591</v>
      </c>
      <c r="J122" s="1">
        <v>2996.5743080000125</v>
      </c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2" spans="3:12" x14ac:dyDescent="0.25">
      <c r="C132" t="s">
        <v>15</v>
      </c>
    </row>
    <row r="133" spans="3:12" x14ac:dyDescent="0.25">
      <c r="C133" s="1">
        <v>50</v>
      </c>
      <c r="D133" s="2">
        <v>2</v>
      </c>
      <c r="E133" s="3">
        <v>4</v>
      </c>
      <c r="F133" s="2">
        <v>8</v>
      </c>
      <c r="G133" s="2">
        <v>16</v>
      </c>
      <c r="H133" s="2">
        <v>32</v>
      </c>
      <c r="I133" s="2">
        <v>64</v>
      </c>
      <c r="J133" s="2">
        <v>128</v>
      </c>
      <c r="K133" s="2">
        <v>256</v>
      </c>
      <c r="L133" s="2">
        <v>512</v>
      </c>
    </row>
    <row r="134" spans="3:12" x14ac:dyDescent="0.25">
      <c r="C134" s="1"/>
      <c r="D134" s="4">
        <v>42</v>
      </c>
      <c r="E134" s="4">
        <v>84</v>
      </c>
      <c r="F134" s="4">
        <v>168</v>
      </c>
      <c r="G134" s="4">
        <v>336</v>
      </c>
      <c r="H134" s="4">
        <v>672</v>
      </c>
      <c r="I134" s="4">
        <v>1344</v>
      </c>
      <c r="J134" s="4">
        <v>2688</v>
      </c>
      <c r="K134" s="4">
        <v>5376</v>
      </c>
      <c r="L134" s="4">
        <v>10752</v>
      </c>
    </row>
    <row r="135" spans="3:12" x14ac:dyDescent="0.25">
      <c r="C135" s="1" t="s">
        <v>1</v>
      </c>
      <c r="D135" s="1">
        <v>29.72261047054694</v>
      </c>
      <c r="E135" s="1">
        <v>17.26108240180459</v>
      </c>
      <c r="F135" s="1">
        <v>98.029302374199148</v>
      </c>
      <c r="G135" s="1">
        <v>48.186919862009397</v>
      </c>
      <c r="H135" s="1">
        <v>512.62779846201795</v>
      </c>
      <c r="I135" s="1">
        <v>775.06197622963418</v>
      </c>
      <c r="J135" s="1">
        <v>1357.5706663296471</v>
      </c>
      <c r="K135" s="1"/>
      <c r="L135" s="1"/>
    </row>
    <row r="136" spans="3:12" x14ac:dyDescent="0.25">
      <c r="C136" s="1" t="s">
        <v>2</v>
      </c>
      <c r="D136" s="1">
        <v>4.1622870183002432</v>
      </c>
      <c r="E136" s="1">
        <v>4.1114063303731383</v>
      </c>
      <c r="F136" s="1">
        <v>9.9600752347793069</v>
      </c>
      <c r="G136" s="1">
        <v>10.371021995671997</v>
      </c>
      <c r="H136" s="1">
        <v>60.114894582401242</v>
      </c>
      <c r="I136" s="1">
        <v>32.345265111406945</v>
      </c>
      <c r="J136" s="1">
        <v>64.000995899131425</v>
      </c>
      <c r="K136" s="1"/>
      <c r="L136" s="1"/>
    </row>
    <row r="137" spans="3:12" x14ac:dyDescent="0.25">
      <c r="C137" s="1" t="s">
        <v>4</v>
      </c>
      <c r="D137" s="1">
        <v>4.5095966148222191</v>
      </c>
      <c r="E137" s="1">
        <v>2.695164058552638</v>
      </c>
      <c r="F137" s="1">
        <v>2.3080237298604032</v>
      </c>
      <c r="G137" s="1">
        <v>8.7723176035581485</v>
      </c>
      <c r="H137" s="6">
        <v>17.021157059376133</v>
      </c>
      <c r="I137" s="1">
        <v>24.822802780119414</v>
      </c>
      <c r="J137" s="1">
        <v>31.215446024773321</v>
      </c>
      <c r="K137" s="1"/>
      <c r="L137" s="1"/>
    </row>
    <row r="138" spans="3:12" x14ac:dyDescent="0.25">
      <c r="C138" s="1" t="s">
        <v>5</v>
      </c>
      <c r="D138" s="1">
        <v>1.8204706841997533</v>
      </c>
      <c r="E138" s="1">
        <v>3.8753483115757841</v>
      </c>
      <c r="F138" s="1">
        <v>4.5432577513242967</v>
      </c>
      <c r="G138" s="1">
        <v>10.662724648881072</v>
      </c>
      <c r="H138" s="1">
        <v>54.370393885308381</v>
      </c>
      <c r="I138" s="1">
        <v>42.063281339517744</v>
      </c>
      <c r="J138" s="1">
        <v>267.89042431445</v>
      </c>
      <c r="K138" s="1"/>
      <c r="L138" s="1"/>
    </row>
    <row r="139" spans="3:12" x14ac:dyDescent="0.25">
      <c r="C139" s="1" t="s">
        <v>6</v>
      </c>
      <c r="D139" s="1" t="e">
        <v>#DIV/0!</v>
      </c>
      <c r="E139" s="1">
        <v>2.8504951529626745</v>
      </c>
      <c r="F139" s="1">
        <v>5.3846165524852259</v>
      </c>
      <c r="G139" s="1">
        <v>8.914910342132643</v>
      </c>
      <c r="H139" s="1">
        <v>24.151619116970743</v>
      </c>
      <c r="I139" s="1">
        <v>35.840002063424933</v>
      </c>
      <c r="J139" s="1">
        <v>374.9837830473424</v>
      </c>
      <c r="K139" s="1"/>
      <c r="L139" s="1"/>
    </row>
    <row r="140" spans="3:12" x14ac:dyDescent="0.25">
      <c r="C140" s="1" t="s">
        <v>7</v>
      </c>
      <c r="D140" s="1" t="e">
        <v>#DIV/0!</v>
      </c>
      <c r="E140" s="1">
        <v>2.8913992628325262</v>
      </c>
      <c r="F140" s="1">
        <v>4.9380960388489825</v>
      </c>
      <c r="G140" s="1">
        <v>7.4898968386017177</v>
      </c>
      <c r="H140" s="1">
        <v>97.841237578613317</v>
      </c>
      <c r="I140" s="1">
        <v>37.562936044220613</v>
      </c>
      <c r="J140" s="1">
        <v>53.077584956101035</v>
      </c>
      <c r="K140" s="1"/>
      <c r="L140" s="1"/>
    </row>
    <row r="141" spans="3:12" x14ac:dyDescent="0.25">
      <c r="C141" s="1" t="s">
        <v>8</v>
      </c>
      <c r="D141" s="1">
        <v>5.686052246610501</v>
      </c>
      <c r="E141" s="1">
        <v>3.1148081513509354</v>
      </c>
      <c r="F141" s="1">
        <v>4.7424838199217421</v>
      </c>
      <c r="G141" s="1">
        <v>3.2243957610017526</v>
      </c>
      <c r="H141" s="1">
        <v>7.8524516872928611</v>
      </c>
      <c r="I141" s="1">
        <v>9.724698683291841</v>
      </c>
      <c r="J141" s="1">
        <v>12.709402499951016</v>
      </c>
      <c r="K141" s="1"/>
      <c r="L141" s="4"/>
    </row>
    <row r="142" spans="3:12" x14ac:dyDescent="0.25">
      <c r="C142" s="1" t="s">
        <v>9</v>
      </c>
      <c r="D142" s="1">
        <v>4.0019749392154456</v>
      </c>
      <c r="E142" s="1">
        <v>12.272049574379867</v>
      </c>
      <c r="F142" s="1">
        <v>11.908156498184045</v>
      </c>
      <c r="G142" s="1">
        <v>28.545588114517134</v>
      </c>
      <c r="H142" s="1">
        <v>73.996229364905091</v>
      </c>
      <c r="I142" s="1">
        <v>55.557770712599329</v>
      </c>
      <c r="J142" s="1">
        <v>23.375296546965053</v>
      </c>
      <c r="K142" s="1"/>
      <c r="L142" s="1"/>
    </row>
    <row r="143" spans="3:12" x14ac:dyDescent="0.25">
      <c r="C143" s="1" t="s">
        <v>10</v>
      </c>
      <c r="D143" s="1" t="e">
        <v>#DIV/0!</v>
      </c>
      <c r="E143" s="1">
        <v>3.8240917737233882</v>
      </c>
      <c r="F143" s="1">
        <v>29.654063348246094</v>
      </c>
      <c r="G143" s="1">
        <v>6.1500353764795603</v>
      </c>
      <c r="H143" s="1">
        <v>17.330096381133174</v>
      </c>
      <c r="I143" s="1">
        <v>12.09205609421876</v>
      </c>
      <c r="J143" s="1">
        <v>15.662079622568651</v>
      </c>
      <c r="K143" s="1"/>
      <c r="L143" s="1"/>
    </row>
    <row r="144" spans="3:12" x14ac:dyDescent="0.25">
      <c r="C144" s="1" t="s">
        <v>13</v>
      </c>
      <c r="D144" s="1">
        <v>6.7759496916081181</v>
      </c>
      <c r="E144" s="1">
        <v>5.3030470028717946</v>
      </c>
      <c r="F144" s="1">
        <v>11.448449321290999</v>
      </c>
      <c r="G144" s="1">
        <v>9.9073160886486065</v>
      </c>
      <c r="H144" s="1">
        <v>47.589094849248696</v>
      </c>
      <c r="I144" s="1">
        <v>26.542539305754751</v>
      </c>
      <c r="J144" s="1">
        <v>38.649261902017194</v>
      </c>
      <c r="K144" s="1"/>
      <c r="L144" s="1"/>
    </row>
    <row r="145" spans="3:12" x14ac:dyDescent="0.25">
      <c r="C145" s="1" t="s">
        <v>14</v>
      </c>
      <c r="D145" s="1">
        <v>3.0645100422637723</v>
      </c>
      <c r="E145" s="1">
        <v>2.5012898125890075</v>
      </c>
      <c r="F145" s="1">
        <v>2.5583655943675274</v>
      </c>
      <c r="G145" s="1">
        <v>5.4142275404447799</v>
      </c>
      <c r="H145" s="1">
        <v>5.7135497458029549</v>
      </c>
      <c r="I145" s="1">
        <v>6.595168617154946</v>
      </c>
      <c r="J145" s="1">
        <v>13.240136674683123</v>
      </c>
      <c r="K145" s="1"/>
      <c r="L145" s="1"/>
    </row>
    <row r="146" spans="3:12" x14ac:dyDescent="0.25">
      <c r="C146" s="1" t="s">
        <v>13</v>
      </c>
      <c r="D146" s="1">
        <v>4.822021590408907</v>
      </c>
      <c r="E146" s="1">
        <v>6.6055772942261104</v>
      </c>
      <c r="F146" s="1">
        <v>4.9373749248987409</v>
      </c>
      <c r="G146" s="1">
        <v>22.829334179952273</v>
      </c>
      <c r="H146" s="1">
        <v>21.074887966863425</v>
      </c>
      <c r="I146" s="1">
        <v>32.342838027933681</v>
      </c>
      <c r="J146" s="1">
        <v>51.325587462044368</v>
      </c>
      <c r="K146" s="1"/>
      <c r="L146" s="1"/>
    </row>
    <row r="147" spans="3:12" x14ac:dyDescent="0.25">
      <c r="C147" s="1" t="s">
        <v>14</v>
      </c>
      <c r="D147" s="1">
        <v>4.007557393972383</v>
      </c>
      <c r="E147" s="1">
        <v>3.7527546732872432</v>
      </c>
      <c r="F147" s="1">
        <v>3.7828465556686632</v>
      </c>
      <c r="G147" s="1">
        <v>8.4951962688598233</v>
      </c>
      <c r="H147" s="1">
        <v>8.8273881816313278</v>
      </c>
      <c r="I147" s="1">
        <v>14.981477921541332</v>
      </c>
      <c r="J147" s="1">
        <v>25.964481608382506</v>
      </c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conditionalFormatting sqref="D75:D10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5:E10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5:F10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5:G10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5:H10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5:I1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5:J10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zoomScale="85" zoomScaleNormal="85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J78" sqref="J78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24</v>
      </c>
    </row>
    <row r="2" spans="1:13" x14ac:dyDescent="0.25">
      <c r="B2" t="s">
        <v>0</v>
      </c>
      <c r="C2" s="1"/>
      <c r="D2" s="14">
        <v>42</v>
      </c>
      <c r="E2" s="14">
        <v>84</v>
      </c>
      <c r="F2" s="14">
        <v>168</v>
      </c>
      <c r="G2" s="14">
        <v>336</v>
      </c>
      <c r="H2" s="14">
        <v>672</v>
      </c>
      <c r="I2" s="14">
        <v>1344</v>
      </c>
      <c r="J2" s="14">
        <v>2688</v>
      </c>
      <c r="K2" s="9">
        <v>5376</v>
      </c>
      <c r="L2" s="9">
        <v>10752</v>
      </c>
    </row>
    <row r="3" spans="1:13" x14ac:dyDescent="0.25">
      <c r="A3">
        <v>1</v>
      </c>
      <c r="C3" s="1" t="s">
        <v>1</v>
      </c>
      <c r="D3" s="10">
        <v>6288.5222000000012</v>
      </c>
      <c r="E3" s="10">
        <v>11441.451999999997</v>
      </c>
      <c r="F3" s="10">
        <v>21547.928</v>
      </c>
      <c r="G3" s="10">
        <v>42583.175999999999</v>
      </c>
      <c r="H3" s="10">
        <v>98333.397999999957</v>
      </c>
      <c r="I3" s="10">
        <v>171610.78</v>
      </c>
      <c r="J3" s="10">
        <v>334035.68</v>
      </c>
      <c r="K3" s="10"/>
      <c r="L3" s="10"/>
    </row>
    <row r="4" spans="1:13" x14ac:dyDescent="0.25">
      <c r="C4" s="1" t="s">
        <v>25</v>
      </c>
      <c r="D4" s="10">
        <v>365.0447200000001</v>
      </c>
      <c r="E4" s="10">
        <v>531.33445999999992</v>
      </c>
      <c r="F4" s="10">
        <v>1487.1846000000003</v>
      </c>
      <c r="G4" s="10">
        <v>5115.2082</v>
      </c>
      <c r="H4" s="10"/>
      <c r="I4" s="10"/>
      <c r="J4" s="10"/>
      <c r="K4" s="10"/>
      <c r="L4" s="10"/>
    </row>
    <row r="5" spans="1:13" x14ac:dyDescent="0.25">
      <c r="C5" s="1" t="s">
        <v>26</v>
      </c>
      <c r="D5" s="10">
        <v>514.1083799999999</v>
      </c>
      <c r="E5" s="10">
        <v>647.01342</v>
      </c>
      <c r="F5" s="10">
        <v>910.92329999999993</v>
      </c>
      <c r="G5" s="10">
        <v>1488.7644</v>
      </c>
      <c r="H5" s="11">
        <v>2595.8094000000001</v>
      </c>
      <c r="I5" s="10">
        <v>5079.9591999999984</v>
      </c>
      <c r="J5" s="10">
        <v>10000.743600000002</v>
      </c>
      <c r="K5" s="10"/>
      <c r="L5" s="10"/>
    </row>
    <row r="6" spans="1:13" x14ac:dyDescent="0.25">
      <c r="C6" s="1" t="s">
        <v>27</v>
      </c>
      <c r="D6" s="10">
        <v>514.1003599999998</v>
      </c>
      <c r="E6" s="10">
        <v>641.41456000000005</v>
      </c>
      <c r="F6" s="10">
        <v>905.82849999999985</v>
      </c>
      <c r="G6" s="10">
        <v>1457.0965999999999</v>
      </c>
      <c r="H6" s="10">
        <v>2584.2836000000007</v>
      </c>
      <c r="I6" s="10">
        <v>4653.558</v>
      </c>
      <c r="J6" s="10">
        <v>8917.1583999999984</v>
      </c>
      <c r="K6" s="10"/>
      <c r="L6" s="10"/>
    </row>
    <row r="7" spans="1:13" x14ac:dyDescent="0.25">
      <c r="C7" s="1" t="s">
        <v>28</v>
      </c>
      <c r="D7" s="10">
        <v>366.20181999999977</v>
      </c>
      <c r="E7" s="10">
        <v>517.09110000000021</v>
      </c>
      <c r="F7" s="10">
        <v>1455.4449999999997</v>
      </c>
      <c r="G7" s="10">
        <v>4970.9753999999984</v>
      </c>
      <c r="H7" s="10"/>
      <c r="I7" s="10"/>
      <c r="J7" s="10"/>
      <c r="K7" s="10"/>
      <c r="L7" s="10"/>
    </row>
    <row r="8" spans="1:13" x14ac:dyDescent="0.25">
      <c r="C8" s="1" t="s">
        <v>29</v>
      </c>
      <c r="D8" s="10">
        <v>503.17341999999991</v>
      </c>
      <c r="E8" s="10">
        <v>633.53136000000029</v>
      </c>
      <c r="F8" s="10">
        <v>898.00881999999979</v>
      </c>
      <c r="G8" s="10">
        <v>1439.8032000000001</v>
      </c>
      <c r="H8" s="10">
        <v>2628.6049999999996</v>
      </c>
      <c r="I8" s="10">
        <v>5035.9858000000004</v>
      </c>
      <c r="J8" s="10">
        <v>9916.8382000000038</v>
      </c>
      <c r="K8" s="10"/>
      <c r="L8" s="10"/>
    </row>
    <row r="9" spans="1:13" x14ac:dyDescent="0.25">
      <c r="C9" s="1" t="s">
        <v>30</v>
      </c>
      <c r="D9" s="10">
        <v>506.91559999999993</v>
      </c>
      <c r="E9" s="10">
        <v>635.82746000000009</v>
      </c>
      <c r="F9" s="10">
        <v>890.50812000000019</v>
      </c>
      <c r="G9" s="10">
        <v>1435.5870000000007</v>
      </c>
      <c r="H9" s="10">
        <v>2621.0852</v>
      </c>
      <c r="I9" s="10">
        <v>4737.7634000000016</v>
      </c>
      <c r="J9" s="10">
        <v>8906.9438000000027</v>
      </c>
      <c r="K9" s="10"/>
      <c r="L9" s="9"/>
    </row>
    <row r="10" spans="1:13" x14ac:dyDescent="0.25">
      <c r="C10" s="1" t="s">
        <v>31</v>
      </c>
      <c r="D10" s="10">
        <v>512.58605999999997</v>
      </c>
      <c r="E10" s="10">
        <v>867.99757999999997</v>
      </c>
      <c r="F10" s="10">
        <v>2550.6264000000001</v>
      </c>
      <c r="G10" s="10">
        <v>8942.9824000000026</v>
      </c>
      <c r="H10" s="10"/>
      <c r="I10" s="10"/>
      <c r="J10" s="10"/>
      <c r="K10" s="10"/>
      <c r="L10" s="10"/>
    </row>
    <row r="11" spans="1:13" x14ac:dyDescent="0.25">
      <c r="C11" s="1" t="s">
        <v>32</v>
      </c>
      <c r="D11" s="10">
        <v>14692.014000000001</v>
      </c>
      <c r="E11" s="10">
        <v>28348.932000000001</v>
      </c>
      <c r="F11" s="10">
        <v>57701.124000000011</v>
      </c>
      <c r="G11" s="10">
        <v>113927.8</v>
      </c>
      <c r="H11" s="10">
        <v>229850.5</v>
      </c>
      <c r="I11" s="10">
        <v>462119.36</v>
      </c>
      <c r="J11" s="10">
        <v>918429.34</v>
      </c>
      <c r="K11" s="10"/>
      <c r="L11" s="10"/>
    </row>
    <row r="12" spans="1:13" x14ac:dyDescent="0.25">
      <c r="C12" s="1" t="s">
        <v>33</v>
      </c>
      <c r="D12" s="10">
        <v>766.14864</v>
      </c>
      <c r="E12" s="10">
        <v>1475.5375999999999</v>
      </c>
      <c r="F12" s="10">
        <v>2918.2626</v>
      </c>
      <c r="G12" s="10">
        <v>5846.3363999999992</v>
      </c>
      <c r="H12" s="10">
        <v>11758.977999999997</v>
      </c>
      <c r="I12" s="10">
        <v>25339.913999999993</v>
      </c>
      <c r="J12" s="10">
        <v>65515.316000000006</v>
      </c>
      <c r="K12" s="10"/>
      <c r="L12" s="10"/>
    </row>
    <row r="13" spans="1:13" x14ac:dyDescent="0.25">
      <c r="C13" s="1" t="s">
        <v>34</v>
      </c>
      <c r="D13" s="10">
        <v>368.17468000000002</v>
      </c>
      <c r="E13" s="10">
        <v>517.31966000000011</v>
      </c>
      <c r="F13" s="10">
        <v>1460.7574000000004</v>
      </c>
      <c r="G13" s="10">
        <v>4973.9278000000004</v>
      </c>
      <c r="H13" s="10"/>
      <c r="I13" s="10"/>
      <c r="J13" s="10"/>
      <c r="K13" s="10"/>
      <c r="L13" s="10"/>
    </row>
    <row r="14" spans="1:13" x14ac:dyDescent="0.25">
      <c r="C14" s="1" t="s">
        <v>35</v>
      </c>
      <c r="D14" s="10">
        <v>508.24220000000008</v>
      </c>
      <c r="E14" s="10">
        <v>633.06745999999976</v>
      </c>
      <c r="F14" s="10">
        <v>908.18880000000036</v>
      </c>
      <c r="G14" s="10">
        <v>1440.8275999999996</v>
      </c>
      <c r="H14" s="10">
        <v>2523.1876000000007</v>
      </c>
      <c r="I14" s="10">
        <v>5079.8194000000021</v>
      </c>
      <c r="J14" s="10"/>
      <c r="K14" s="10"/>
      <c r="L14" s="10"/>
    </row>
    <row r="15" spans="1:13" x14ac:dyDescent="0.25">
      <c r="C15" s="1" t="s">
        <v>36</v>
      </c>
      <c r="D15" s="10">
        <v>509.66250000000002</v>
      </c>
      <c r="E15" s="10">
        <v>636.19585999999993</v>
      </c>
      <c r="F15" s="10">
        <v>896.78115999999977</v>
      </c>
      <c r="G15" s="10">
        <v>1434.0754000000004</v>
      </c>
      <c r="H15" s="10">
        <v>2515.6789999999996</v>
      </c>
      <c r="I15" s="10">
        <v>4712.2525999999998</v>
      </c>
      <c r="J15" s="10"/>
      <c r="K15" s="10"/>
      <c r="L15" s="10"/>
    </row>
    <row r="16" spans="1:13" x14ac:dyDescent="0.25">
      <c r="C16" s="1" t="s">
        <v>38</v>
      </c>
      <c r="D16" s="10">
        <v>361.57839999999999</v>
      </c>
      <c r="E16" s="10">
        <v>513.75251999999989</v>
      </c>
      <c r="F16" s="10">
        <v>1457.7116000000003</v>
      </c>
      <c r="G16" s="10">
        <v>4926.4904000000006</v>
      </c>
      <c r="H16" s="10"/>
      <c r="I16" s="10"/>
      <c r="J16" s="10"/>
      <c r="K16" s="10"/>
      <c r="L16" s="10"/>
    </row>
    <row r="17" spans="3:12" x14ac:dyDescent="0.25">
      <c r="C17" s="1" t="s">
        <v>39</v>
      </c>
      <c r="D17" s="10">
        <v>498.01945999999987</v>
      </c>
      <c r="E17" s="10">
        <v>632.78192000000013</v>
      </c>
      <c r="F17" s="10">
        <v>902.39378000000011</v>
      </c>
      <c r="G17" s="10">
        <v>1437.075</v>
      </c>
      <c r="H17" s="10">
        <v>2516.7410000000004</v>
      </c>
      <c r="I17" s="10">
        <v>5076.8145999999988</v>
      </c>
      <c r="J17" s="10"/>
      <c r="K17" s="10"/>
      <c r="L17" s="10"/>
    </row>
    <row r="18" spans="3:12" x14ac:dyDescent="0.25">
      <c r="C18" s="1" t="s">
        <v>40</v>
      </c>
      <c r="D18" s="10">
        <v>507.87650000000008</v>
      </c>
      <c r="E18" s="10">
        <v>634.55893999999989</v>
      </c>
      <c r="F18" s="10">
        <v>895.18130000000019</v>
      </c>
      <c r="G18" s="10">
        <v>1433.3492000000001</v>
      </c>
      <c r="H18" s="10">
        <v>2511.5192000000006</v>
      </c>
      <c r="I18" s="10">
        <v>4670.0818000000008</v>
      </c>
      <c r="J18" s="10"/>
      <c r="K18" s="10"/>
      <c r="L18" s="10"/>
    </row>
    <row r="19" spans="3:12" x14ac:dyDescent="0.25">
      <c r="C19" s="1" t="s">
        <v>41</v>
      </c>
      <c r="D19" s="10">
        <v>508.22379999999993</v>
      </c>
      <c r="E19" s="10">
        <v>643.77142000000003</v>
      </c>
      <c r="F19" s="10">
        <v>910.84688000000006</v>
      </c>
      <c r="G19" s="10">
        <v>1463.2123999999999</v>
      </c>
      <c r="H19" s="10">
        <v>2550.6546000000003</v>
      </c>
      <c r="I19" s="10">
        <v>4693.1651999999995</v>
      </c>
      <c r="J19" s="10">
        <v>8999.1200000000026</v>
      </c>
      <c r="K19" s="10"/>
      <c r="L19" s="10"/>
    </row>
    <row r="20" spans="3:12" x14ac:dyDescent="0.25">
      <c r="C20" s="1" t="s">
        <v>43</v>
      </c>
      <c r="D20" s="10">
        <v>516.78091999999992</v>
      </c>
      <c r="E20" s="10">
        <v>638.4910799999999</v>
      </c>
      <c r="F20" s="10">
        <v>899.97361999999976</v>
      </c>
      <c r="G20" s="10">
        <v>1456.4035999999999</v>
      </c>
      <c r="H20" s="10">
        <v>2648.0127999999995</v>
      </c>
      <c r="I20" s="10">
        <v>4724.5613999999987</v>
      </c>
      <c r="J20" s="10">
        <v>8998.5811999999987</v>
      </c>
      <c r="K20" s="10"/>
      <c r="L20" s="10"/>
    </row>
    <row r="21" spans="3:12" x14ac:dyDescent="0.25">
      <c r="C21" s="1" t="s">
        <v>44</v>
      </c>
      <c r="D21" s="10">
        <v>253.41555999999997</v>
      </c>
      <c r="E21" s="10">
        <v>444.53188000000011</v>
      </c>
      <c r="F21" s="10">
        <v>800.20191999999997</v>
      </c>
      <c r="G21" s="10">
        <v>1561.5104000000001</v>
      </c>
      <c r="H21" s="10">
        <v>3155.5724</v>
      </c>
      <c r="I21" s="10">
        <v>6011.6254000000008</v>
      </c>
      <c r="J21" s="10">
        <v>11922.106000000002</v>
      </c>
      <c r="K21" s="10"/>
      <c r="L21" s="10"/>
    </row>
    <row r="22" spans="3:12" x14ac:dyDescent="0.25">
      <c r="C22" s="1" t="s">
        <v>37</v>
      </c>
      <c r="D22" s="10">
        <v>266.52343999999994</v>
      </c>
      <c r="E22" s="10">
        <v>456.59374000000003</v>
      </c>
      <c r="F22" s="10">
        <v>835.46848000000023</v>
      </c>
      <c r="G22" s="10">
        <v>1557.8348000000001</v>
      </c>
      <c r="H22" s="10">
        <v>3025.7882</v>
      </c>
      <c r="I22" s="10">
        <v>6113.1583999999993</v>
      </c>
      <c r="J22" s="10"/>
      <c r="K22" s="10"/>
      <c r="L22" s="10"/>
    </row>
    <row r="23" spans="3:12" x14ac:dyDescent="0.25">
      <c r="C23" s="1" t="s">
        <v>42</v>
      </c>
      <c r="D23" s="10">
        <v>259.34080000000006</v>
      </c>
      <c r="E23" s="10">
        <v>464.26430000000005</v>
      </c>
      <c r="F23" s="10">
        <v>815.30317999999988</v>
      </c>
      <c r="G23" s="10">
        <v>1596.6992000000005</v>
      </c>
      <c r="H23" s="10">
        <v>3161.7062000000001</v>
      </c>
      <c r="I23" s="10">
        <v>6192.9892</v>
      </c>
      <c r="J23" s="10">
        <v>11984.860000000002</v>
      </c>
      <c r="K23" s="10"/>
      <c r="L23" s="10"/>
    </row>
    <row r="24" spans="3:12" x14ac:dyDescent="0.25">
      <c r="C24" s="1" t="s">
        <v>45</v>
      </c>
      <c r="D24" s="10"/>
      <c r="E24" s="10">
        <v>430.22585999999995</v>
      </c>
      <c r="F24" s="10">
        <v>816.76238000000001</v>
      </c>
      <c r="G24" s="10">
        <v>1553.6932000000004</v>
      </c>
      <c r="H24" s="10">
        <v>3016.3684000000003</v>
      </c>
      <c r="I24" s="10">
        <v>6119.982</v>
      </c>
      <c r="J24" s="10">
        <v>11913.408000000003</v>
      </c>
      <c r="K24" s="10"/>
      <c r="L24" s="10"/>
    </row>
    <row r="25" spans="3:12" x14ac:dyDescent="0.25">
      <c r="C25" s="1" t="s">
        <v>9</v>
      </c>
      <c r="D25" s="10">
        <v>1319.3328000000006</v>
      </c>
      <c r="E25" s="10">
        <v>3638.3505999999998</v>
      </c>
      <c r="F25" s="10">
        <v>6188.3881999999994</v>
      </c>
      <c r="G25" s="10">
        <v>10503.2714</v>
      </c>
      <c r="H25" s="10">
        <v>16345.483999999999</v>
      </c>
      <c r="I25" s="10">
        <v>28278.142000000011</v>
      </c>
      <c r="J25" s="10">
        <v>48772.637999999992</v>
      </c>
      <c r="K25" s="10"/>
      <c r="L25" s="10"/>
    </row>
    <row r="26" spans="3:12" x14ac:dyDescent="0.25">
      <c r="C26" s="1" t="s">
        <v>13</v>
      </c>
      <c r="D26" s="10">
        <v>1132.0496000000003</v>
      </c>
      <c r="E26" s="10">
        <v>2092.4639999999995</v>
      </c>
      <c r="F26" s="10">
        <v>3978.3183999999997</v>
      </c>
      <c r="G26" s="10">
        <v>7709.4031999999997</v>
      </c>
      <c r="H26" s="10">
        <v>14043.196000000002</v>
      </c>
      <c r="I26" s="10">
        <v>26905.33</v>
      </c>
      <c r="J26" s="10">
        <v>55996.127999999997</v>
      </c>
    </row>
    <row r="27" spans="3:12" x14ac:dyDescent="0.25">
      <c r="C27" s="1" t="s">
        <v>14</v>
      </c>
      <c r="D27" s="10">
        <v>257.09768000000008</v>
      </c>
      <c r="E27" s="10">
        <v>441.49017999999995</v>
      </c>
      <c r="F27" s="10">
        <v>818.33375999999976</v>
      </c>
      <c r="G27" s="10">
        <v>1549.6212000000003</v>
      </c>
      <c r="H27" s="10">
        <v>3143.1994000000013</v>
      </c>
      <c r="I27" s="10">
        <v>6016.168999999999</v>
      </c>
      <c r="J27" s="10">
        <v>11876.062000000002</v>
      </c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149.72671904761907</v>
      </c>
      <c r="E32" s="5">
        <f t="shared" ref="E32:L32" si="0">E3/E$2</f>
        <v>136.20776190476187</v>
      </c>
      <c r="F32" s="5">
        <f t="shared" si="0"/>
        <v>128.2614761904762</v>
      </c>
      <c r="G32" s="5">
        <f t="shared" si="0"/>
        <v>126.73564285714285</v>
      </c>
      <c r="H32" s="5">
        <f t="shared" si="0"/>
        <v>146.32946130952374</v>
      </c>
      <c r="I32" s="5">
        <f t="shared" si="0"/>
        <v>127.68659226190476</v>
      </c>
      <c r="J32" s="5">
        <f t="shared" si="0"/>
        <v>124.26922619047619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25</v>
      </c>
      <c r="D33" s="5">
        <f t="shared" ref="D33:L33" si="1">D4/D$2</f>
        <v>8.6915409523809544</v>
      </c>
      <c r="E33" s="5">
        <f t="shared" si="1"/>
        <v>6.3254102380952375</v>
      </c>
      <c r="F33" s="5">
        <f t="shared" si="1"/>
        <v>8.8522892857142867</v>
      </c>
      <c r="G33" s="5">
        <f t="shared" si="1"/>
        <v>15.223833928571429</v>
      </c>
      <c r="H33" s="5">
        <f t="shared" si="1"/>
        <v>0</v>
      </c>
      <c r="I33" s="5">
        <f t="shared" si="1"/>
        <v>0</v>
      </c>
      <c r="J33" s="5">
        <f t="shared" si="1"/>
        <v>0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26</v>
      </c>
      <c r="D34" s="5">
        <f t="shared" ref="D34:L34" si="2">D5/D$2</f>
        <v>12.240675714285711</v>
      </c>
      <c r="E34" s="5">
        <f t="shared" si="2"/>
        <v>7.7025407142857141</v>
      </c>
      <c r="F34" s="5">
        <f t="shared" si="2"/>
        <v>5.4221624999999998</v>
      </c>
      <c r="G34" s="5">
        <f t="shared" si="2"/>
        <v>4.4308464285714289</v>
      </c>
      <c r="H34" s="5">
        <f t="shared" si="2"/>
        <v>3.8628116071428571</v>
      </c>
      <c r="I34" s="5">
        <f t="shared" si="2"/>
        <v>3.7797315476190465</v>
      </c>
      <c r="J34" s="5">
        <f t="shared" si="2"/>
        <v>3.7205147321428576</v>
      </c>
      <c r="K34" s="5">
        <f t="shared" si="2"/>
        <v>0</v>
      </c>
      <c r="L34" s="5">
        <f t="shared" si="2"/>
        <v>0</v>
      </c>
    </row>
    <row r="35" spans="3:12" x14ac:dyDescent="0.25">
      <c r="C35" s="1" t="s">
        <v>27</v>
      </c>
      <c r="D35" s="5">
        <f t="shared" ref="D35:L35" si="3">D6/D$2</f>
        <v>12.240484761904757</v>
      </c>
      <c r="E35" s="5">
        <f t="shared" si="3"/>
        <v>7.6358876190476197</v>
      </c>
      <c r="F35" s="5">
        <f t="shared" si="3"/>
        <v>5.3918363095238089</v>
      </c>
      <c r="G35" s="5">
        <f t="shared" si="3"/>
        <v>4.3365970238095235</v>
      </c>
      <c r="H35" s="5">
        <f t="shared" si="3"/>
        <v>3.8456601190476198</v>
      </c>
      <c r="I35" s="5">
        <f t="shared" si="3"/>
        <v>3.4624687500000002</v>
      </c>
      <c r="J35" s="5">
        <f t="shared" si="3"/>
        <v>3.3173952380952376</v>
      </c>
      <c r="K35" s="5">
        <f t="shared" si="3"/>
        <v>0</v>
      </c>
      <c r="L35" s="5">
        <f t="shared" si="3"/>
        <v>0</v>
      </c>
    </row>
    <row r="36" spans="3:12" x14ac:dyDescent="0.25">
      <c r="C36" s="1" t="s">
        <v>28</v>
      </c>
      <c r="D36" s="5">
        <f t="shared" ref="D36:L36" si="4">D7/D$2</f>
        <v>8.719090952380947</v>
      </c>
      <c r="E36" s="5">
        <f t="shared" si="4"/>
        <v>6.1558464285714312</v>
      </c>
      <c r="F36" s="5">
        <f t="shared" si="4"/>
        <v>8.6633630952380933</v>
      </c>
      <c r="G36" s="5">
        <f t="shared" si="4"/>
        <v>14.794569642857137</v>
      </c>
      <c r="H36" s="5">
        <f t="shared" si="4"/>
        <v>0</v>
      </c>
      <c r="I36" s="5">
        <f t="shared" si="4"/>
        <v>0</v>
      </c>
      <c r="J36" s="5">
        <f t="shared" si="4"/>
        <v>0</v>
      </c>
      <c r="K36" s="5">
        <f t="shared" si="4"/>
        <v>0</v>
      </c>
      <c r="L36" s="5">
        <f t="shared" si="4"/>
        <v>0</v>
      </c>
    </row>
    <row r="37" spans="3:12" x14ac:dyDescent="0.25">
      <c r="C37" s="1" t="s">
        <v>29</v>
      </c>
      <c r="D37" s="5">
        <f t="shared" ref="D37:L37" si="5">D8/D$2</f>
        <v>11.980319523809522</v>
      </c>
      <c r="E37" s="5">
        <f t="shared" si="5"/>
        <v>7.5420400000000036</v>
      </c>
      <c r="F37" s="5">
        <f t="shared" si="5"/>
        <v>5.3452905952380938</v>
      </c>
      <c r="G37" s="5">
        <f t="shared" si="5"/>
        <v>4.2851285714285714</v>
      </c>
      <c r="H37" s="5">
        <f t="shared" si="5"/>
        <v>3.9116145833333329</v>
      </c>
      <c r="I37" s="5">
        <f t="shared" si="5"/>
        <v>3.7470132440476194</v>
      </c>
      <c r="J37" s="5">
        <f t="shared" si="5"/>
        <v>3.6892999255952397</v>
      </c>
      <c r="K37" s="5">
        <f t="shared" si="5"/>
        <v>0</v>
      </c>
      <c r="L37" s="5">
        <f t="shared" si="5"/>
        <v>0</v>
      </c>
    </row>
    <row r="38" spans="3:12" x14ac:dyDescent="0.25">
      <c r="C38" s="1" t="s">
        <v>30</v>
      </c>
      <c r="D38" s="5">
        <f t="shared" ref="D38:L38" si="6">D9/D$2</f>
        <v>12.069419047619046</v>
      </c>
      <c r="E38" s="5">
        <f t="shared" si="6"/>
        <v>7.5693745238095245</v>
      </c>
      <c r="F38" s="5">
        <f t="shared" si="6"/>
        <v>5.3006435714285729</v>
      </c>
      <c r="G38" s="5">
        <f t="shared" si="6"/>
        <v>4.2725803571428589</v>
      </c>
      <c r="H38" s="5">
        <f t="shared" si="6"/>
        <v>3.9004244047619046</v>
      </c>
      <c r="I38" s="5">
        <f t="shared" si="6"/>
        <v>3.5251215773809537</v>
      </c>
      <c r="J38" s="5">
        <f t="shared" si="6"/>
        <v>3.313595163690477</v>
      </c>
      <c r="K38" s="5">
        <f t="shared" si="6"/>
        <v>0</v>
      </c>
      <c r="L38" s="5">
        <f t="shared" si="6"/>
        <v>0</v>
      </c>
    </row>
    <row r="39" spans="3:12" x14ac:dyDescent="0.25">
      <c r="C39" s="1" t="s">
        <v>31</v>
      </c>
      <c r="D39" s="5">
        <f t="shared" ref="D39:L39" si="7">D10/D$2</f>
        <v>12.204429999999999</v>
      </c>
      <c r="E39" s="5">
        <f t="shared" si="7"/>
        <v>10.333304523809524</v>
      </c>
      <c r="F39" s="5">
        <f t="shared" si="7"/>
        <v>15.182300000000001</v>
      </c>
      <c r="G39" s="5">
        <f t="shared" si="7"/>
        <v>26.616019047619055</v>
      </c>
      <c r="H39" s="5">
        <f t="shared" si="7"/>
        <v>0</v>
      </c>
      <c r="I39" s="5">
        <f t="shared" si="7"/>
        <v>0</v>
      </c>
      <c r="J39" s="5">
        <f t="shared" si="7"/>
        <v>0</v>
      </c>
      <c r="K39" s="5">
        <f t="shared" si="7"/>
        <v>0</v>
      </c>
      <c r="L39" s="5">
        <f t="shared" si="7"/>
        <v>0</v>
      </c>
    </row>
    <row r="40" spans="3:12" x14ac:dyDescent="0.25">
      <c r="C40" s="1" t="s">
        <v>32</v>
      </c>
      <c r="D40" s="5">
        <f t="shared" ref="D40:L40" si="8">D11/D$2</f>
        <v>349.80985714285714</v>
      </c>
      <c r="E40" s="5">
        <f t="shared" si="8"/>
        <v>337.48728571428575</v>
      </c>
      <c r="F40" s="5">
        <f t="shared" si="8"/>
        <v>343.45907142857152</v>
      </c>
      <c r="G40" s="5">
        <f t="shared" si="8"/>
        <v>339.07083333333333</v>
      </c>
      <c r="H40" s="5">
        <f t="shared" si="8"/>
        <v>342.03943452380952</v>
      </c>
      <c r="I40" s="5">
        <f t="shared" si="8"/>
        <v>343.83880952380952</v>
      </c>
      <c r="J40" s="5">
        <f t="shared" si="8"/>
        <v>341.67758184523808</v>
      </c>
      <c r="K40" s="5">
        <f t="shared" si="8"/>
        <v>0</v>
      </c>
      <c r="L40" s="5">
        <f t="shared" si="8"/>
        <v>0</v>
      </c>
    </row>
    <row r="41" spans="3:12" x14ac:dyDescent="0.25">
      <c r="C41" s="1" t="s">
        <v>33</v>
      </c>
      <c r="D41" s="5">
        <f t="shared" ref="D41:L41" si="9">D12/D$2</f>
        <v>18.241634285714287</v>
      </c>
      <c r="E41" s="5">
        <f t="shared" si="9"/>
        <v>17.565923809523809</v>
      </c>
      <c r="F41" s="5">
        <f t="shared" si="9"/>
        <v>17.370610714285714</v>
      </c>
      <c r="G41" s="5">
        <f t="shared" si="9"/>
        <v>17.399810714285714</v>
      </c>
      <c r="H41" s="5">
        <f t="shared" si="9"/>
        <v>17.498479166666662</v>
      </c>
      <c r="I41" s="5">
        <f t="shared" si="9"/>
        <v>18.854102678571422</v>
      </c>
      <c r="J41" s="5">
        <f t="shared" si="9"/>
        <v>24.373257440476191</v>
      </c>
      <c r="K41" s="5">
        <f t="shared" si="9"/>
        <v>0</v>
      </c>
      <c r="L41" s="5">
        <f t="shared" si="9"/>
        <v>0</v>
      </c>
    </row>
    <row r="42" spans="3:12" x14ac:dyDescent="0.25">
      <c r="C42" s="1" t="s">
        <v>34</v>
      </c>
      <c r="D42" s="5">
        <f t="shared" ref="D42:L42" si="10">D13/D$2</f>
        <v>8.7660638095238106</v>
      </c>
      <c r="E42" s="5">
        <f t="shared" si="10"/>
        <v>6.1585673809523822</v>
      </c>
      <c r="F42" s="5">
        <f t="shared" si="10"/>
        <v>8.6949845238095271</v>
      </c>
      <c r="G42" s="5">
        <f t="shared" si="10"/>
        <v>14.80335654761905</v>
      </c>
      <c r="H42" s="5">
        <f t="shared" si="10"/>
        <v>0</v>
      </c>
      <c r="I42" s="5">
        <f t="shared" si="10"/>
        <v>0</v>
      </c>
      <c r="J42" s="5">
        <f t="shared" si="10"/>
        <v>0</v>
      </c>
      <c r="K42" s="5">
        <f t="shared" si="10"/>
        <v>0</v>
      </c>
      <c r="L42" s="5">
        <f t="shared" si="10"/>
        <v>0</v>
      </c>
    </row>
    <row r="43" spans="3:12" x14ac:dyDescent="0.25">
      <c r="C43" s="1" t="s">
        <v>35</v>
      </c>
      <c r="D43" s="5">
        <f t="shared" ref="D43:L43" si="11">D14/D$2</f>
        <v>12.101004761904765</v>
      </c>
      <c r="E43" s="5">
        <f t="shared" si="11"/>
        <v>7.536517380952378</v>
      </c>
      <c r="F43" s="5">
        <f t="shared" si="11"/>
        <v>5.4058857142857164</v>
      </c>
      <c r="G43" s="5">
        <f t="shared" si="11"/>
        <v>4.28817738095238</v>
      </c>
      <c r="H43" s="5">
        <f t="shared" si="11"/>
        <v>3.7547434523809535</v>
      </c>
      <c r="I43" s="5">
        <f t="shared" si="11"/>
        <v>3.7796275297619064</v>
      </c>
      <c r="J43" s="5">
        <f t="shared" si="11"/>
        <v>0</v>
      </c>
      <c r="K43" s="5">
        <f t="shared" si="11"/>
        <v>0</v>
      </c>
      <c r="L43" s="5">
        <f t="shared" si="11"/>
        <v>0</v>
      </c>
    </row>
    <row r="44" spans="3:12" x14ac:dyDescent="0.25">
      <c r="C44" s="1" t="s">
        <v>36</v>
      </c>
      <c r="D44" s="5">
        <f t="shared" ref="D44:L44" si="12">D15/D$2</f>
        <v>12.13482142857143</v>
      </c>
      <c r="E44" s="5">
        <f t="shared" si="12"/>
        <v>7.5737602380952369</v>
      </c>
      <c r="F44" s="5">
        <f t="shared" si="12"/>
        <v>5.3379830952380942</v>
      </c>
      <c r="G44" s="5">
        <f t="shared" si="12"/>
        <v>4.2680815476190492</v>
      </c>
      <c r="H44" s="5">
        <f t="shared" si="12"/>
        <v>3.7435699404761897</v>
      </c>
      <c r="I44" s="5">
        <f t="shared" si="12"/>
        <v>3.5061403273809524</v>
      </c>
      <c r="J44" s="5">
        <f t="shared" si="12"/>
        <v>0</v>
      </c>
      <c r="K44" s="5">
        <f t="shared" si="12"/>
        <v>0</v>
      </c>
      <c r="L44" s="5">
        <f t="shared" si="12"/>
        <v>0</v>
      </c>
    </row>
    <row r="45" spans="3:12" x14ac:dyDescent="0.25">
      <c r="C45" s="1" t="s">
        <v>38</v>
      </c>
      <c r="D45" s="5">
        <f t="shared" ref="D45:L45" si="13">D16/D$2</f>
        <v>8.6090095238095241</v>
      </c>
      <c r="E45" s="5">
        <f t="shared" si="13"/>
        <v>6.1161014285714277</v>
      </c>
      <c r="F45" s="5">
        <f t="shared" si="13"/>
        <v>8.6768547619047638</v>
      </c>
      <c r="G45" s="5">
        <f t="shared" si="13"/>
        <v>14.662173809523811</v>
      </c>
      <c r="H45" s="5">
        <f t="shared" si="13"/>
        <v>0</v>
      </c>
      <c r="I45" s="5">
        <f t="shared" si="13"/>
        <v>0</v>
      </c>
      <c r="J45" s="5">
        <f t="shared" si="13"/>
        <v>0</v>
      </c>
      <c r="K45" s="5">
        <f t="shared" si="13"/>
        <v>0</v>
      </c>
      <c r="L45" s="5">
        <f t="shared" si="13"/>
        <v>0</v>
      </c>
    </row>
    <row r="46" spans="3:12" x14ac:dyDescent="0.25">
      <c r="C46" s="1" t="s">
        <v>39</v>
      </c>
      <c r="D46" s="5">
        <f t="shared" ref="D46:L46" si="14">D17/D$2</f>
        <v>11.857606190476186</v>
      </c>
      <c r="E46" s="5">
        <f t="shared" si="14"/>
        <v>7.5331180952380965</v>
      </c>
      <c r="F46" s="5">
        <f t="shared" si="14"/>
        <v>5.3713915476190479</v>
      </c>
      <c r="G46" s="5">
        <f t="shared" si="14"/>
        <v>4.277008928571429</v>
      </c>
      <c r="H46" s="5">
        <f t="shared" si="14"/>
        <v>3.7451502976190483</v>
      </c>
      <c r="I46" s="5">
        <f t="shared" si="14"/>
        <v>3.7773918154761894</v>
      </c>
      <c r="J46" s="5">
        <f t="shared" si="14"/>
        <v>0</v>
      </c>
      <c r="K46" s="5">
        <f t="shared" si="14"/>
        <v>0</v>
      </c>
      <c r="L46" s="5">
        <f t="shared" si="14"/>
        <v>0</v>
      </c>
    </row>
    <row r="47" spans="3:12" x14ac:dyDescent="0.25">
      <c r="C47" s="1" t="s">
        <v>40</v>
      </c>
      <c r="D47" s="5">
        <f t="shared" ref="D47:L47" si="15">D18/D$2</f>
        <v>12.092297619047621</v>
      </c>
      <c r="E47" s="5">
        <f t="shared" si="15"/>
        <v>7.5542730952380941</v>
      </c>
      <c r="F47" s="5">
        <f t="shared" si="15"/>
        <v>5.3284601190476204</v>
      </c>
      <c r="G47" s="5">
        <f t="shared" si="15"/>
        <v>4.2659202380952381</v>
      </c>
      <c r="H47" s="5">
        <f t="shared" si="15"/>
        <v>3.7373797619047631</v>
      </c>
      <c r="I47" s="5">
        <f t="shared" si="15"/>
        <v>3.4747632440476197</v>
      </c>
      <c r="J47" s="5">
        <f t="shared" si="15"/>
        <v>0</v>
      </c>
      <c r="K47" s="5">
        <f t="shared" si="15"/>
        <v>0</v>
      </c>
      <c r="L47" s="5">
        <f t="shared" si="15"/>
        <v>0</v>
      </c>
    </row>
    <row r="48" spans="3:12" x14ac:dyDescent="0.25">
      <c r="C48" s="1" t="s">
        <v>41</v>
      </c>
      <c r="D48" s="5">
        <f t="shared" ref="D48:L48" si="16">D19/D$2</f>
        <v>12.100566666666666</v>
      </c>
      <c r="E48" s="5">
        <f t="shared" si="16"/>
        <v>7.6639454761904764</v>
      </c>
      <c r="F48" s="5">
        <f t="shared" si="16"/>
        <v>5.421707619047619</v>
      </c>
      <c r="G48" s="5">
        <f t="shared" si="16"/>
        <v>4.3547988095238095</v>
      </c>
      <c r="H48" s="5">
        <f t="shared" si="16"/>
        <v>3.7956169642857147</v>
      </c>
      <c r="I48" s="5">
        <f t="shared" si="16"/>
        <v>3.4919383928571426</v>
      </c>
      <c r="J48" s="5">
        <f t="shared" si="16"/>
        <v>3.3478869047619058</v>
      </c>
      <c r="K48" s="5">
        <f t="shared" si="16"/>
        <v>0</v>
      </c>
      <c r="L48" s="5">
        <f t="shared" si="16"/>
        <v>0</v>
      </c>
    </row>
    <row r="49" spans="3:12" x14ac:dyDescent="0.25">
      <c r="C49" s="1" t="s">
        <v>43</v>
      </c>
      <c r="D49" s="5">
        <f t="shared" ref="D49:L49" si="17">D20/D$2</f>
        <v>12.304307619047616</v>
      </c>
      <c r="E49" s="5">
        <f t="shared" si="17"/>
        <v>7.6010842857142844</v>
      </c>
      <c r="F49" s="5">
        <f t="shared" si="17"/>
        <v>5.356985833333332</v>
      </c>
      <c r="G49" s="5">
        <f t="shared" si="17"/>
        <v>4.3345345238095234</v>
      </c>
      <c r="H49" s="5">
        <f t="shared" si="17"/>
        <v>3.9404952380952372</v>
      </c>
      <c r="I49" s="5">
        <f t="shared" si="17"/>
        <v>3.5152986607142847</v>
      </c>
      <c r="J49" s="5">
        <f t="shared" si="17"/>
        <v>3.347686458333333</v>
      </c>
      <c r="K49" s="5">
        <f t="shared" si="17"/>
        <v>0</v>
      </c>
      <c r="L49" s="5">
        <f t="shared" si="17"/>
        <v>0</v>
      </c>
    </row>
    <row r="50" spans="3:12" x14ac:dyDescent="0.25">
      <c r="C50" s="1" t="s">
        <v>44</v>
      </c>
      <c r="D50" s="5">
        <f t="shared" ref="D50:L50" si="18">D21/D$2</f>
        <v>6.0337038095238089</v>
      </c>
      <c r="E50" s="5">
        <f t="shared" si="18"/>
        <v>5.2920461904761922</v>
      </c>
      <c r="F50" s="5">
        <f t="shared" si="18"/>
        <v>4.7631066666666664</v>
      </c>
      <c r="G50" s="5">
        <f t="shared" si="18"/>
        <v>4.6473523809523813</v>
      </c>
      <c r="H50" s="5">
        <f t="shared" si="18"/>
        <v>4.6957922619047618</v>
      </c>
      <c r="I50" s="5">
        <f t="shared" si="18"/>
        <v>4.4729355654761909</v>
      </c>
      <c r="J50" s="5">
        <f t="shared" si="18"/>
        <v>4.4353072916666676</v>
      </c>
      <c r="K50" s="5">
        <f t="shared" si="18"/>
        <v>0</v>
      </c>
      <c r="L50" s="5">
        <f t="shared" si="18"/>
        <v>0</v>
      </c>
    </row>
    <row r="51" spans="3:12" x14ac:dyDescent="0.25">
      <c r="C51" s="1" t="s">
        <v>37</v>
      </c>
      <c r="D51" s="5">
        <f t="shared" ref="D51:L51" si="19">D22/D$2</f>
        <v>6.3457961904761886</v>
      </c>
      <c r="E51" s="5">
        <f t="shared" si="19"/>
        <v>5.4356397619047625</v>
      </c>
      <c r="F51" s="5">
        <f t="shared" si="19"/>
        <v>4.9730266666666676</v>
      </c>
      <c r="G51" s="5">
        <f t="shared" si="19"/>
        <v>4.6364130952380957</v>
      </c>
      <c r="H51" s="5">
        <f t="shared" si="19"/>
        <v>4.5026610119047614</v>
      </c>
      <c r="I51" s="5">
        <f t="shared" si="19"/>
        <v>4.5484809523809515</v>
      </c>
      <c r="J51" s="5">
        <f t="shared" si="19"/>
        <v>0</v>
      </c>
      <c r="K51" s="5">
        <f t="shared" si="19"/>
        <v>0</v>
      </c>
      <c r="L51" s="5">
        <f t="shared" si="19"/>
        <v>0</v>
      </c>
    </row>
    <row r="52" spans="3:12" x14ac:dyDescent="0.25">
      <c r="C52" s="1" t="s">
        <v>42</v>
      </c>
      <c r="D52" s="5">
        <f t="shared" ref="D52:L52" si="20">D23/D$2</f>
        <v>6.1747809523809538</v>
      </c>
      <c r="E52" s="5">
        <f t="shared" si="20"/>
        <v>5.5269559523809528</v>
      </c>
      <c r="F52" s="5">
        <f t="shared" si="20"/>
        <v>4.8529951190476179</v>
      </c>
      <c r="G52" s="5">
        <f t="shared" si="20"/>
        <v>4.752080952380954</v>
      </c>
      <c r="H52" s="5">
        <f t="shared" si="20"/>
        <v>4.7049199404761906</v>
      </c>
      <c r="I52" s="5">
        <f t="shared" si="20"/>
        <v>4.6078788690476191</v>
      </c>
      <c r="J52" s="5">
        <f t="shared" si="20"/>
        <v>4.4586532738095244</v>
      </c>
      <c r="K52" s="5">
        <f t="shared" si="20"/>
        <v>0</v>
      </c>
      <c r="L52" s="5">
        <f t="shared" si="20"/>
        <v>0</v>
      </c>
    </row>
    <row r="53" spans="3:12" x14ac:dyDescent="0.25">
      <c r="C53" s="1" t="s">
        <v>45</v>
      </c>
      <c r="D53" s="5">
        <f t="shared" ref="D53:L53" si="21">D24/D$2</f>
        <v>0</v>
      </c>
      <c r="E53" s="5">
        <f t="shared" si="21"/>
        <v>5.1217364285714284</v>
      </c>
      <c r="F53" s="5">
        <f t="shared" si="21"/>
        <v>4.8616808333333337</v>
      </c>
      <c r="G53" s="5">
        <f t="shared" si="21"/>
        <v>4.6240869047619055</v>
      </c>
      <c r="H53" s="5">
        <f t="shared" si="21"/>
        <v>4.4886434523809529</v>
      </c>
      <c r="I53" s="5">
        <f t="shared" si="21"/>
        <v>4.5535580357142855</v>
      </c>
      <c r="J53" s="5">
        <f t="shared" si="21"/>
        <v>4.4320714285714295</v>
      </c>
      <c r="K53" s="5">
        <f t="shared" si="21"/>
        <v>0</v>
      </c>
      <c r="L53" s="5">
        <f t="shared" si="21"/>
        <v>0</v>
      </c>
    </row>
    <row r="54" spans="3:12" x14ac:dyDescent="0.25">
      <c r="C54" s="1" t="s">
        <v>9</v>
      </c>
      <c r="D54" s="5">
        <f t="shared" ref="D54:L54" si="22">D25/D$2</f>
        <v>31.412685714285729</v>
      </c>
      <c r="E54" s="5">
        <f t="shared" si="22"/>
        <v>43.313697619047616</v>
      </c>
      <c r="F54" s="5">
        <f t="shared" si="22"/>
        <v>36.835644047619041</v>
      </c>
      <c r="G54" s="5">
        <f t="shared" si="22"/>
        <v>31.259736309523809</v>
      </c>
      <c r="H54" s="5">
        <f t="shared" si="22"/>
        <v>24.323636904761901</v>
      </c>
      <c r="I54" s="5">
        <f t="shared" si="22"/>
        <v>21.040284226190483</v>
      </c>
      <c r="J54" s="5">
        <f t="shared" si="22"/>
        <v>18.144582589285712</v>
      </c>
      <c r="K54" s="5">
        <f t="shared" si="22"/>
        <v>0</v>
      </c>
      <c r="L54" s="5">
        <f t="shared" si="22"/>
        <v>0</v>
      </c>
    </row>
    <row r="55" spans="3:12" x14ac:dyDescent="0.25">
      <c r="C55" s="1" t="s">
        <v>13</v>
      </c>
      <c r="D55" s="5">
        <f t="shared" ref="D55:L55" si="23">D26/D$2</f>
        <v>26.953561904761912</v>
      </c>
      <c r="E55" s="5">
        <f t="shared" si="23"/>
        <v>24.91028571428571</v>
      </c>
      <c r="F55" s="5">
        <f t="shared" si="23"/>
        <v>23.680466666666664</v>
      </c>
      <c r="G55" s="5">
        <f t="shared" si="23"/>
        <v>22.94465238095238</v>
      </c>
      <c r="H55" s="5">
        <f t="shared" si="23"/>
        <v>20.897613095238096</v>
      </c>
      <c r="I55" s="5">
        <f t="shared" si="23"/>
        <v>20.018846726190478</v>
      </c>
      <c r="J55" s="5">
        <f t="shared" si="23"/>
        <v>20.831892857142854</v>
      </c>
      <c r="K55" s="5">
        <f t="shared" si="23"/>
        <v>0</v>
      </c>
      <c r="L55" s="5">
        <f t="shared" si="23"/>
        <v>0</v>
      </c>
    </row>
    <row r="56" spans="3:12" x14ac:dyDescent="0.25">
      <c r="C56" s="1" t="s">
        <v>14</v>
      </c>
      <c r="D56" s="5">
        <f t="shared" ref="D56:L56" si="24">D27/D$2</f>
        <v>6.1213733333333353</v>
      </c>
      <c r="E56" s="5">
        <f t="shared" si="24"/>
        <v>5.2558354761904758</v>
      </c>
      <c r="F56" s="5">
        <f t="shared" si="24"/>
        <v>4.8710342857142841</v>
      </c>
      <c r="G56" s="5">
        <f t="shared" si="24"/>
        <v>4.611967857142858</v>
      </c>
      <c r="H56" s="5">
        <f t="shared" si="24"/>
        <v>4.6773800595238111</v>
      </c>
      <c r="I56" s="5">
        <f t="shared" si="24"/>
        <v>4.4763162202380942</v>
      </c>
      <c r="J56" s="5">
        <f t="shared" si="24"/>
        <v>4.4181778273809531</v>
      </c>
      <c r="K56" s="5">
        <f t="shared" si="24"/>
        <v>0</v>
      </c>
      <c r="L56" s="5">
        <f t="shared" si="24"/>
        <v>0</v>
      </c>
    </row>
    <row r="60" spans="3:12" x14ac:dyDescent="0.25">
      <c r="C60" s="1">
        <v>50</v>
      </c>
      <c r="D60" s="2">
        <v>2</v>
      </c>
      <c r="E60" s="3">
        <v>4</v>
      </c>
      <c r="F60" s="2">
        <v>8</v>
      </c>
      <c r="G60" s="2">
        <v>16</v>
      </c>
      <c r="H60" s="2">
        <v>32</v>
      </c>
      <c r="I60" s="2">
        <v>64</v>
      </c>
      <c r="J60" s="2">
        <v>128</v>
      </c>
      <c r="K60" s="2">
        <v>256</v>
      </c>
      <c r="L60" s="2">
        <v>512</v>
      </c>
    </row>
    <row r="61" spans="3:12" x14ac:dyDescent="0.25">
      <c r="C61" s="1"/>
      <c r="D61" s="4">
        <v>42</v>
      </c>
      <c r="E61" s="4">
        <v>84</v>
      </c>
      <c r="F61" s="4">
        <v>168</v>
      </c>
      <c r="G61" s="4">
        <v>336</v>
      </c>
      <c r="H61" s="4">
        <v>672</v>
      </c>
      <c r="I61" s="4">
        <v>1344</v>
      </c>
      <c r="J61" s="4">
        <v>2688</v>
      </c>
      <c r="K61" s="4">
        <v>5376</v>
      </c>
      <c r="L61" s="4">
        <v>10752</v>
      </c>
    </row>
    <row r="62" spans="3:12" x14ac:dyDescent="0.25">
      <c r="C62" s="1" t="s">
        <v>1</v>
      </c>
      <c r="D62" s="12">
        <f t="shared" ref="D62:L62" si="25">D$3/D3</f>
        <v>1</v>
      </c>
      <c r="E62" s="12">
        <f t="shared" si="25"/>
        <v>1</v>
      </c>
      <c r="F62" s="12">
        <f t="shared" si="25"/>
        <v>1</v>
      </c>
      <c r="G62" s="12">
        <f t="shared" si="25"/>
        <v>1</v>
      </c>
      <c r="H62" s="12">
        <f t="shared" si="25"/>
        <v>1</v>
      </c>
      <c r="I62" s="12">
        <f t="shared" si="25"/>
        <v>1</v>
      </c>
      <c r="J62" s="12">
        <f t="shared" si="25"/>
        <v>1</v>
      </c>
      <c r="K62" s="12" t="e">
        <f t="shared" si="25"/>
        <v>#DIV/0!</v>
      </c>
      <c r="L62" s="12" t="e">
        <f t="shared" si="25"/>
        <v>#DIV/0!</v>
      </c>
    </row>
    <row r="63" spans="3:12" x14ac:dyDescent="0.25">
      <c r="C63" s="1" t="s">
        <v>25</v>
      </c>
      <c r="D63" s="12">
        <f t="shared" ref="D63:L63" si="26">D$3/D4</f>
        <v>17.226717318360336</v>
      </c>
      <c r="E63" s="12">
        <f t="shared" si="26"/>
        <v>21.533427363246869</v>
      </c>
      <c r="F63" s="12">
        <f t="shared" si="26"/>
        <v>14.489074187562187</v>
      </c>
      <c r="G63" s="12">
        <f t="shared" si="26"/>
        <v>8.3248177464213473</v>
      </c>
      <c r="H63" s="12" t="e">
        <f t="shared" si="26"/>
        <v>#DIV/0!</v>
      </c>
      <c r="I63" s="12" t="e">
        <f t="shared" si="26"/>
        <v>#DIV/0!</v>
      </c>
      <c r="J63" s="12" t="e">
        <f t="shared" si="26"/>
        <v>#DIV/0!</v>
      </c>
      <c r="K63" s="12" t="e">
        <f t="shared" si="26"/>
        <v>#DIV/0!</v>
      </c>
      <c r="L63" s="12" t="e">
        <f t="shared" si="26"/>
        <v>#DIV/0!</v>
      </c>
    </row>
    <row r="64" spans="3:12" x14ac:dyDescent="0.25">
      <c r="C64" s="1" t="s">
        <v>26</v>
      </c>
      <c r="D64" s="12">
        <f t="shared" ref="D64:L64" si="27">D$3/D5</f>
        <v>12.231899818477968</v>
      </c>
      <c r="E64" s="12">
        <f t="shared" si="27"/>
        <v>17.683484834054905</v>
      </c>
      <c r="F64" s="12">
        <f t="shared" si="27"/>
        <v>23.655040989729873</v>
      </c>
      <c r="G64" s="12">
        <f t="shared" si="27"/>
        <v>28.603032152031577</v>
      </c>
      <c r="H64" s="12">
        <f t="shared" si="27"/>
        <v>37.881594080058406</v>
      </c>
      <c r="I64" s="12">
        <f t="shared" si="27"/>
        <v>33.781920925664139</v>
      </c>
      <c r="J64" s="12">
        <f t="shared" si="27"/>
        <v>33.401084295371788</v>
      </c>
      <c r="K64" s="12" t="e">
        <f t="shared" si="27"/>
        <v>#DIV/0!</v>
      </c>
      <c r="L64" s="12" t="e">
        <f t="shared" si="27"/>
        <v>#DIV/0!</v>
      </c>
    </row>
    <row r="65" spans="3:12" x14ac:dyDescent="0.25">
      <c r="C65" s="1" t="s">
        <v>27</v>
      </c>
      <c r="D65" s="12">
        <f t="shared" ref="D65:L65" si="28">D$3/D6</f>
        <v>12.232090636933231</v>
      </c>
      <c r="E65" s="12">
        <f t="shared" si="28"/>
        <v>17.837842658264567</v>
      </c>
      <c r="F65" s="12">
        <f t="shared" si="28"/>
        <v>23.788087921720287</v>
      </c>
      <c r="G65" s="12">
        <f t="shared" si="28"/>
        <v>29.224675975498126</v>
      </c>
      <c r="H65" s="12">
        <f t="shared" si="28"/>
        <v>38.050544452628934</v>
      </c>
      <c r="I65" s="12">
        <f t="shared" si="28"/>
        <v>36.877326982923606</v>
      </c>
      <c r="J65" s="12">
        <f t="shared" si="28"/>
        <v>37.459879595724132</v>
      </c>
      <c r="K65" s="12" t="e">
        <f t="shared" si="28"/>
        <v>#DIV/0!</v>
      </c>
      <c r="L65" s="12" t="e">
        <f t="shared" si="28"/>
        <v>#DIV/0!</v>
      </c>
    </row>
    <row r="66" spans="3:12" x14ac:dyDescent="0.25">
      <c r="C66" s="1" t="s">
        <v>28</v>
      </c>
      <c r="D66" s="12">
        <f t="shared" ref="D66:L66" si="29">D$3/D7</f>
        <v>17.17228549000659</v>
      </c>
      <c r="E66" s="12">
        <f t="shared" si="29"/>
        <v>22.126569186744835</v>
      </c>
      <c r="F66" s="12">
        <f t="shared" si="29"/>
        <v>14.805044505288762</v>
      </c>
      <c r="G66" s="12">
        <f t="shared" si="29"/>
        <v>8.566362247537981</v>
      </c>
      <c r="H66" s="12" t="e">
        <f t="shared" si="29"/>
        <v>#DIV/0!</v>
      </c>
      <c r="I66" s="12" t="e">
        <f t="shared" si="29"/>
        <v>#DIV/0!</v>
      </c>
      <c r="J66" s="12" t="e">
        <f t="shared" si="29"/>
        <v>#DIV/0!</v>
      </c>
      <c r="K66" s="12" t="e">
        <f t="shared" si="29"/>
        <v>#DIV/0!</v>
      </c>
      <c r="L66" s="12" t="e">
        <f t="shared" si="29"/>
        <v>#DIV/0!</v>
      </c>
    </row>
    <row r="67" spans="3:12" x14ac:dyDescent="0.25">
      <c r="C67" s="1" t="s">
        <v>29</v>
      </c>
      <c r="D67" s="12">
        <f t="shared" ref="D67:L67" si="30">D$3/D8</f>
        <v>12.497723349536233</v>
      </c>
      <c r="E67" s="12">
        <f t="shared" si="30"/>
        <v>18.059803700956479</v>
      </c>
      <c r="F67" s="12">
        <f t="shared" si="30"/>
        <v>23.9952298018632</v>
      </c>
      <c r="G67" s="12">
        <f t="shared" si="30"/>
        <v>29.575692011241536</v>
      </c>
      <c r="H67" s="12">
        <f t="shared" si="30"/>
        <v>37.408967113735223</v>
      </c>
      <c r="I67" s="12">
        <f t="shared" si="30"/>
        <v>34.076899104838617</v>
      </c>
      <c r="J67" s="12">
        <f t="shared" si="30"/>
        <v>33.683687609222048</v>
      </c>
      <c r="K67" s="12" t="e">
        <f t="shared" si="30"/>
        <v>#DIV/0!</v>
      </c>
      <c r="L67" s="12" t="e">
        <f t="shared" si="30"/>
        <v>#DIV/0!</v>
      </c>
    </row>
    <row r="68" spans="3:12" x14ac:dyDescent="0.25">
      <c r="C68" s="1" t="s">
        <v>30</v>
      </c>
      <c r="D68" s="12">
        <f t="shared" ref="D68:L68" si="31">D$3/D9</f>
        <v>12.405461974340506</v>
      </c>
      <c r="E68" s="12">
        <f t="shared" si="31"/>
        <v>17.994586141340918</v>
      </c>
      <c r="F68" s="12">
        <f t="shared" si="31"/>
        <v>24.197340278042603</v>
      </c>
      <c r="G68" s="12">
        <f t="shared" si="31"/>
        <v>29.662553366671599</v>
      </c>
      <c r="H68" s="12">
        <f t="shared" si="31"/>
        <v>37.516292106796051</v>
      </c>
      <c r="I68" s="12">
        <f t="shared" si="31"/>
        <v>36.221897446377319</v>
      </c>
      <c r="J68" s="12">
        <f t="shared" si="31"/>
        <v>37.502839077080502</v>
      </c>
      <c r="K68" s="12" t="e">
        <f t="shared" si="31"/>
        <v>#DIV/0!</v>
      </c>
      <c r="L68" s="12" t="e">
        <f t="shared" si="31"/>
        <v>#DIV/0!</v>
      </c>
    </row>
    <row r="69" spans="3:12" x14ac:dyDescent="0.25">
      <c r="C69" s="1" t="s">
        <v>31</v>
      </c>
      <c r="D69" s="12">
        <f t="shared" ref="D69:L69" si="32">D$3/D10</f>
        <v>12.268227114877064</v>
      </c>
      <c r="E69" s="12">
        <f t="shared" si="32"/>
        <v>13.181433063442409</v>
      </c>
      <c r="F69" s="12">
        <f t="shared" si="32"/>
        <v>8.4480925940388598</v>
      </c>
      <c r="G69" s="12">
        <f t="shared" si="32"/>
        <v>4.7616303035551075</v>
      </c>
      <c r="H69" s="12" t="e">
        <f t="shared" si="32"/>
        <v>#DIV/0!</v>
      </c>
      <c r="I69" s="12" t="e">
        <f t="shared" si="32"/>
        <v>#DIV/0!</v>
      </c>
      <c r="J69" s="12" t="e">
        <f t="shared" si="32"/>
        <v>#DIV/0!</v>
      </c>
      <c r="K69" s="12" t="e">
        <f t="shared" si="32"/>
        <v>#DIV/0!</v>
      </c>
      <c r="L69" s="12" t="e">
        <f t="shared" si="32"/>
        <v>#DIV/0!</v>
      </c>
    </row>
    <row r="70" spans="3:12" x14ac:dyDescent="0.25">
      <c r="C70" s="1" t="s">
        <v>32</v>
      </c>
      <c r="D70" s="12">
        <f t="shared" ref="D70:L70" si="33">D$3/D11</f>
        <v>0.42802315598120183</v>
      </c>
      <c r="E70" s="12">
        <f t="shared" si="33"/>
        <v>0.40359375795885349</v>
      </c>
      <c r="F70" s="12">
        <f t="shared" si="33"/>
        <v>0.37344035100598727</v>
      </c>
      <c r="G70" s="12">
        <f t="shared" si="33"/>
        <v>0.37377335470359296</v>
      </c>
      <c r="H70" s="12">
        <f t="shared" si="33"/>
        <v>0.4278145925286217</v>
      </c>
      <c r="I70" s="12">
        <f t="shared" si="33"/>
        <v>0.37135596310009605</v>
      </c>
      <c r="J70" s="12">
        <f t="shared" si="33"/>
        <v>0.36370318918600753</v>
      </c>
      <c r="K70" s="12" t="e">
        <f t="shared" si="33"/>
        <v>#DIV/0!</v>
      </c>
      <c r="L70" s="12" t="e">
        <f t="shared" si="33"/>
        <v>#DIV/0!</v>
      </c>
    </row>
    <row r="71" spans="3:12" x14ac:dyDescent="0.25">
      <c r="C71" s="1" t="s">
        <v>33</v>
      </c>
      <c r="D71" s="12">
        <f t="shared" ref="D71:L71" si="34">D$3/D12</f>
        <v>8.2079662766222512</v>
      </c>
      <c r="E71" s="12">
        <f t="shared" si="34"/>
        <v>7.7540904413415142</v>
      </c>
      <c r="F71" s="12">
        <f t="shared" si="34"/>
        <v>7.3838207706187919</v>
      </c>
      <c r="G71" s="12">
        <f t="shared" si="34"/>
        <v>7.2837368715217972</v>
      </c>
      <c r="H71" s="12">
        <f t="shared" si="34"/>
        <v>8.3624102366719271</v>
      </c>
      <c r="I71" s="12">
        <f t="shared" si="34"/>
        <v>6.7723505296821465</v>
      </c>
      <c r="J71" s="12">
        <f t="shared" si="34"/>
        <v>5.0985891604338738</v>
      </c>
      <c r="K71" s="12" t="e">
        <f t="shared" si="34"/>
        <v>#DIV/0!</v>
      </c>
      <c r="L71" s="12" t="e">
        <f t="shared" si="34"/>
        <v>#DIV/0!</v>
      </c>
    </row>
    <row r="72" spans="3:12" x14ac:dyDescent="0.25">
      <c r="C72" s="1" t="s">
        <v>34</v>
      </c>
      <c r="D72" s="12">
        <f t="shared" ref="D72:L72" si="35">D$3/D13</f>
        <v>17.080267985837594</v>
      </c>
      <c r="E72" s="12">
        <f t="shared" si="35"/>
        <v>22.116793318854334</v>
      </c>
      <c r="F72" s="12">
        <f t="shared" si="35"/>
        <v>14.751202355709438</v>
      </c>
      <c r="G72" s="12">
        <f t="shared" si="35"/>
        <v>8.5612774676785612</v>
      </c>
      <c r="H72" s="12" t="e">
        <f t="shared" si="35"/>
        <v>#DIV/0!</v>
      </c>
      <c r="I72" s="12" t="e">
        <f t="shared" si="35"/>
        <v>#DIV/0!</v>
      </c>
      <c r="J72" s="12" t="e">
        <f t="shared" si="35"/>
        <v>#DIV/0!</v>
      </c>
      <c r="K72" s="12" t="e">
        <f t="shared" si="35"/>
        <v>#DIV/0!</v>
      </c>
      <c r="L72" s="12" t="e">
        <f t="shared" si="35"/>
        <v>#DIV/0!</v>
      </c>
    </row>
    <row r="73" spans="3:12" x14ac:dyDescent="0.25">
      <c r="C73" s="1" t="s">
        <v>35</v>
      </c>
      <c r="D73" s="12">
        <f t="shared" ref="D73:L73" si="36">D$3/D14</f>
        <v>12.373081574099908</v>
      </c>
      <c r="E73" s="12">
        <f t="shared" si="36"/>
        <v>18.073037587495023</v>
      </c>
      <c r="F73" s="12">
        <f t="shared" si="36"/>
        <v>23.726264847133098</v>
      </c>
      <c r="G73" s="12">
        <f t="shared" si="36"/>
        <v>29.554664277669314</v>
      </c>
      <c r="H73" s="12">
        <f t="shared" si="36"/>
        <v>38.971893330484001</v>
      </c>
      <c r="I73" s="12">
        <f t="shared" si="36"/>
        <v>33.782850626539975</v>
      </c>
      <c r="J73" s="12" t="e">
        <f t="shared" si="36"/>
        <v>#DIV/0!</v>
      </c>
      <c r="K73" s="12" t="e">
        <f t="shared" si="36"/>
        <v>#DIV/0!</v>
      </c>
      <c r="L73" s="12" t="e">
        <f t="shared" si="36"/>
        <v>#DIV/0!</v>
      </c>
    </row>
    <row r="74" spans="3:12" x14ac:dyDescent="0.25">
      <c r="C74" s="1" t="s">
        <v>36</v>
      </c>
      <c r="D74" s="12">
        <f t="shared" ref="D74:L74" si="37">D$3/D15</f>
        <v>12.338600936894515</v>
      </c>
      <c r="E74" s="12">
        <f t="shared" si="37"/>
        <v>17.984166071121557</v>
      </c>
      <c r="F74" s="12">
        <f t="shared" si="37"/>
        <v>24.028078377560927</v>
      </c>
      <c r="G74" s="12">
        <f t="shared" si="37"/>
        <v>29.693819446313622</v>
      </c>
      <c r="H74" s="12">
        <f t="shared" si="37"/>
        <v>39.08821355983811</v>
      </c>
      <c r="I74" s="12">
        <f t="shared" si="37"/>
        <v>36.417992532913026</v>
      </c>
      <c r="J74" s="12" t="e">
        <f t="shared" si="37"/>
        <v>#DIV/0!</v>
      </c>
      <c r="K74" s="12" t="e">
        <f t="shared" si="37"/>
        <v>#DIV/0!</v>
      </c>
      <c r="L74" s="12" t="e">
        <f t="shared" si="37"/>
        <v>#DIV/0!</v>
      </c>
    </row>
    <row r="75" spans="3:12" x14ac:dyDescent="0.25">
      <c r="C75" s="1" t="s">
        <v>38</v>
      </c>
      <c r="D75" s="12">
        <f t="shared" ref="D75:L75" si="38">D$3/D16</f>
        <v>17.391863562646446</v>
      </c>
      <c r="E75" s="12">
        <f t="shared" si="38"/>
        <v>22.270356941509505</v>
      </c>
      <c r="F75" s="12">
        <f t="shared" si="38"/>
        <v>14.782024098593984</v>
      </c>
      <c r="G75" s="12">
        <f t="shared" si="38"/>
        <v>8.6437143975760087</v>
      </c>
      <c r="H75" s="12" t="e">
        <f t="shared" si="38"/>
        <v>#DIV/0!</v>
      </c>
      <c r="I75" s="12" t="e">
        <f t="shared" si="38"/>
        <v>#DIV/0!</v>
      </c>
      <c r="J75" s="12" t="e">
        <f t="shared" si="38"/>
        <v>#DIV/0!</v>
      </c>
      <c r="K75" s="12" t="e">
        <f t="shared" si="38"/>
        <v>#DIV/0!</v>
      </c>
      <c r="L75" s="12" t="e">
        <f t="shared" si="38"/>
        <v>#DIV/0!</v>
      </c>
    </row>
    <row r="76" spans="3:12" x14ac:dyDescent="0.25">
      <c r="C76" s="1" t="s">
        <v>39</v>
      </c>
      <c r="D76" s="12">
        <f t="shared" ref="D76:L76" si="39">D$3/D17</f>
        <v>12.627061199576424</v>
      </c>
      <c r="E76" s="12">
        <f t="shared" si="39"/>
        <v>18.081192964552457</v>
      </c>
      <c r="F76" s="12">
        <f t="shared" si="39"/>
        <v>23.87863090102416</v>
      </c>
      <c r="G76" s="12">
        <f t="shared" si="39"/>
        <v>29.631839674338497</v>
      </c>
      <c r="H76" s="12">
        <f t="shared" si="39"/>
        <v>39.071719338620838</v>
      </c>
      <c r="I76" s="12">
        <f t="shared" si="39"/>
        <v>33.802845587467395</v>
      </c>
      <c r="J76" s="12" t="e">
        <f t="shared" si="39"/>
        <v>#DIV/0!</v>
      </c>
      <c r="K76" s="12" t="e">
        <f t="shared" si="39"/>
        <v>#DIV/0!</v>
      </c>
      <c r="L76" s="12" t="e">
        <f t="shared" si="39"/>
        <v>#DIV/0!</v>
      </c>
    </row>
    <row r="77" spans="3:12" x14ac:dyDescent="0.25">
      <c r="C77" s="1" t="s">
        <v>40</v>
      </c>
      <c r="D77" s="12">
        <f t="shared" ref="D77:L77" si="40">D$3/D18</f>
        <v>12.381990897393363</v>
      </c>
      <c r="E77" s="12">
        <f t="shared" si="40"/>
        <v>18.030558359165184</v>
      </c>
      <c r="F77" s="12">
        <f t="shared" si="40"/>
        <v>24.071021143985018</v>
      </c>
      <c r="G77" s="12">
        <f t="shared" si="40"/>
        <v>29.708863687927543</v>
      </c>
      <c r="H77" s="12">
        <f t="shared" si="40"/>
        <v>39.152954912707784</v>
      </c>
      <c r="I77" s="12">
        <f t="shared" si="40"/>
        <v>36.746846704055585</v>
      </c>
      <c r="J77" s="12" t="e">
        <f t="shared" si="40"/>
        <v>#DIV/0!</v>
      </c>
      <c r="K77" s="12" t="e">
        <f t="shared" si="40"/>
        <v>#DIV/0!</v>
      </c>
      <c r="L77" s="12" t="e">
        <f t="shared" si="40"/>
        <v>#DIV/0!</v>
      </c>
    </row>
    <row r="78" spans="3:12" x14ac:dyDescent="0.25">
      <c r="C78" s="1" t="s">
        <v>41</v>
      </c>
      <c r="D78" s="12">
        <f t="shared" ref="D78:L78" si="41">D$3/D19</f>
        <v>12.373529535610103</v>
      </c>
      <c r="E78" s="12">
        <f t="shared" si="41"/>
        <v>17.772537960756313</v>
      </c>
      <c r="F78" s="12">
        <f t="shared" si="41"/>
        <v>23.657025646286453</v>
      </c>
      <c r="G78" s="12">
        <f t="shared" si="41"/>
        <v>29.102525374989991</v>
      </c>
      <c r="H78" s="12">
        <f t="shared" si="41"/>
        <v>38.552220281021171</v>
      </c>
      <c r="I78" s="12">
        <f t="shared" si="41"/>
        <v>36.566106814224227</v>
      </c>
      <c r="J78" s="12">
        <f t="shared" si="41"/>
        <v>37.118704940038569</v>
      </c>
      <c r="K78" s="12" t="e">
        <f t="shared" si="41"/>
        <v>#DIV/0!</v>
      </c>
      <c r="L78" s="12" t="e">
        <f t="shared" si="41"/>
        <v>#DIV/0!</v>
      </c>
    </row>
    <row r="79" spans="3:12" x14ac:dyDescent="0.25">
      <c r="C79" s="1" t="s">
        <v>43</v>
      </c>
      <c r="D79" s="12">
        <f t="shared" ref="D79:L79" si="42">D$3/D20</f>
        <v>12.168642371703665</v>
      </c>
      <c r="E79" s="12">
        <f t="shared" si="42"/>
        <v>17.919517372114267</v>
      </c>
      <c r="F79" s="12">
        <f t="shared" si="42"/>
        <v>23.942844013583425</v>
      </c>
      <c r="G79" s="12">
        <f t="shared" si="42"/>
        <v>29.238581942532964</v>
      </c>
      <c r="H79" s="12">
        <f t="shared" si="42"/>
        <v>37.134789529718276</v>
      </c>
      <c r="I79" s="12">
        <f t="shared" si="42"/>
        <v>36.323113506366973</v>
      </c>
      <c r="J79" s="12">
        <f t="shared" si="42"/>
        <v>37.120927463542813</v>
      </c>
      <c r="K79" s="12" t="e">
        <f t="shared" si="42"/>
        <v>#DIV/0!</v>
      </c>
      <c r="L79" s="12" t="e">
        <f t="shared" si="42"/>
        <v>#DIV/0!</v>
      </c>
    </row>
    <row r="80" spans="3:12" x14ac:dyDescent="0.25">
      <c r="C80" s="1" t="s">
        <v>44</v>
      </c>
      <c r="D80" s="12">
        <f t="shared" ref="D80:L80" si="43">D$3/D21</f>
        <v>24.815059501476554</v>
      </c>
      <c r="E80" s="12">
        <f t="shared" si="43"/>
        <v>25.738203523220864</v>
      </c>
      <c r="F80" s="12">
        <f t="shared" si="43"/>
        <v>26.928113344191928</v>
      </c>
      <c r="G80" s="12">
        <f t="shared" si="43"/>
        <v>27.270504250243864</v>
      </c>
      <c r="H80" s="12">
        <f t="shared" si="43"/>
        <v>31.161825981238763</v>
      </c>
      <c r="I80" s="12">
        <f t="shared" si="43"/>
        <v>28.546485947045198</v>
      </c>
      <c r="J80" s="12">
        <f t="shared" si="43"/>
        <v>28.018177325381938</v>
      </c>
      <c r="K80" s="12" t="e">
        <f t="shared" si="43"/>
        <v>#DIV/0!</v>
      </c>
      <c r="L80" s="12" t="e">
        <f t="shared" si="43"/>
        <v>#DIV/0!</v>
      </c>
    </row>
    <row r="81" spans="3:12" x14ac:dyDescent="0.25">
      <c r="C81" s="1" t="s">
        <v>37</v>
      </c>
      <c r="D81" s="12">
        <f t="shared" ref="D81:L81" si="44">D$3/D22</f>
        <v>23.594630926270511</v>
      </c>
      <c r="E81" s="12">
        <f t="shared" si="44"/>
        <v>25.058276094630639</v>
      </c>
      <c r="F81" s="12">
        <f t="shared" si="44"/>
        <v>25.791431413426864</v>
      </c>
      <c r="G81" s="12">
        <f t="shared" si="44"/>
        <v>27.334847058237496</v>
      </c>
      <c r="H81" s="12">
        <f t="shared" si="44"/>
        <v>32.498440571616996</v>
      </c>
      <c r="I81" s="12">
        <f t="shared" si="44"/>
        <v>28.072359453339214</v>
      </c>
      <c r="J81" s="12" t="e">
        <f t="shared" si="44"/>
        <v>#DIV/0!</v>
      </c>
      <c r="K81" s="12" t="e">
        <f t="shared" si="44"/>
        <v>#DIV/0!</v>
      </c>
      <c r="L81" s="12" t="e">
        <f t="shared" si="44"/>
        <v>#DIV/0!</v>
      </c>
    </row>
    <row r="82" spans="3:12" x14ac:dyDescent="0.25">
      <c r="C82" s="1" t="s">
        <v>42</v>
      </c>
      <c r="D82" s="12">
        <f t="shared" ref="D82:L82" si="45">D$3/D23</f>
        <v>24.248102111198854</v>
      </c>
      <c r="E82" s="12">
        <f t="shared" si="45"/>
        <v>24.644264053902049</v>
      </c>
      <c r="F82" s="12">
        <f t="shared" si="45"/>
        <v>26.429343744249842</v>
      </c>
      <c r="G82" s="12">
        <f t="shared" si="45"/>
        <v>26.669504187138056</v>
      </c>
      <c r="H82" s="12">
        <f t="shared" si="45"/>
        <v>31.101371152069714</v>
      </c>
      <c r="I82" s="12">
        <f t="shared" si="45"/>
        <v>27.710492374183374</v>
      </c>
      <c r="J82" s="12">
        <f t="shared" si="45"/>
        <v>27.871471172796337</v>
      </c>
      <c r="K82" s="12" t="e">
        <f t="shared" si="45"/>
        <v>#DIV/0!</v>
      </c>
      <c r="L82" s="12" t="e">
        <f t="shared" si="45"/>
        <v>#DIV/0!</v>
      </c>
    </row>
    <row r="83" spans="3:12" x14ac:dyDescent="0.25">
      <c r="C83" s="1" t="s">
        <v>45</v>
      </c>
      <c r="D83" s="12" t="e">
        <f t="shared" ref="D83:L83" si="46">D$3/D24</f>
        <v>#DIV/0!</v>
      </c>
      <c r="E83" s="12">
        <f t="shared" si="46"/>
        <v>26.594059222753366</v>
      </c>
      <c r="F83" s="12">
        <f t="shared" si="46"/>
        <v>26.38212597401952</v>
      </c>
      <c r="G83" s="12">
        <f t="shared" si="46"/>
        <v>27.407712153210163</v>
      </c>
      <c r="H83" s="12">
        <f t="shared" si="46"/>
        <v>32.599929769851705</v>
      </c>
      <c r="I83" s="12">
        <f t="shared" si="46"/>
        <v>28.041059597887706</v>
      </c>
      <c r="J83" s="12">
        <f t="shared" si="46"/>
        <v>28.038633445610181</v>
      </c>
      <c r="K83" s="12" t="e">
        <f t="shared" si="46"/>
        <v>#DIV/0!</v>
      </c>
      <c r="L83" s="12" t="e">
        <f t="shared" si="46"/>
        <v>#DIV/0!</v>
      </c>
    </row>
    <row r="84" spans="3:12" x14ac:dyDescent="0.25">
      <c r="C84" s="1" t="s">
        <v>9</v>
      </c>
      <c r="D84" s="12">
        <f t="shared" ref="D84:L84" si="47">D$3/D25</f>
        <v>4.7664411890616218</v>
      </c>
      <c r="E84" s="12">
        <f t="shared" si="47"/>
        <v>3.1446809991318587</v>
      </c>
      <c r="F84" s="12">
        <f t="shared" si="47"/>
        <v>3.4819935827555231</v>
      </c>
      <c r="G84" s="12">
        <f t="shared" si="47"/>
        <v>4.054277413035333</v>
      </c>
      <c r="H84" s="12">
        <f t="shared" si="47"/>
        <v>6.0159367565989461</v>
      </c>
      <c r="I84" s="12">
        <f t="shared" si="47"/>
        <v>6.0686724042902087</v>
      </c>
      <c r="J84" s="12">
        <f t="shared" si="47"/>
        <v>6.8488335611454945</v>
      </c>
      <c r="K84" s="12" t="e">
        <f t="shared" si="47"/>
        <v>#DIV/0!</v>
      </c>
      <c r="L84" s="12" t="e">
        <f t="shared" si="47"/>
        <v>#DIV/0!</v>
      </c>
    </row>
    <row r="85" spans="3:12" x14ac:dyDescent="0.25">
      <c r="C85" s="1" t="s">
        <v>13</v>
      </c>
      <c r="D85" s="12">
        <f t="shared" ref="D85:L85" si="48">D$3/D26</f>
        <v>5.5549882266642729</v>
      </c>
      <c r="E85" s="12">
        <f t="shared" si="48"/>
        <v>5.4679325426865173</v>
      </c>
      <c r="F85" s="12">
        <f t="shared" si="48"/>
        <v>5.4163407333108387</v>
      </c>
      <c r="G85" s="12">
        <f t="shared" si="48"/>
        <v>5.5235372823670712</v>
      </c>
      <c r="H85" s="12">
        <f t="shared" si="48"/>
        <v>7.0022093261391456</v>
      </c>
      <c r="I85" s="12">
        <f t="shared" si="48"/>
        <v>6.3783190914216625</v>
      </c>
      <c r="J85" s="12">
        <f t="shared" si="48"/>
        <v>5.9653353174705224</v>
      </c>
      <c r="K85" s="12" t="e">
        <f t="shared" si="48"/>
        <v>#DIV/0!</v>
      </c>
      <c r="L85" s="12" t="e">
        <f t="shared" si="48"/>
        <v>#DIV/0!</v>
      </c>
    </row>
    <row r="86" spans="3:12" x14ac:dyDescent="0.25">
      <c r="C86" s="1" t="s">
        <v>14</v>
      </c>
      <c r="D86" s="12">
        <f>D$3/D27</f>
        <v>24.459661401845398</v>
      </c>
      <c r="E86" s="12">
        <f t="shared" ref="E86:L86" si="49">E$3/E27</f>
        <v>25.915529989817664</v>
      </c>
      <c r="F86" s="12">
        <f t="shared" si="49"/>
        <v>26.331466515569399</v>
      </c>
      <c r="G86" s="12">
        <f t="shared" si="49"/>
        <v>27.479732466231098</v>
      </c>
      <c r="H86" s="12">
        <f t="shared" si="49"/>
        <v>31.284492482405003</v>
      </c>
      <c r="I86" s="12">
        <f t="shared" si="49"/>
        <v>28.524926743248074</v>
      </c>
      <c r="J86" s="12">
        <f t="shared" si="49"/>
        <v>28.126804996471048</v>
      </c>
      <c r="K86" s="12" t="e">
        <f t="shared" si="49"/>
        <v>#DIV/0!</v>
      </c>
      <c r="L86" s="12" t="e">
        <f t="shared" si="49"/>
        <v>#DIV/0!</v>
      </c>
    </row>
    <row r="91" spans="3:12" x14ac:dyDescent="0.25">
      <c r="C91" t="s">
        <v>3</v>
      </c>
    </row>
    <row r="92" spans="3:12" x14ac:dyDescent="0.25">
      <c r="C92" s="1">
        <v>50</v>
      </c>
      <c r="D92" s="2">
        <v>2</v>
      </c>
      <c r="E92" s="3">
        <v>4</v>
      </c>
      <c r="F92" s="2">
        <v>8</v>
      </c>
      <c r="G92" s="2">
        <v>16</v>
      </c>
      <c r="H92" s="2">
        <v>32</v>
      </c>
      <c r="I92" s="2">
        <v>64</v>
      </c>
      <c r="J92" s="2">
        <v>128</v>
      </c>
      <c r="K92" s="2">
        <v>256</v>
      </c>
      <c r="L92" s="2">
        <v>512</v>
      </c>
    </row>
    <row r="93" spans="3:12" x14ac:dyDescent="0.25">
      <c r="C93" s="1"/>
      <c r="D93" s="4">
        <v>42</v>
      </c>
      <c r="E93" s="4">
        <v>84</v>
      </c>
      <c r="F93" s="4">
        <v>168</v>
      </c>
      <c r="G93" s="4">
        <v>336</v>
      </c>
      <c r="H93" s="4">
        <v>672</v>
      </c>
      <c r="I93" s="4">
        <v>1344</v>
      </c>
      <c r="J93" s="4">
        <v>2688</v>
      </c>
      <c r="K93" s="4">
        <v>5376</v>
      </c>
      <c r="L93" s="4">
        <v>10752</v>
      </c>
    </row>
    <row r="94" spans="3:12" x14ac:dyDescent="0.25">
      <c r="C94" s="1" t="s">
        <v>1</v>
      </c>
      <c r="D94" s="1">
        <v>1998.1343095599966</v>
      </c>
      <c r="E94" s="1">
        <v>4766.9475919999995</v>
      </c>
      <c r="F94" s="1">
        <v>11482.911653999981</v>
      </c>
      <c r="G94" s="1">
        <v>29721.575293000082</v>
      </c>
      <c r="H94" s="1">
        <v>114445.54827099999</v>
      </c>
      <c r="I94" s="1">
        <v>131794.52498199997</v>
      </c>
      <c r="J94" s="1">
        <v>123636.6179999999</v>
      </c>
      <c r="K94" s="1"/>
      <c r="L94" s="1"/>
    </row>
    <row r="95" spans="3:12" x14ac:dyDescent="0.25">
      <c r="C95" s="1" t="s">
        <v>25</v>
      </c>
      <c r="D95" s="1">
        <v>469.07506547399998</v>
      </c>
      <c r="E95" s="1">
        <v>14.92488304000004</v>
      </c>
      <c r="F95" s="1">
        <v>17.117013000000007</v>
      </c>
      <c r="G95" s="1">
        <v>13.775956880000184</v>
      </c>
      <c r="H95" s="1"/>
      <c r="I95" s="1"/>
      <c r="J95" s="1"/>
      <c r="K95" s="1"/>
      <c r="L95" s="1"/>
    </row>
    <row r="96" spans="3:12" x14ac:dyDescent="0.25">
      <c r="C96" s="1" t="s">
        <v>26</v>
      </c>
      <c r="D96" s="1">
        <v>38.950761069199977</v>
      </c>
      <c r="E96" s="1">
        <v>1.1164361223999928</v>
      </c>
      <c r="F96" s="1">
        <v>17.10382516</v>
      </c>
      <c r="G96" s="1">
        <v>105.47773512000015</v>
      </c>
      <c r="H96" s="1">
        <v>26774.605183359996</v>
      </c>
      <c r="I96" s="1">
        <v>998.41305800000316</v>
      </c>
      <c r="J96" s="1">
        <v>3645.5142279999923</v>
      </c>
      <c r="K96" s="1"/>
      <c r="L96" s="1"/>
    </row>
    <row r="97" spans="3:12" x14ac:dyDescent="0.25">
      <c r="C97" s="1" t="s">
        <v>27</v>
      </c>
      <c r="D97" s="1">
        <v>0.33929781599999675</v>
      </c>
      <c r="E97" s="1">
        <v>0.96992117600000327</v>
      </c>
      <c r="F97" s="1">
        <v>1.5899372095999993</v>
      </c>
      <c r="G97" s="1">
        <v>4.4465569999999399</v>
      </c>
      <c r="H97" s="1">
        <v>20429.799158720001</v>
      </c>
      <c r="I97" s="1">
        <v>1103.1118950000011</v>
      </c>
      <c r="J97" s="1">
        <v>962.47794700000009</v>
      </c>
      <c r="K97" s="1"/>
      <c r="L97" s="1"/>
    </row>
    <row r="98" spans="3:12" x14ac:dyDescent="0.25">
      <c r="C98" s="1" t="s">
        <v>46</v>
      </c>
      <c r="D98" s="1">
        <v>149.51334610440011</v>
      </c>
      <c r="E98" s="1">
        <v>168.10769636000001</v>
      </c>
      <c r="F98" s="1">
        <v>3.506287360000008</v>
      </c>
      <c r="G98" s="1">
        <v>3.855017000000152</v>
      </c>
      <c r="H98" s="1"/>
      <c r="I98" s="1"/>
      <c r="J98" s="1"/>
      <c r="K98" s="1"/>
      <c r="L98" s="1"/>
    </row>
    <row r="99" spans="3:12" x14ac:dyDescent="0.25">
      <c r="C99" s="1" t="s">
        <v>29</v>
      </c>
      <c r="D99" s="1">
        <v>1.5063236851999948</v>
      </c>
      <c r="E99" s="1">
        <v>0.81431151200000307</v>
      </c>
      <c r="F99" s="1">
        <v>2.183659240000007</v>
      </c>
      <c r="G99" s="1">
        <v>17.548778599999974</v>
      </c>
      <c r="H99" s="1">
        <v>19504.044597679989</v>
      </c>
      <c r="I99" s="1">
        <v>1286.5468309999981</v>
      </c>
      <c r="J99" s="1">
        <v>612.92650500000298</v>
      </c>
      <c r="K99" s="1"/>
      <c r="L99" s="1"/>
    </row>
    <row r="100" spans="3:12" x14ac:dyDescent="0.25">
      <c r="C100" s="1" t="s">
        <v>30</v>
      </c>
      <c r="D100" s="1">
        <v>0.85883001000000714</v>
      </c>
      <c r="E100" s="1">
        <v>29.506241921999923</v>
      </c>
      <c r="F100" s="1">
        <v>1.4643786823999785</v>
      </c>
      <c r="G100" s="1">
        <v>3.0364205200000187</v>
      </c>
      <c r="H100" s="1">
        <v>22329.279521400011</v>
      </c>
      <c r="I100" s="1">
        <v>946.49661859999901</v>
      </c>
      <c r="J100" s="1">
        <v>2068.9098300000014</v>
      </c>
      <c r="K100" s="1"/>
      <c r="L100" s="1"/>
    </row>
    <row r="101" spans="3:12" x14ac:dyDescent="0.25">
      <c r="C101" s="1" t="s">
        <v>31</v>
      </c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 t="s">
        <v>32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 t="s">
        <v>33</v>
      </c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 t="s">
        <v>34</v>
      </c>
      <c r="D104" s="1">
        <v>205.95428376839999</v>
      </c>
      <c r="E104" s="1">
        <v>74.767424221199974</v>
      </c>
      <c r="F104" s="1">
        <v>19.577161800000077</v>
      </c>
      <c r="G104" s="1">
        <v>236.4285382800015</v>
      </c>
      <c r="H104" s="1"/>
      <c r="I104" s="1"/>
      <c r="J104" s="1"/>
      <c r="K104" s="1"/>
      <c r="L104" s="1"/>
    </row>
    <row r="105" spans="3:12" x14ac:dyDescent="0.25">
      <c r="C105" s="1" t="s">
        <v>35</v>
      </c>
      <c r="D105" s="1">
        <v>0.87430077759999958</v>
      </c>
      <c r="E105" s="1">
        <v>0.94722550440000652</v>
      </c>
      <c r="F105" s="1">
        <v>36.668675000000071</v>
      </c>
      <c r="G105" s="1">
        <v>32.847097800000022</v>
      </c>
      <c r="H105" s="1">
        <v>2015.4439505199996</v>
      </c>
      <c r="I105" s="1">
        <v>1927.7394909999937</v>
      </c>
      <c r="J105" s="1"/>
      <c r="K105" s="1"/>
      <c r="L105" s="1"/>
    </row>
    <row r="106" spans="3:12" x14ac:dyDescent="0.25">
      <c r="C106" s="1" t="s">
        <v>36</v>
      </c>
      <c r="D106" s="1">
        <v>0.68280281839999946</v>
      </c>
      <c r="E106" s="1">
        <v>0.69821030440000709</v>
      </c>
      <c r="F106" s="1">
        <v>10.138981072000005</v>
      </c>
      <c r="G106" s="1">
        <v>2.53768148000003</v>
      </c>
      <c r="H106" s="1">
        <v>1933.3071830000019</v>
      </c>
      <c r="I106" s="1">
        <v>2330.7226059200016</v>
      </c>
      <c r="J106" s="1"/>
      <c r="K106" s="1"/>
      <c r="L106" s="1"/>
    </row>
    <row r="107" spans="3:12" x14ac:dyDescent="0.25">
      <c r="C107" s="1" t="s">
        <v>38</v>
      </c>
      <c r="D107" s="1">
        <v>96.525900719199939</v>
      </c>
      <c r="E107" s="1">
        <v>35.535036964000007</v>
      </c>
      <c r="F107" s="1">
        <v>12.517016000000043</v>
      </c>
      <c r="G107" s="1">
        <v>56.346650839999128</v>
      </c>
      <c r="H107" s="1"/>
      <c r="I107" s="1"/>
      <c r="J107" s="1"/>
      <c r="K107" s="1"/>
      <c r="L107" s="1"/>
    </row>
    <row r="108" spans="3:12" x14ac:dyDescent="0.25">
      <c r="C108" s="1" t="s">
        <v>39</v>
      </c>
      <c r="D108" s="1">
        <v>21.525705925199954</v>
      </c>
      <c r="E108" s="1">
        <v>0.48257115560000524</v>
      </c>
      <c r="F108" s="1">
        <v>2.5335866799999947</v>
      </c>
      <c r="G108" s="1">
        <v>8.7727712800000113</v>
      </c>
      <c r="H108" s="1">
        <v>1656.4582789999993</v>
      </c>
      <c r="I108" s="1">
        <v>4221.2360899999958</v>
      </c>
      <c r="J108" s="1"/>
      <c r="K108" s="1"/>
      <c r="L108" s="1"/>
    </row>
    <row r="109" spans="3:12" x14ac:dyDescent="0.25">
      <c r="C109" s="1" t="s">
        <v>40</v>
      </c>
      <c r="D109" s="1">
        <v>0.47809381480000074</v>
      </c>
      <c r="E109" s="1">
        <v>15.802345229200025</v>
      </c>
      <c r="F109" s="1">
        <v>6.3399892836000005</v>
      </c>
      <c r="G109" s="1">
        <v>2.7343254800000261</v>
      </c>
      <c r="H109" s="1">
        <v>756.00105620000045</v>
      </c>
      <c r="I109" s="1">
        <v>1743.3269674000001</v>
      </c>
      <c r="J109" s="1"/>
      <c r="K109" s="1"/>
      <c r="L109" s="1"/>
    </row>
    <row r="110" spans="3:12" x14ac:dyDescent="0.25">
      <c r="C110" s="1" t="s">
        <v>41</v>
      </c>
      <c r="D110" s="1">
        <v>32.837311317199955</v>
      </c>
      <c r="E110" s="1">
        <v>0.93002338080000702</v>
      </c>
      <c r="F110" s="1">
        <v>26.318156249999969</v>
      </c>
      <c r="G110" s="1">
        <v>90.805369999999627</v>
      </c>
      <c r="H110" s="1">
        <v>19259.263171239996</v>
      </c>
      <c r="I110" s="1">
        <v>457.41734636000001</v>
      </c>
      <c r="J110" s="1">
        <v>1121.4604580000043</v>
      </c>
      <c r="K110" s="1"/>
      <c r="L110" s="1"/>
    </row>
    <row r="111" spans="3:12" x14ac:dyDescent="0.25">
      <c r="C111" s="1" t="s">
        <v>43</v>
      </c>
      <c r="D111" s="1">
        <v>0.31051329600000122</v>
      </c>
      <c r="E111" s="1">
        <v>15.806855297999963</v>
      </c>
      <c r="F111" s="1">
        <v>1.1604854003999954</v>
      </c>
      <c r="G111" s="1">
        <v>3.4532097199999643</v>
      </c>
      <c r="H111" s="1">
        <v>21464.449365879998</v>
      </c>
      <c r="I111" s="1">
        <v>440.61349588000189</v>
      </c>
      <c r="J111" s="1">
        <v>1133.8552199999986</v>
      </c>
      <c r="K111" s="1"/>
      <c r="L111" s="1"/>
    </row>
    <row r="112" spans="3:12" x14ac:dyDescent="0.25">
      <c r="C112" s="1" t="s">
        <v>8</v>
      </c>
      <c r="D112" s="1">
        <v>4.5769001040000177</v>
      </c>
      <c r="E112" s="1">
        <v>1.552721344800013</v>
      </c>
      <c r="F112" s="1">
        <v>15.300859520000044</v>
      </c>
      <c r="G112" s="1">
        <v>62.983884560000227</v>
      </c>
      <c r="H112" s="1">
        <v>21917.835586200003</v>
      </c>
      <c r="I112" s="1">
        <v>2119.2561008399962</v>
      </c>
      <c r="J112" s="1">
        <v>2202.9986849999882</v>
      </c>
      <c r="K112" s="1"/>
      <c r="L112" s="1"/>
    </row>
    <row r="113" spans="3:12" x14ac:dyDescent="0.25">
      <c r="C113" s="1" t="s">
        <v>37</v>
      </c>
      <c r="D113" s="1">
        <v>1.9037857011999917</v>
      </c>
      <c r="E113" s="1">
        <v>36.12950548959995</v>
      </c>
      <c r="F113" s="1">
        <v>5.0340253600000322</v>
      </c>
      <c r="G113" s="1">
        <v>91.038634999999815</v>
      </c>
      <c r="H113" s="1">
        <v>3074.0298052400026</v>
      </c>
      <c r="I113" s="1">
        <v>1761.7435222799954</v>
      </c>
      <c r="J113" s="1"/>
      <c r="K113" s="1"/>
      <c r="L113" s="1"/>
    </row>
    <row r="114" spans="3:12" x14ac:dyDescent="0.25">
      <c r="C114" s="1" t="s">
        <v>42</v>
      </c>
      <c r="D114" s="1">
        <v>6.0404452019999946</v>
      </c>
      <c r="E114" s="1">
        <v>6.5895812260000222</v>
      </c>
      <c r="F114" s="1">
        <v>27.433092600000133</v>
      </c>
      <c r="G114" s="1">
        <v>41.676763280000365</v>
      </c>
      <c r="H114" s="1">
        <v>20640.837780720005</v>
      </c>
      <c r="I114" s="1">
        <v>839.69333400000141</v>
      </c>
      <c r="J114" s="1">
        <v>1105.5038529999986</v>
      </c>
      <c r="K114" s="1"/>
      <c r="L114" s="1"/>
    </row>
    <row r="115" spans="3:12" x14ac:dyDescent="0.25">
      <c r="C115" s="1" t="s">
        <v>10</v>
      </c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 t="s">
        <v>9</v>
      </c>
      <c r="D116" s="1">
        <v>133.46353411999982</v>
      </c>
      <c r="E116" s="1">
        <v>990.26487828000154</v>
      </c>
      <c r="F116" s="1">
        <v>8316.7247354399933</v>
      </c>
      <c r="G116" s="1"/>
      <c r="H116" s="1"/>
      <c r="I116" s="1"/>
      <c r="J116" s="1"/>
      <c r="K116" s="1"/>
      <c r="L116" s="1"/>
    </row>
    <row r="117" spans="3:12" x14ac:dyDescent="0.25">
      <c r="C117" s="1" t="s">
        <v>13</v>
      </c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 t="s">
        <v>14</v>
      </c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E119" s="110"/>
    </row>
    <row r="120" spans="3:12" x14ac:dyDescent="0.25">
      <c r="C120" t="s">
        <v>15</v>
      </c>
      <c r="D120">
        <v>1.96</v>
      </c>
      <c r="E120" s="110">
        <v>50</v>
      </c>
    </row>
    <row r="121" spans="3:12" x14ac:dyDescent="0.25">
      <c r="C121" s="1">
        <v>50</v>
      </c>
      <c r="D121" s="2">
        <v>2</v>
      </c>
      <c r="E121" s="3">
        <v>4</v>
      </c>
      <c r="F121" s="2">
        <v>8</v>
      </c>
      <c r="G121" s="2">
        <v>16</v>
      </c>
      <c r="H121" s="2">
        <v>32</v>
      </c>
      <c r="I121" s="2">
        <v>64</v>
      </c>
      <c r="J121" s="2">
        <v>128</v>
      </c>
      <c r="K121" s="2">
        <v>256</v>
      </c>
      <c r="L121" s="2">
        <v>512</v>
      </c>
    </row>
    <row r="122" spans="3:12" x14ac:dyDescent="0.25">
      <c r="C122" s="1"/>
      <c r="D122" s="4">
        <v>42</v>
      </c>
      <c r="E122" s="4">
        <v>84</v>
      </c>
      <c r="F122" s="4">
        <v>168</v>
      </c>
      <c r="G122" s="4">
        <v>336</v>
      </c>
      <c r="H122" s="4">
        <v>672</v>
      </c>
      <c r="I122" s="4">
        <v>1344</v>
      </c>
      <c r="J122" s="4">
        <v>2688</v>
      </c>
      <c r="K122" s="4">
        <v>5376</v>
      </c>
      <c r="L122" s="4">
        <v>10752</v>
      </c>
    </row>
    <row r="123" spans="3:12" x14ac:dyDescent="0.25">
      <c r="C123" s="1" t="s">
        <v>1</v>
      </c>
      <c r="D123" s="1">
        <f>$D$120*SQRT(D94)/SQRT($E$120)</f>
        <v>12.390345244266346</v>
      </c>
      <c r="E123" s="1">
        <f t="shared" ref="E123:L123" si="50">$D$120*SQRT(E94)/SQRT($E$120)</f>
        <v>19.137766781642625</v>
      </c>
      <c r="F123" s="1">
        <f t="shared" si="50"/>
        <v>29.702778795932989</v>
      </c>
      <c r="G123" s="1">
        <f t="shared" si="50"/>
        <v>47.786693471214157</v>
      </c>
      <c r="H123" s="1">
        <f t="shared" si="50"/>
        <v>93.77142616361057</v>
      </c>
      <c r="I123" s="1">
        <f t="shared" si="50"/>
        <v>100.62821146883722</v>
      </c>
      <c r="J123" s="1">
        <f t="shared" si="50"/>
        <v>97.464088946524257</v>
      </c>
      <c r="K123" s="1">
        <f t="shared" si="50"/>
        <v>0</v>
      </c>
      <c r="L123" s="1">
        <f t="shared" si="50"/>
        <v>0</v>
      </c>
    </row>
    <row r="124" spans="3:12" x14ac:dyDescent="0.25">
      <c r="C124" s="1" t="s">
        <v>25</v>
      </c>
      <c r="D124" s="1">
        <f t="shared" ref="D124:L139" si="51">$D$120*SQRT(D95)/SQRT($E$120)</f>
        <v>6.0033303615991658</v>
      </c>
      <c r="E124" s="1">
        <f t="shared" si="51"/>
        <v>1.070844813093514</v>
      </c>
      <c r="F124" s="1">
        <f t="shared" si="51"/>
        <v>1.1467930688733692</v>
      </c>
      <c r="G124" s="1">
        <f t="shared" si="51"/>
        <v>1.0288023712084717</v>
      </c>
      <c r="H124" s="1">
        <f t="shared" si="51"/>
        <v>0</v>
      </c>
      <c r="I124" s="1">
        <f t="shared" si="51"/>
        <v>0</v>
      </c>
      <c r="J124" s="1">
        <f t="shared" si="51"/>
        <v>0</v>
      </c>
      <c r="K124" s="1">
        <f t="shared" si="51"/>
        <v>0</v>
      </c>
      <c r="L124" s="1">
        <f t="shared" si="51"/>
        <v>0</v>
      </c>
    </row>
    <row r="125" spans="3:12" x14ac:dyDescent="0.25">
      <c r="C125" s="1" t="s">
        <v>26</v>
      </c>
      <c r="D125" s="1">
        <f t="shared" si="51"/>
        <v>1.7299320433094396</v>
      </c>
      <c r="E125" s="1">
        <f t="shared" si="51"/>
        <v>0.29287884893968746</v>
      </c>
      <c r="F125" s="1">
        <f t="shared" si="51"/>
        <v>1.1463512091384209</v>
      </c>
      <c r="G125" s="1">
        <f t="shared" si="51"/>
        <v>2.8467640128292775</v>
      </c>
      <c r="H125" s="1">
        <f t="shared" si="51"/>
        <v>45.355776538914149</v>
      </c>
      <c r="I125" s="1">
        <f t="shared" si="51"/>
        <v>8.7584286303112755</v>
      </c>
      <c r="J125" s="1">
        <f t="shared" si="51"/>
        <v>16.735953787152237</v>
      </c>
      <c r="K125" s="1">
        <f t="shared" si="51"/>
        <v>0</v>
      </c>
      <c r="L125" s="1">
        <f t="shared" si="51"/>
        <v>0</v>
      </c>
    </row>
    <row r="126" spans="3:12" x14ac:dyDescent="0.25">
      <c r="C126" s="1" t="s">
        <v>27</v>
      </c>
      <c r="D126" s="1">
        <f t="shared" si="51"/>
        <v>0.16145875572080859</v>
      </c>
      <c r="E126" s="1">
        <f t="shared" si="51"/>
        <v>0.27298531791001551</v>
      </c>
      <c r="F126" s="1">
        <f t="shared" si="51"/>
        <v>0.34951116675721122</v>
      </c>
      <c r="G126" s="1">
        <f t="shared" si="51"/>
        <v>0.58449796186470604</v>
      </c>
      <c r="H126" s="1">
        <f t="shared" si="51"/>
        <v>39.618964259086518</v>
      </c>
      <c r="I126" s="1">
        <f t="shared" si="51"/>
        <v>9.2062094868974214</v>
      </c>
      <c r="J126" s="1">
        <f t="shared" si="51"/>
        <v>8.5993665827143335</v>
      </c>
      <c r="K126" s="1">
        <f t="shared" si="51"/>
        <v>0</v>
      </c>
      <c r="L126" s="1">
        <f t="shared" si="51"/>
        <v>0</v>
      </c>
    </row>
    <row r="127" spans="3:12" x14ac:dyDescent="0.25">
      <c r="C127" s="1" t="s">
        <v>46</v>
      </c>
      <c r="D127" s="1">
        <f t="shared" si="51"/>
        <v>3.389308101647484</v>
      </c>
      <c r="E127" s="1">
        <f t="shared" si="51"/>
        <v>3.5938907227031152</v>
      </c>
      <c r="F127" s="1">
        <f t="shared" si="51"/>
        <v>0.5190328221254612</v>
      </c>
      <c r="G127" s="1">
        <f t="shared" si="51"/>
        <v>0.54423218036423726</v>
      </c>
      <c r="H127" s="1">
        <f t="shared" si="51"/>
        <v>0</v>
      </c>
      <c r="I127" s="1">
        <f t="shared" si="51"/>
        <v>0</v>
      </c>
      <c r="J127" s="1">
        <f t="shared" si="51"/>
        <v>0</v>
      </c>
      <c r="K127" s="1">
        <f t="shared" si="51"/>
        <v>0</v>
      </c>
      <c r="L127" s="1">
        <f t="shared" si="51"/>
        <v>0</v>
      </c>
    </row>
    <row r="128" spans="3:12" x14ac:dyDescent="0.25">
      <c r="C128" s="1" t="s">
        <v>29</v>
      </c>
      <c r="D128" s="1">
        <f t="shared" si="51"/>
        <v>0.34019679801739167</v>
      </c>
      <c r="E128" s="1">
        <f t="shared" si="51"/>
        <v>0.25013033020804221</v>
      </c>
      <c r="F128" s="1">
        <f t="shared" si="51"/>
        <v>0.40960335292533989</v>
      </c>
      <c r="G128" s="1">
        <f t="shared" si="51"/>
        <v>1.1611665502395416</v>
      </c>
      <c r="H128" s="1">
        <f t="shared" si="51"/>
        <v>38.710912602636334</v>
      </c>
      <c r="I128" s="1">
        <f t="shared" si="51"/>
        <v>9.9422314456761587</v>
      </c>
      <c r="J128" s="1">
        <f t="shared" si="51"/>
        <v>6.8623880123583962</v>
      </c>
      <c r="K128" s="1">
        <f t="shared" si="51"/>
        <v>0</v>
      </c>
      <c r="L128" s="1">
        <f t="shared" si="51"/>
        <v>0</v>
      </c>
    </row>
    <row r="129" spans="3:12" x14ac:dyDescent="0.25">
      <c r="C129" s="1" t="s">
        <v>30</v>
      </c>
      <c r="D129" s="1">
        <f t="shared" si="51"/>
        <v>0.25687667727592661</v>
      </c>
      <c r="E129" s="1">
        <f t="shared" si="51"/>
        <v>1.5056638334472598</v>
      </c>
      <c r="F129" s="1">
        <f t="shared" si="51"/>
        <v>0.33542680710723632</v>
      </c>
      <c r="G129" s="1">
        <f t="shared" si="51"/>
        <v>0.48300544654552435</v>
      </c>
      <c r="H129" s="1">
        <f t="shared" si="51"/>
        <v>41.419840706939056</v>
      </c>
      <c r="I129" s="1">
        <f t="shared" si="51"/>
        <v>8.5276742550519078</v>
      </c>
      <c r="J129" s="1">
        <f t="shared" si="51"/>
        <v>12.60787373265453</v>
      </c>
      <c r="K129" s="1">
        <f t="shared" si="51"/>
        <v>0</v>
      </c>
      <c r="L129" s="1">
        <f t="shared" si="51"/>
        <v>0</v>
      </c>
    </row>
    <row r="130" spans="3:12" x14ac:dyDescent="0.25">
      <c r="C130" s="1" t="s">
        <v>31</v>
      </c>
      <c r="D130" s="1">
        <f t="shared" ref="D130:I138" si="52">$D$120*SQRT(D101)/SQRT($E$120)</f>
        <v>0</v>
      </c>
      <c r="E130" s="1">
        <f t="shared" si="52"/>
        <v>0</v>
      </c>
      <c r="F130" s="1">
        <f t="shared" si="52"/>
        <v>0</v>
      </c>
      <c r="G130" s="1">
        <f t="shared" si="52"/>
        <v>0</v>
      </c>
      <c r="H130" s="1">
        <f t="shared" si="52"/>
        <v>0</v>
      </c>
      <c r="I130" s="1">
        <f t="shared" si="52"/>
        <v>0</v>
      </c>
      <c r="J130" s="1">
        <f t="shared" si="51"/>
        <v>0</v>
      </c>
      <c r="K130" s="1">
        <f t="shared" si="51"/>
        <v>0</v>
      </c>
      <c r="L130" s="1">
        <f t="shared" si="51"/>
        <v>0</v>
      </c>
    </row>
    <row r="131" spans="3:12" x14ac:dyDescent="0.25">
      <c r="C131" s="1" t="s">
        <v>32</v>
      </c>
      <c r="D131" s="1">
        <f t="shared" si="52"/>
        <v>0</v>
      </c>
      <c r="E131" s="1">
        <f t="shared" si="52"/>
        <v>0</v>
      </c>
      <c r="F131" s="1">
        <f t="shared" si="52"/>
        <v>0</v>
      </c>
      <c r="G131" s="1">
        <f t="shared" si="52"/>
        <v>0</v>
      </c>
      <c r="H131" s="1">
        <f t="shared" si="52"/>
        <v>0</v>
      </c>
      <c r="I131" s="1">
        <f t="shared" si="52"/>
        <v>0</v>
      </c>
      <c r="J131" s="1">
        <f t="shared" si="51"/>
        <v>0</v>
      </c>
      <c r="K131" s="1">
        <f t="shared" si="51"/>
        <v>0</v>
      </c>
      <c r="L131" s="1">
        <f t="shared" si="51"/>
        <v>0</v>
      </c>
    </row>
    <row r="132" spans="3:12" x14ac:dyDescent="0.25">
      <c r="C132" s="1" t="s">
        <v>33</v>
      </c>
      <c r="D132" s="1">
        <f t="shared" si="52"/>
        <v>0</v>
      </c>
      <c r="E132" s="1">
        <f t="shared" si="52"/>
        <v>0</v>
      </c>
      <c r="F132" s="1">
        <f t="shared" si="52"/>
        <v>0</v>
      </c>
      <c r="G132" s="1">
        <f t="shared" si="52"/>
        <v>0</v>
      </c>
      <c r="H132" s="1">
        <f t="shared" si="52"/>
        <v>0</v>
      </c>
      <c r="I132" s="1">
        <f t="shared" si="52"/>
        <v>0</v>
      </c>
      <c r="J132" s="1">
        <f t="shared" si="51"/>
        <v>0</v>
      </c>
      <c r="K132" s="1">
        <f t="shared" si="51"/>
        <v>0</v>
      </c>
      <c r="L132" s="1">
        <f t="shared" si="51"/>
        <v>0</v>
      </c>
    </row>
    <row r="133" spans="3:12" x14ac:dyDescent="0.25">
      <c r="C133" s="1" t="s">
        <v>34</v>
      </c>
      <c r="D133" s="1">
        <f t="shared" si="52"/>
        <v>3.9779240227150781</v>
      </c>
      <c r="E133" s="1">
        <f t="shared" si="52"/>
        <v>2.3967750703316399</v>
      </c>
      <c r="F133" s="1">
        <f t="shared" si="52"/>
        <v>1.2264389489157648</v>
      </c>
      <c r="G133" s="1">
        <f t="shared" si="52"/>
        <v>4.2620743134217021</v>
      </c>
      <c r="H133" s="1">
        <f t="shared" si="52"/>
        <v>0</v>
      </c>
      <c r="I133" s="1">
        <f t="shared" si="52"/>
        <v>0</v>
      </c>
      <c r="J133" s="1">
        <f t="shared" si="51"/>
        <v>0</v>
      </c>
      <c r="K133" s="1">
        <f t="shared" si="51"/>
        <v>0</v>
      </c>
      <c r="L133" s="1">
        <f t="shared" si="51"/>
        <v>0</v>
      </c>
    </row>
    <row r="134" spans="3:12" x14ac:dyDescent="0.25">
      <c r="C134" s="1" t="s">
        <v>35</v>
      </c>
      <c r="D134" s="1">
        <f t="shared" si="52"/>
        <v>0.25918000953885922</v>
      </c>
      <c r="E134" s="1">
        <f t="shared" si="52"/>
        <v>0.26977255226219971</v>
      </c>
      <c r="F134" s="1">
        <f t="shared" si="52"/>
        <v>1.678489689452993</v>
      </c>
      <c r="G134" s="1">
        <f t="shared" si="52"/>
        <v>1.5886183362184896</v>
      </c>
      <c r="H134" s="1">
        <f t="shared" si="52"/>
        <v>12.443897685466261</v>
      </c>
      <c r="I134" s="1">
        <f t="shared" si="52"/>
        <v>12.170130671957123</v>
      </c>
      <c r="J134" s="1">
        <f t="shared" si="51"/>
        <v>0</v>
      </c>
      <c r="K134" s="1">
        <f t="shared" si="51"/>
        <v>0</v>
      </c>
      <c r="L134" s="1">
        <f t="shared" si="51"/>
        <v>0</v>
      </c>
    </row>
    <row r="135" spans="3:12" x14ac:dyDescent="0.25">
      <c r="C135" s="1" t="s">
        <v>36</v>
      </c>
      <c r="D135" s="1">
        <f t="shared" si="52"/>
        <v>0.22904389566916805</v>
      </c>
      <c r="E135" s="1">
        <f t="shared" si="52"/>
        <v>0.23161367426743468</v>
      </c>
      <c r="F135" s="1">
        <f t="shared" si="52"/>
        <v>0.88260874328544026</v>
      </c>
      <c r="G135" s="1">
        <f t="shared" si="52"/>
        <v>0.44155989794292039</v>
      </c>
      <c r="H135" s="1">
        <f t="shared" si="52"/>
        <v>12.18769286962287</v>
      </c>
      <c r="I135" s="1">
        <f t="shared" si="52"/>
        <v>13.381856345740882</v>
      </c>
      <c r="J135" s="1">
        <f t="shared" si="51"/>
        <v>0</v>
      </c>
      <c r="K135" s="1">
        <f t="shared" si="51"/>
        <v>0</v>
      </c>
      <c r="L135" s="1">
        <f t="shared" si="51"/>
        <v>0</v>
      </c>
    </row>
    <row r="136" spans="3:12" x14ac:dyDescent="0.25">
      <c r="C136" s="1" t="s">
        <v>38</v>
      </c>
      <c r="D136" s="1">
        <f t="shared" si="52"/>
        <v>2.7232844148302924</v>
      </c>
      <c r="E136" s="1">
        <f t="shared" si="52"/>
        <v>1.6523401465854568</v>
      </c>
      <c r="F136" s="1">
        <f t="shared" si="52"/>
        <v>0.98066680035168075</v>
      </c>
      <c r="G136" s="1">
        <f t="shared" si="52"/>
        <v>2.0806791865491454</v>
      </c>
      <c r="H136" s="1">
        <f t="shared" si="52"/>
        <v>0</v>
      </c>
      <c r="I136" s="1">
        <f t="shared" si="52"/>
        <v>0</v>
      </c>
      <c r="J136" s="1">
        <f t="shared" si="51"/>
        <v>0</v>
      </c>
      <c r="K136" s="1">
        <f t="shared" si="51"/>
        <v>0</v>
      </c>
      <c r="L136" s="1">
        <f t="shared" si="51"/>
        <v>0</v>
      </c>
    </row>
    <row r="137" spans="3:12" x14ac:dyDescent="0.25">
      <c r="C137" s="1" t="s">
        <v>39</v>
      </c>
      <c r="D137" s="1">
        <f t="shared" si="52"/>
        <v>1.2860260641390449</v>
      </c>
      <c r="E137" s="1">
        <f t="shared" si="52"/>
        <v>0.19255364714037382</v>
      </c>
      <c r="F137" s="1">
        <f t="shared" si="52"/>
        <v>0.44120350383667573</v>
      </c>
      <c r="G137" s="1">
        <f t="shared" si="52"/>
        <v>0.82099303467505791</v>
      </c>
      <c r="H137" s="1">
        <f t="shared" si="52"/>
        <v>11.281356411891609</v>
      </c>
      <c r="I137" s="1">
        <f t="shared" si="52"/>
        <v>18.009053591648829</v>
      </c>
      <c r="J137" s="1">
        <f t="shared" si="51"/>
        <v>0</v>
      </c>
      <c r="K137" s="1">
        <f t="shared" si="51"/>
        <v>0</v>
      </c>
      <c r="L137" s="1">
        <f t="shared" si="51"/>
        <v>0</v>
      </c>
    </row>
    <row r="138" spans="3:12" x14ac:dyDescent="0.25">
      <c r="C138" s="1" t="s">
        <v>40</v>
      </c>
      <c r="D138" s="1">
        <f t="shared" si="52"/>
        <v>0.19165830005171614</v>
      </c>
      <c r="E138" s="1">
        <f t="shared" si="52"/>
        <v>1.1018737625744139</v>
      </c>
      <c r="F138" s="1">
        <f t="shared" si="52"/>
        <v>0.69793556768340381</v>
      </c>
      <c r="G138" s="1">
        <f t="shared" si="52"/>
        <v>0.45834887943504565</v>
      </c>
      <c r="H138" s="1">
        <f t="shared" si="52"/>
        <v>7.6213563851822617</v>
      </c>
      <c r="I138" s="1">
        <f t="shared" si="52"/>
        <v>11.573387471232301</v>
      </c>
      <c r="J138" s="1">
        <f t="shared" si="51"/>
        <v>0</v>
      </c>
      <c r="K138" s="1">
        <f t="shared" si="51"/>
        <v>0</v>
      </c>
      <c r="L138" s="1">
        <f t="shared" si="51"/>
        <v>0</v>
      </c>
    </row>
    <row r="139" spans="3:12" x14ac:dyDescent="0.25">
      <c r="C139" s="1" t="s">
        <v>41</v>
      </c>
      <c r="D139" s="1">
        <f t="shared" si="51"/>
        <v>1.5883816616679716</v>
      </c>
      <c r="E139" s="1">
        <f t="shared" si="51"/>
        <v>0.26731172139213444</v>
      </c>
      <c r="F139" s="1">
        <f t="shared" si="51"/>
        <v>1.4219973913478174</v>
      </c>
      <c r="G139" s="1">
        <f t="shared" si="51"/>
        <v>2.641355369472266</v>
      </c>
      <c r="H139" s="1">
        <f t="shared" si="51"/>
        <v>38.467229013443522</v>
      </c>
      <c r="I139" s="1">
        <f t="shared" si="51"/>
        <v>5.9282619337822373</v>
      </c>
      <c r="J139" s="1">
        <f t="shared" si="51"/>
        <v>9.2824592597574238</v>
      </c>
      <c r="K139" s="1">
        <f t="shared" si="51"/>
        <v>0</v>
      </c>
      <c r="L139" s="1">
        <f t="shared" si="51"/>
        <v>0</v>
      </c>
    </row>
    <row r="140" spans="3:12" x14ac:dyDescent="0.25">
      <c r="C140" s="1" t="s">
        <v>43</v>
      </c>
      <c r="D140" s="1">
        <f t="shared" ref="D140:L147" si="53">$D$120*SQRT(D111)/SQRT($E$120)</f>
        <v>0.15445827125237449</v>
      </c>
      <c r="E140" s="1">
        <f t="shared" si="53"/>
        <v>1.1020309915133661</v>
      </c>
      <c r="F140" s="1">
        <f t="shared" si="53"/>
        <v>0.29860076068813429</v>
      </c>
      <c r="G140" s="1">
        <f t="shared" si="53"/>
        <v>0.51508932158125476</v>
      </c>
      <c r="H140" s="1">
        <f t="shared" si="53"/>
        <v>40.609808835788577</v>
      </c>
      <c r="I140" s="1">
        <f t="shared" si="53"/>
        <v>5.8183516665334265</v>
      </c>
      <c r="J140" s="1">
        <f t="shared" si="53"/>
        <v>9.3336147479441145</v>
      </c>
      <c r="K140" s="1">
        <f t="shared" si="53"/>
        <v>0</v>
      </c>
      <c r="L140" s="1">
        <f t="shared" si="53"/>
        <v>0</v>
      </c>
    </row>
    <row r="141" spans="3:12" x14ac:dyDescent="0.25">
      <c r="C141" s="1" t="s">
        <v>8</v>
      </c>
      <c r="D141" s="1">
        <f t="shared" si="53"/>
        <v>0.59300285732071256</v>
      </c>
      <c r="E141" s="1">
        <f t="shared" si="53"/>
        <v>0.34539641915294167</v>
      </c>
      <c r="F141" s="1">
        <f t="shared" si="53"/>
        <v>1.0842488822409011</v>
      </c>
      <c r="G141" s="1">
        <f t="shared" si="53"/>
        <v>2.1998131326351191</v>
      </c>
      <c r="H141" s="1">
        <f t="shared" si="53"/>
        <v>41.036461150529526</v>
      </c>
      <c r="I141" s="1">
        <f t="shared" si="53"/>
        <v>12.760355980133884</v>
      </c>
      <c r="J141" s="1">
        <f t="shared" si="53"/>
        <v>13.010026708885693</v>
      </c>
      <c r="K141" s="1">
        <f t="shared" si="53"/>
        <v>0</v>
      </c>
      <c r="L141" s="1">
        <f t="shared" si="53"/>
        <v>0</v>
      </c>
    </row>
    <row r="142" spans="3:12" x14ac:dyDescent="0.25">
      <c r="C142" s="1" t="s">
        <v>37</v>
      </c>
      <c r="D142" s="1">
        <f t="shared" si="53"/>
        <v>0.38245478555588469</v>
      </c>
      <c r="E142" s="1">
        <f t="shared" si="53"/>
        <v>1.666103888050485</v>
      </c>
      <c r="F142" s="1">
        <f t="shared" si="53"/>
        <v>0.62191175938353371</v>
      </c>
      <c r="G142" s="1">
        <f t="shared" si="53"/>
        <v>2.6447458109088644</v>
      </c>
      <c r="H142" s="1">
        <f t="shared" si="53"/>
        <v>15.3682743987801</v>
      </c>
      <c r="I142" s="1">
        <f t="shared" si="53"/>
        <v>11.634357666146276</v>
      </c>
      <c r="J142" s="1">
        <f t="shared" si="53"/>
        <v>0</v>
      </c>
      <c r="K142" s="1">
        <f t="shared" si="53"/>
        <v>0</v>
      </c>
      <c r="L142" s="1">
        <f t="shared" si="53"/>
        <v>0</v>
      </c>
    </row>
    <row r="143" spans="3:12" x14ac:dyDescent="0.25">
      <c r="C143" s="1" t="s">
        <v>42</v>
      </c>
      <c r="D143" s="1">
        <f t="shared" si="53"/>
        <v>0.68124847578549763</v>
      </c>
      <c r="E143" s="1">
        <f t="shared" si="53"/>
        <v>0.71154107734974359</v>
      </c>
      <c r="F143" s="1">
        <f t="shared" si="53"/>
        <v>1.4518055553837814</v>
      </c>
      <c r="G143" s="1">
        <f t="shared" si="53"/>
        <v>1.7894437896533626</v>
      </c>
      <c r="H143" s="1">
        <f t="shared" si="53"/>
        <v>39.823069298690164</v>
      </c>
      <c r="I143" s="1">
        <f t="shared" si="53"/>
        <v>8.0321428173239102</v>
      </c>
      <c r="J143" s="1">
        <f t="shared" si="53"/>
        <v>9.2161853298257768</v>
      </c>
      <c r="K143" s="1">
        <f t="shared" si="53"/>
        <v>0</v>
      </c>
      <c r="L143" s="1">
        <f t="shared" si="53"/>
        <v>0</v>
      </c>
    </row>
    <row r="144" spans="3:12" x14ac:dyDescent="0.25">
      <c r="C144" s="1" t="s">
        <v>10</v>
      </c>
      <c r="D144" s="1">
        <f t="shared" si="53"/>
        <v>0</v>
      </c>
      <c r="E144" s="1">
        <f t="shared" si="53"/>
        <v>0</v>
      </c>
      <c r="F144" s="1">
        <f t="shared" si="53"/>
        <v>0</v>
      </c>
      <c r="G144" s="1">
        <f t="shared" si="53"/>
        <v>0</v>
      </c>
      <c r="H144" s="1">
        <f t="shared" si="53"/>
        <v>0</v>
      </c>
      <c r="I144" s="1">
        <f t="shared" si="53"/>
        <v>0</v>
      </c>
      <c r="J144" s="1">
        <f t="shared" si="53"/>
        <v>0</v>
      </c>
      <c r="K144" s="1">
        <f t="shared" si="53"/>
        <v>0</v>
      </c>
      <c r="L144" s="1">
        <f t="shared" si="53"/>
        <v>0</v>
      </c>
    </row>
    <row r="145" spans="3:12" x14ac:dyDescent="0.25">
      <c r="C145" s="1" t="s">
        <v>9</v>
      </c>
      <c r="D145" s="1">
        <f t="shared" si="53"/>
        <v>3.2022289508259441</v>
      </c>
      <c r="E145" s="1">
        <f t="shared" si="53"/>
        <v>8.7226160713405854</v>
      </c>
      <c r="F145" s="1">
        <f t="shared" si="53"/>
        <v>25.278263288314044</v>
      </c>
      <c r="G145" s="1">
        <f t="shared" si="53"/>
        <v>0</v>
      </c>
      <c r="H145" s="1">
        <f t="shared" si="53"/>
        <v>0</v>
      </c>
      <c r="I145" s="1">
        <f t="shared" si="53"/>
        <v>0</v>
      </c>
      <c r="J145" s="1">
        <f t="shared" si="53"/>
        <v>0</v>
      </c>
      <c r="K145" s="1">
        <f t="shared" si="53"/>
        <v>0</v>
      </c>
      <c r="L145" s="1">
        <f t="shared" si="53"/>
        <v>0</v>
      </c>
    </row>
    <row r="146" spans="3:12" x14ac:dyDescent="0.25">
      <c r="C146" s="1" t="s">
        <v>13</v>
      </c>
      <c r="D146" s="1">
        <f t="shared" si="53"/>
        <v>0</v>
      </c>
      <c r="E146" s="1">
        <f t="shared" si="53"/>
        <v>0</v>
      </c>
      <c r="F146" s="1">
        <f t="shared" si="53"/>
        <v>0</v>
      </c>
      <c r="G146" s="1">
        <f t="shared" si="53"/>
        <v>0</v>
      </c>
      <c r="H146" s="1">
        <f t="shared" si="53"/>
        <v>0</v>
      </c>
      <c r="I146" s="1">
        <f t="shared" si="53"/>
        <v>0</v>
      </c>
      <c r="J146" s="1">
        <f t="shared" si="53"/>
        <v>0</v>
      </c>
      <c r="K146" s="1">
        <f t="shared" si="53"/>
        <v>0</v>
      </c>
      <c r="L146" s="1">
        <f t="shared" si="53"/>
        <v>0</v>
      </c>
    </row>
    <row r="147" spans="3:12" x14ac:dyDescent="0.25">
      <c r="C147" s="1" t="s">
        <v>14</v>
      </c>
      <c r="D147" s="1">
        <f t="shared" si="53"/>
        <v>0</v>
      </c>
      <c r="E147" s="1">
        <f t="shared" si="53"/>
        <v>0</v>
      </c>
      <c r="F147" s="1">
        <f t="shared" si="53"/>
        <v>0</v>
      </c>
      <c r="G147" s="1">
        <f t="shared" si="53"/>
        <v>0</v>
      </c>
      <c r="H147" s="1">
        <f t="shared" si="53"/>
        <v>0</v>
      </c>
      <c r="I147" s="1">
        <f t="shared" si="53"/>
        <v>0</v>
      </c>
      <c r="J147" s="1">
        <f t="shared" si="53"/>
        <v>0</v>
      </c>
      <c r="K147" s="1">
        <f t="shared" si="53"/>
        <v>0</v>
      </c>
      <c r="L147" s="1">
        <f t="shared" si="53"/>
        <v>0</v>
      </c>
    </row>
    <row r="148" spans="3:12" x14ac:dyDescent="0.25">
      <c r="C148" t="s">
        <v>3</v>
      </c>
    </row>
    <row r="149" spans="3:12" x14ac:dyDescent="0.25">
      <c r="C149" s="1">
        <v>50</v>
      </c>
      <c r="D149" s="2">
        <v>2</v>
      </c>
      <c r="E149" s="3">
        <v>4</v>
      </c>
      <c r="F149" s="2">
        <v>8</v>
      </c>
      <c r="G149" s="2">
        <v>16</v>
      </c>
      <c r="H149" s="2">
        <v>32</v>
      </c>
      <c r="I149" s="2">
        <v>64</v>
      </c>
      <c r="J149" s="2">
        <v>128</v>
      </c>
      <c r="K149" s="2">
        <v>256</v>
      </c>
      <c r="L149" s="2">
        <v>512</v>
      </c>
    </row>
    <row r="150" spans="3:12" x14ac:dyDescent="0.25">
      <c r="C150" s="1"/>
      <c r="D150" s="4">
        <v>42</v>
      </c>
      <c r="E150" s="4">
        <v>84</v>
      </c>
      <c r="F150" s="4">
        <v>168</v>
      </c>
      <c r="G150" s="4">
        <v>336</v>
      </c>
      <c r="H150" s="4">
        <v>672</v>
      </c>
      <c r="I150" s="4">
        <v>1344</v>
      </c>
      <c r="J150" s="4">
        <v>2688</v>
      </c>
      <c r="K150" s="4">
        <v>5376</v>
      </c>
      <c r="L150" s="4">
        <v>10752</v>
      </c>
    </row>
    <row r="151" spans="3:12" x14ac:dyDescent="0.25">
      <c r="C151" s="1" t="s">
        <v>1</v>
      </c>
      <c r="D151" s="1">
        <v>23629.636893159994</v>
      </c>
      <c r="E151" s="1">
        <v>11483.894614000004</v>
      </c>
      <c r="F151" s="1">
        <v>84715.602051999944</v>
      </c>
      <c r="G151" s="1">
        <v>314291.08298999979</v>
      </c>
      <c r="H151" s="1">
        <v>430893.51435500017</v>
      </c>
      <c r="I151" s="1">
        <v>26330464.759716999</v>
      </c>
      <c r="J151" s="1">
        <v>1999689.5713940002</v>
      </c>
      <c r="K151" s="1"/>
      <c r="L151" s="1"/>
    </row>
    <row r="152" spans="3:12" x14ac:dyDescent="0.25">
      <c r="C152" s="1" t="s">
        <v>2</v>
      </c>
      <c r="D152" s="1">
        <v>200.59344174759991</v>
      </c>
      <c r="E152" s="1">
        <v>114.85141815999992</v>
      </c>
      <c r="F152" s="1">
        <v>20708.382007959994</v>
      </c>
      <c r="G152" s="1">
        <v>747.40648815999907</v>
      </c>
      <c r="H152" s="1">
        <v>8256.2152589999951</v>
      </c>
      <c r="I152" s="1">
        <v>97128.660752000054</v>
      </c>
      <c r="J152" s="1">
        <v>50621.516555999813</v>
      </c>
      <c r="K152" s="1"/>
      <c r="L152" s="1"/>
    </row>
    <row r="153" spans="3:12" x14ac:dyDescent="0.25">
      <c r="C153" s="1" t="s">
        <v>4</v>
      </c>
      <c r="D153" s="1">
        <v>100.54556059359997</v>
      </c>
      <c r="E153" s="1">
        <v>295.83530016000003</v>
      </c>
      <c r="F153" s="1">
        <v>477.97355299999947</v>
      </c>
      <c r="G153" s="1">
        <v>356.81963084000006</v>
      </c>
      <c r="H153" s="6">
        <v>1064.637682</v>
      </c>
      <c r="I153" s="1">
        <v>3172.4941859999835</v>
      </c>
      <c r="J153" s="1">
        <v>22078.655910000027</v>
      </c>
      <c r="K153" s="1"/>
      <c r="L153" s="1"/>
    </row>
    <row r="154" spans="3:12" x14ac:dyDescent="0.25">
      <c r="C154" s="1" t="s">
        <v>5</v>
      </c>
      <c r="D154" s="1">
        <v>537.44660129760007</v>
      </c>
      <c r="E154" s="1">
        <v>554.36812099999975</v>
      </c>
      <c r="F154" s="1">
        <v>231.65841955999957</v>
      </c>
      <c r="G154" s="1">
        <v>1151.4716547599992</v>
      </c>
      <c r="H154" s="1">
        <v>5983.0203029999975</v>
      </c>
      <c r="I154" s="1">
        <v>4644.85130200002</v>
      </c>
      <c r="J154" s="1">
        <v>302669.26456299983</v>
      </c>
      <c r="K154" s="1"/>
      <c r="L154" s="1"/>
    </row>
    <row r="155" spans="3:12" x14ac:dyDescent="0.25">
      <c r="C155" s="1" t="s">
        <v>6</v>
      </c>
      <c r="D155" s="1"/>
      <c r="E155" s="1">
        <v>113.63022800000029</v>
      </c>
      <c r="F155" s="1">
        <v>1100.3339749600004</v>
      </c>
      <c r="G155" s="1">
        <v>975.64002803999745</v>
      </c>
      <c r="H155" s="1">
        <v>64976.078103000058</v>
      </c>
      <c r="I155" s="1">
        <v>12178.919693999991</v>
      </c>
      <c r="J155" s="1">
        <v>19055707.890131999</v>
      </c>
      <c r="K155" s="1"/>
      <c r="L155" s="1"/>
    </row>
    <row r="156" spans="3:12" x14ac:dyDescent="0.25">
      <c r="C156" s="1" t="s">
        <v>7</v>
      </c>
      <c r="D156" s="1"/>
      <c r="E156" s="1">
        <v>259.53062775999996</v>
      </c>
      <c r="F156" s="1">
        <v>616.71730855999976</v>
      </c>
      <c r="G156" s="1">
        <v>3560.706592000005</v>
      </c>
      <c r="H156" s="1">
        <v>57100.635880999995</v>
      </c>
      <c r="I156" s="1">
        <v>13831.197151999995</v>
      </c>
      <c r="J156" s="1">
        <v>19720658.197508004</v>
      </c>
      <c r="K156" s="1"/>
      <c r="L156" s="1"/>
    </row>
    <row r="157" spans="3:12" x14ac:dyDescent="0.25">
      <c r="C157" s="1" t="s">
        <v>8</v>
      </c>
      <c r="D157" s="1">
        <v>240.99721352960003</v>
      </c>
      <c r="E157" s="1">
        <v>297.49951431999995</v>
      </c>
      <c r="F157" s="1">
        <v>281.85651201440004</v>
      </c>
      <c r="G157" s="1">
        <v>271.78190344000006</v>
      </c>
      <c r="H157" s="1">
        <v>1286.8453298399997</v>
      </c>
      <c r="I157" s="1">
        <v>38248.231785999997</v>
      </c>
      <c r="J157" s="1">
        <v>869.25825200000077</v>
      </c>
      <c r="K157" s="1"/>
      <c r="L157" s="4"/>
    </row>
    <row r="158" spans="3:12" x14ac:dyDescent="0.25">
      <c r="C158" s="1" t="s">
        <v>9</v>
      </c>
      <c r="D158" s="1">
        <v>1524.0940021599999</v>
      </c>
      <c r="E158" s="1">
        <v>43621.361746639996</v>
      </c>
      <c r="F158" s="1">
        <v>1601730.4977677662</v>
      </c>
      <c r="G158" s="1">
        <v>1002406.82703404</v>
      </c>
      <c r="H158" s="1">
        <v>2435076.7215710003</v>
      </c>
      <c r="I158" s="1">
        <v>2657196.5847010007</v>
      </c>
      <c r="J158" s="1">
        <v>65421.180141000026</v>
      </c>
      <c r="K158" s="1"/>
      <c r="L158" s="1"/>
    </row>
    <row r="159" spans="3:12" x14ac:dyDescent="0.25">
      <c r="C159" s="1" t="s">
        <v>10</v>
      </c>
      <c r="D159" s="1"/>
      <c r="E159" s="1">
        <v>373.81924788000003</v>
      </c>
      <c r="F159" s="1">
        <v>525.57633796360005</v>
      </c>
      <c r="G159" s="1">
        <v>340.5378199999999</v>
      </c>
      <c r="H159" s="1">
        <v>712.14340724000022</v>
      </c>
      <c r="I159" s="1">
        <v>4457.6383580000029</v>
      </c>
      <c r="J159" s="1">
        <v>1922.1838250000001</v>
      </c>
      <c r="K159" s="1"/>
      <c r="L159" s="1"/>
    </row>
    <row r="160" spans="3:12" x14ac:dyDescent="0.25">
      <c r="C160" s="1" t="s">
        <v>13</v>
      </c>
      <c r="D160" s="1">
        <v>287.53107919999997</v>
      </c>
      <c r="E160" s="1">
        <v>138.54438975999955</v>
      </c>
      <c r="F160" s="1">
        <v>455.55770944000017</v>
      </c>
      <c r="G160" s="1">
        <v>4887.4578929199943</v>
      </c>
      <c r="H160" s="1">
        <v>61519.251590000029</v>
      </c>
      <c r="I160" s="1">
        <v>339551.91815299995</v>
      </c>
      <c r="J160" s="1">
        <v>348666.42938699987</v>
      </c>
      <c r="K160" s="1"/>
      <c r="L160" s="1"/>
    </row>
    <row r="161" spans="3:12" x14ac:dyDescent="0.25">
      <c r="C161" s="1" t="s">
        <v>14</v>
      </c>
      <c r="D161" s="1">
        <v>6.771681791999999</v>
      </c>
      <c r="E161" s="1">
        <v>51.45089689199996</v>
      </c>
      <c r="F161" s="1">
        <v>62.694121706000075</v>
      </c>
      <c r="G161" s="1">
        <v>241.7645110000002</v>
      </c>
      <c r="H161" s="1">
        <v>9752.842702400003</v>
      </c>
      <c r="I161" s="1">
        <v>8465.0133265600016</v>
      </c>
      <c r="J161" s="1">
        <v>7016.1266239999923</v>
      </c>
      <c r="K161" s="1"/>
      <c r="L161" s="1"/>
    </row>
    <row r="162" spans="3:12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3:12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3:12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3:12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3:12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3:12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3:12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3:12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1" spans="3:12" x14ac:dyDescent="0.25">
      <c r="C171" t="s">
        <v>15</v>
      </c>
    </row>
    <row r="172" spans="3:12" x14ac:dyDescent="0.25">
      <c r="C172" s="1">
        <v>50</v>
      </c>
      <c r="D172" s="2">
        <v>2</v>
      </c>
      <c r="E172" s="3">
        <v>4</v>
      </c>
      <c r="F172" s="2">
        <v>8</v>
      </c>
      <c r="G172" s="2">
        <v>16</v>
      </c>
      <c r="H172" s="2">
        <v>32</v>
      </c>
      <c r="I172" s="2">
        <v>64</v>
      </c>
      <c r="J172" s="2">
        <v>128</v>
      </c>
      <c r="K172" s="2">
        <v>256</v>
      </c>
      <c r="L172" s="2">
        <v>512</v>
      </c>
    </row>
    <row r="173" spans="3:12" x14ac:dyDescent="0.25">
      <c r="C173" s="1"/>
      <c r="D173" s="4">
        <v>42</v>
      </c>
      <c r="E173" s="4">
        <v>84</v>
      </c>
      <c r="F173" s="4">
        <v>168</v>
      </c>
      <c r="G173" s="4">
        <v>336</v>
      </c>
      <c r="H173" s="4">
        <v>672</v>
      </c>
      <c r="I173" s="4">
        <v>1344</v>
      </c>
      <c r="J173" s="4">
        <v>2688</v>
      </c>
      <c r="K173" s="4">
        <v>5376</v>
      </c>
      <c r="L173" s="4">
        <v>10752</v>
      </c>
    </row>
    <row r="174" spans="3:12" x14ac:dyDescent="0.25">
      <c r="C174" s="1" t="s">
        <v>1</v>
      </c>
      <c r="D174" s="1">
        <v>42.608828448753066</v>
      </c>
      <c r="E174" s="1">
        <v>29.704050077099726</v>
      </c>
      <c r="F174" s="1">
        <v>80.677562784576352</v>
      </c>
      <c r="G174" s="1">
        <v>155.3950207963166</v>
      </c>
      <c r="H174" s="1">
        <v>181.95167076705664</v>
      </c>
      <c r="I174" s="1">
        <v>1422.3298732778471</v>
      </c>
      <c r="J174" s="1">
        <v>391.96957681603783</v>
      </c>
      <c r="K174" s="1"/>
      <c r="L174" s="1"/>
    </row>
    <row r="175" spans="3:12" x14ac:dyDescent="0.25">
      <c r="C175" s="1" t="s">
        <v>2</v>
      </c>
      <c r="D175" s="1">
        <v>3.9258114213945112</v>
      </c>
      <c r="E175" s="1">
        <v>2.970566302924261</v>
      </c>
      <c r="F175" s="1">
        <v>39.88817376661386</v>
      </c>
      <c r="G175" s="1">
        <v>7.5779110115063402</v>
      </c>
      <c r="H175" s="1">
        <v>25.186137670938898</v>
      </c>
      <c r="I175" s="1">
        <v>86.386279367140645</v>
      </c>
      <c r="J175" s="1">
        <v>62.364672371708785</v>
      </c>
      <c r="K175" s="1"/>
      <c r="L175" s="1"/>
    </row>
    <row r="176" spans="3:12" x14ac:dyDescent="0.25">
      <c r="C176" s="1" t="s">
        <v>4</v>
      </c>
      <c r="D176" s="1">
        <v>2.779409381780142</v>
      </c>
      <c r="E176" s="1">
        <v>4.7675588912873561</v>
      </c>
      <c r="F176" s="1">
        <v>6.0600052825138659</v>
      </c>
      <c r="G176" s="1">
        <v>5.2359493768273655</v>
      </c>
      <c r="H176" s="6">
        <v>9.0442380764453549</v>
      </c>
      <c r="I176" s="1">
        <v>15.612465317775751</v>
      </c>
      <c r="J176" s="1">
        <v>41.186736832105574</v>
      </c>
      <c r="K176" s="1"/>
      <c r="L176" s="1"/>
    </row>
    <row r="177" spans="3:12" x14ac:dyDescent="0.25">
      <c r="C177" s="1" t="s">
        <v>5</v>
      </c>
      <c r="D177" s="1">
        <v>6.4259705314370379</v>
      </c>
      <c r="E177" s="1">
        <v>6.5263474832920121</v>
      </c>
      <c r="F177" s="1">
        <v>4.2188599990558924</v>
      </c>
      <c r="G177" s="1">
        <v>9.4058423428484197</v>
      </c>
      <c r="H177" s="1">
        <v>21.440322197208129</v>
      </c>
      <c r="I177" s="1">
        <v>18.891088249099507</v>
      </c>
      <c r="J177" s="1">
        <v>152.49486855269717</v>
      </c>
      <c r="K177" s="1"/>
      <c r="L177" s="1"/>
    </row>
    <row r="178" spans="3:12" x14ac:dyDescent="0.25">
      <c r="C178" s="1" t="s">
        <v>6</v>
      </c>
      <c r="D178" s="1"/>
      <c r="E178" s="1">
        <v>2.9547314053389049</v>
      </c>
      <c r="F178" s="1">
        <v>9.1946103758738325</v>
      </c>
      <c r="G178" s="1">
        <v>8.6579659640338793</v>
      </c>
      <c r="H178" s="1">
        <v>70.655799711061931</v>
      </c>
      <c r="I178" s="1">
        <v>30.58971653888619</v>
      </c>
      <c r="J178" s="1">
        <v>1209.995102723404</v>
      </c>
      <c r="K178" s="1"/>
      <c r="L178" s="1"/>
    </row>
    <row r="179" spans="3:12" x14ac:dyDescent="0.25">
      <c r="C179" s="1" t="s">
        <v>7</v>
      </c>
      <c r="D179" s="1"/>
      <c r="E179" s="1">
        <v>4.4654515104361296</v>
      </c>
      <c r="F179" s="1">
        <v>6.883576414283632</v>
      </c>
      <c r="G179" s="1">
        <v>16.540139324580807</v>
      </c>
      <c r="H179" s="1">
        <v>66.235610180695019</v>
      </c>
      <c r="I179" s="1">
        <v>32.598750583150625</v>
      </c>
      <c r="J179" s="1">
        <v>1230.9255097815362</v>
      </c>
      <c r="K179" s="1"/>
      <c r="L179" s="1"/>
    </row>
    <row r="180" spans="3:12" x14ac:dyDescent="0.25">
      <c r="C180" s="1" t="s">
        <v>8</v>
      </c>
      <c r="D180" s="1">
        <v>4.3030568099789512</v>
      </c>
      <c r="E180" s="1">
        <v>4.780949977173389</v>
      </c>
      <c r="F180" s="1">
        <v>4.653557728350469</v>
      </c>
      <c r="G180" s="1">
        <v>4.5696331587012633</v>
      </c>
      <c r="H180" s="1">
        <v>9.9433847548139696</v>
      </c>
      <c r="I180" s="1">
        <v>54.209668368123701</v>
      </c>
      <c r="J180" s="1">
        <v>8.1723221924777327</v>
      </c>
      <c r="K180" s="1"/>
      <c r="L180" s="4"/>
    </row>
    <row r="181" spans="3:12" x14ac:dyDescent="0.25">
      <c r="C181" s="1" t="s">
        <v>9</v>
      </c>
      <c r="D181" s="1">
        <v>10.821237931676629</v>
      </c>
      <c r="E181" s="1">
        <v>57.892283300262427</v>
      </c>
      <c r="F181" s="1">
        <v>350.80501365358646</v>
      </c>
      <c r="G181" s="1">
        <v>277.51922696396974</v>
      </c>
      <c r="H181" s="1">
        <v>432.54111327334311</v>
      </c>
      <c r="I181" s="1">
        <v>451.83816571395039</v>
      </c>
      <c r="J181" s="1">
        <v>70.897391437155946</v>
      </c>
      <c r="K181" s="1"/>
      <c r="L181" s="1"/>
    </row>
    <row r="182" spans="3:12" x14ac:dyDescent="0.25">
      <c r="C182" s="1" t="s">
        <v>10</v>
      </c>
      <c r="D182" s="1"/>
      <c r="E182" s="1">
        <v>5.3592238666728749</v>
      </c>
      <c r="F182" s="1">
        <v>6.3546110186556124</v>
      </c>
      <c r="G182" s="1">
        <v>5.115095481634726</v>
      </c>
      <c r="H182" s="1">
        <v>7.3969860257447895</v>
      </c>
      <c r="I182" s="1">
        <v>18.506465635605739</v>
      </c>
      <c r="J182" s="1">
        <v>12.152581110299161</v>
      </c>
      <c r="K182" s="1"/>
      <c r="L182" s="1"/>
    </row>
    <row r="183" spans="3:12" x14ac:dyDescent="0.25">
      <c r="C183" s="1" t="s">
        <v>13</v>
      </c>
      <c r="D183" s="1">
        <v>4.7001689200596175</v>
      </c>
      <c r="E183" s="1">
        <v>3.2626128415796258</v>
      </c>
      <c r="F183" s="1">
        <v>5.9161989428765906</v>
      </c>
      <c r="G183" s="1">
        <v>19.378162060134315</v>
      </c>
      <c r="H183" s="1">
        <v>68.750615547519871</v>
      </c>
      <c r="I183" s="1">
        <v>161.51920311693988</v>
      </c>
      <c r="J183" s="1">
        <v>163.67265838453889</v>
      </c>
      <c r="K183" s="1"/>
      <c r="L183" s="1"/>
    </row>
    <row r="184" spans="3:12" x14ac:dyDescent="0.25">
      <c r="C184" s="1" t="s">
        <v>14</v>
      </c>
      <c r="D184" s="1">
        <v>0.72130566020442677</v>
      </c>
      <c r="E184" s="1">
        <v>1.9882342191014972</v>
      </c>
      <c r="F184" s="1">
        <v>2.1947470831317668</v>
      </c>
      <c r="G184" s="1">
        <v>4.309901496455808</v>
      </c>
      <c r="H184" s="1">
        <v>27.373900169884397</v>
      </c>
      <c r="I184" s="1">
        <v>25.502625431634641</v>
      </c>
      <c r="J184" s="1">
        <v>23.217731171997997</v>
      </c>
      <c r="K184" s="1"/>
      <c r="L184" s="1"/>
    </row>
    <row r="185" spans="3:12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3:12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3:12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3:12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3:12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3:12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3:12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3:12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</row>
  </sheetData>
  <conditionalFormatting sqref="D62:D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E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:F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:G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:H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:I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zoomScale="85" zoomScaleNormal="85" workbookViewId="0">
      <pane xSplit="3" ySplit="2" topLeftCell="D84" activePane="bottomRight" state="frozen"/>
      <selection pane="topRight" activeCell="D1" sqref="D1"/>
      <selection pane="bottomLeft" activeCell="A3" sqref="A3"/>
      <selection pane="bottomRight" activeCell="D100" sqref="D100:J100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t="s">
        <v>24</v>
      </c>
    </row>
    <row r="2" spans="1:13" x14ac:dyDescent="0.25">
      <c r="B2" t="s">
        <v>0</v>
      </c>
      <c r="C2" s="1"/>
      <c r="D2" s="14">
        <v>42</v>
      </c>
      <c r="E2" s="14">
        <v>84</v>
      </c>
      <c r="F2" s="14">
        <v>168</v>
      </c>
      <c r="G2" s="14">
        <v>336</v>
      </c>
      <c r="H2" s="14">
        <v>672</v>
      </c>
      <c r="I2" s="14">
        <v>1344</v>
      </c>
      <c r="J2" s="14">
        <v>2688</v>
      </c>
      <c r="K2" s="9">
        <v>5376</v>
      </c>
      <c r="L2" s="9">
        <v>10752</v>
      </c>
    </row>
    <row r="3" spans="1:13" x14ac:dyDescent="0.25">
      <c r="A3">
        <v>1</v>
      </c>
      <c r="C3" s="1" t="s">
        <v>1</v>
      </c>
      <c r="D3" s="10">
        <v>7975.7938000000013</v>
      </c>
      <c r="E3" s="10">
        <v>14607.349999999999</v>
      </c>
      <c r="F3" s="10">
        <v>28201.589999999997</v>
      </c>
      <c r="G3" s="10">
        <v>54599.176000000007</v>
      </c>
      <c r="H3" s="10">
        <v>108009.88</v>
      </c>
      <c r="I3" s="10">
        <v>213908.48000000001</v>
      </c>
      <c r="J3" s="10">
        <v>432588.46</v>
      </c>
      <c r="K3" s="10"/>
      <c r="L3" s="10"/>
    </row>
    <row r="4" spans="1:13" x14ac:dyDescent="0.25">
      <c r="C4" s="1" t="s">
        <v>25</v>
      </c>
      <c r="D4" s="10">
        <v>684.58223999999984</v>
      </c>
      <c r="E4" s="10">
        <v>1404.4613999999999</v>
      </c>
      <c r="F4" s="10">
        <v>1898.2583999999999</v>
      </c>
      <c r="G4" s="10">
        <v>4891.0045999999984</v>
      </c>
      <c r="H4" s="10"/>
      <c r="I4" s="10"/>
      <c r="J4" s="10"/>
      <c r="K4" s="10"/>
      <c r="L4" s="10"/>
    </row>
    <row r="5" spans="1:13" x14ac:dyDescent="0.25">
      <c r="C5" s="1" t="s">
        <v>26</v>
      </c>
      <c r="D5" s="10">
        <v>530.28567999999996</v>
      </c>
      <c r="E5" s="10">
        <v>832.19190000000003</v>
      </c>
      <c r="F5" s="10">
        <v>1528.5578000000005</v>
      </c>
      <c r="G5" s="10">
        <v>2822.4848000000002</v>
      </c>
      <c r="H5" s="11">
        <v>5921.956000000001</v>
      </c>
      <c r="I5" s="10">
        <v>11889.75</v>
      </c>
      <c r="J5" s="10">
        <v>23889.734000000004</v>
      </c>
      <c r="K5" s="10"/>
      <c r="L5" s="10"/>
    </row>
    <row r="6" spans="1:13" x14ac:dyDescent="0.25">
      <c r="C6" s="1" t="s">
        <v>27</v>
      </c>
      <c r="D6" s="10">
        <v>480.05012000000005</v>
      </c>
      <c r="E6" s="10">
        <v>616.3787199999997</v>
      </c>
      <c r="F6" s="10">
        <v>838.69352000000003</v>
      </c>
      <c r="G6" s="10">
        <v>1430.0423999999998</v>
      </c>
      <c r="H6" s="10">
        <v>2892.3028000000013</v>
      </c>
      <c r="I6" s="10">
        <v>5508.9562000000014</v>
      </c>
      <c r="J6" s="10">
        <v>10452.406000000001</v>
      </c>
      <c r="K6" s="10"/>
      <c r="L6" s="10"/>
    </row>
    <row r="7" spans="1:13" x14ac:dyDescent="0.25">
      <c r="C7" s="1" t="s">
        <v>28</v>
      </c>
      <c r="D7" s="10">
        <v>682.80912000000001</v>
      </c>
      <c r="E7" s="10">
        <v>1401.6777999999999</v>
      </c>
      <c r="F7" s="10">
        <v>1893.64</v>
      </c>
      <c r="G7" s="10">
        <v>4897.902399999999</v>
      </c>
      <c r="H7" s="10"/>
      <c r="I7" s="10"/>
      <c r="J7" s="10"/>
      <c r="K7" s="10"/>
      <c r="L7" s="10"/>
    </row>
    <row r="8" spans="1:13" x14ac:dyDescent="0.25">
      <c r="C8" s="1" t="s">
        <v>29</v>
      </c>
      <c r="D8" s="10">
        <v>524.65102000000013</v>
      </c>
      <c r="E8" s="10">
        <v>825.71336000000008</v>
      </c>
      <c r="F8" s="10">
        <v>1462.0880000000004</v>
      </c>
      <c r="G8" s="10">
        <v>2803.6547999999998</v>
      </c>
      <c r="H8" s="10">
        <v>5853.3895999999995</v>
      </c>
      <c r="I8" s="10">
        <v>11955.105999999998</v>
      </c>
      <c r="J8" s="10">
        <v>23899.331999999999</v>
      </c>
      <c r="K8" s="10"/>
      <c r="L8" s="10"/>
    </row>
    <row r="9" spans="1:13" x14ac:dyDescent="0.25">
      <c r="C9" s="1" t="s">
        <v>30</v>
      </c>
      <c r="D9" s="10">
        <v>475.46698000000009</v>
      </c>
      <c r="E9" s="10">
        <v>612.54268000000013</v>
      </c>
      <c r="F9" s="10">
        <v>831.84125999999992</v>
      </c>
      <c r="G9" s="10">
        <v>1421.9381999999991</v>
      </c>
      <c r="H9" s="10">
        <v>2912.3957999999998</v>
      </c>
      <c r="I9" s="10">
        <v>5464.7918000000009</v>
      </c>
      <c r="J9" s="10">
        <v>10456.049999999997</v>
      </c>
      <c r="K9" s="10"/>
      <c r="L9" s="9"/>
    </row>
    <row r="10" spans="1:13" x14ac:dyDescent="0.25">
      <c r="C10" s="1" t="s">
        <v>31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3" x14ac:dyDescent="0.25">
      <c r="C11" s="1" t="s">
        <v>32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3" x14ac:dyDescent="0.25">
      <c r="C12" s="1" t="s">
        <v>33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3" x14ac:dyDescent="0.25">
      <c r="C13" s="1" t="s">
        <v>34</v>
      </c>
      <c r="D13" s="10">
        <v>499.13650000000001</v>
      </c>
      <c r="E13" s="10">
        <v>929.66467999999975</v>
      </c>
      <c r="F13" s="10">
        <v>1928.3353999999999</v>
      </c>
      <c r="G13" s="10">
        <v>4912.0155999999997</v>
      </c>
      <c r="H13" s="10"/>
      <c r="I13" s="10"/>
      <c r="J13" s="10"/>
      <c r="K13" s="10"/>
      <c r="L13" s="10"/>
    </row>
    <row r="14" spans="1:13" x14ac:dyDescent="0.25">
      <c r="C14" s="1" t="s">
        <v>35</v>
      </c>
      <c r="D14" s="10">
        <v>472.29168000000004</v>
      </c>
      <c r="E14" s="10">
        <v>747.2598999999999</v>
      </c>
      <c r="F14" s="10">
        <v>1531.9398000000001</v>
      </c>
      <c r="G14" s="10">
        <v>2829.4717999999993</v>
      </c>
      <c r="H14" s="10">
        <v>5847.7997999999998</v>
      </c>
      <c r="I14" s="10">
        <v>11634.618</v>
      </c>
      <c r="J14" s="10"/>
      <c r="K14" s="10"/>
      <c r="L14" s="10"/>
    </row>
    <row r="15" spans="1:13" x14ac:dyDescent="0.25">
      <c r="C15" s="1" t="s">
        <v>36</v>
      </c>
      <c r="D15" s="10">
        <v>446.83253999999994</v>
      </c>
      <c r="E15" s="10">
        <v>578.64884000000018</v>
      </c>
      <c r="F15" s="10">
        <v>843.63008000000013</v>
      </c>
      <c r="G15" s="10">
        <v>1439.7026000000003</v>
      </c>
      <c r="H15" s="10">
        <v>2840.2309999999998</v>
      </c>
      <c r="I15" s="10">
        <v>5219.4657999999999</v>
      </c>
      <c r="J15" s="10"/>
      <c r="K15" s="10"/>
      <c r="L15" s="10"/>
    </row>
    <row r="16" spans="1:13" x14ac:dyDescent="0.25">
      <c r="C16" s="1" t="s">
        <v>38</v>
      </c>
      <c r="D16" s="10">
        <v>496.1031799999999</v>
      </c>
      <c r="E16" s="10">
        <v>926.38565999999992</v>
      </c>
      <c r="F16" s="10">
        <v>1899.3859999999995</v>
      </c>
      <c r="G16" s="10">
        <v>4902.6754000000019</v>
      </c>
      <c r="H16" s="10"/>
      <c r="I16" s="10"/>
      <c r="J16" s="10"/>
      <c r="K16" s="10"/>
      <c r="L16" s="10"/>
    </row>
    <row r="17" spans="3:12" x14ac:dyDescent="0.25">
      <c r="C17" s="1" t="s">
        <v>39</v>
      </c>
      <c r="D17" s="10">
        <v>464.82862</v>
      </c>
      <c r="E17" s="10">
        <v>738.80680000000007</v>
      </c>
      <c r="F17" s="10">
        <v>1468.0194000000001</v>
      </c>
      <c r="G17" s="10">
        <v>2812.4055999999996</v>
      </c>
      <c r="H17" s="10">
        <v>5774.9504000000015</v>
      </c>
      <c r="I17" s="10">
        <v>11725.576000000001</v>
      </c>
      <c r="J17" s="10"/>
      <c r="K17" s="10"/>
      <c r="L17" s="10"/>
    </row>
    <row r="18" spans="3:12" x14ac:dyDescent="0.25">
      <c r="C18" s="1" t="s">
        <v>40</v>
      </c>
      <c r="D18" s="10">
        <v>441.25863999999979</v>
      </c>
      <c r="E18" s="10">
        <v>572.47408000000007</v>
      </c>
      <c r="F18" s="10">
        <v>838.11869999999976</v>
      </c>
      <c r="G18" s="10">
        <v>1432.8835999999999</v>
      </c>
      <c r="H18" s="10">
        <v>2826.0174000000006</v>
      </c>
      <c r="I18" s="10">
        <v>5200.2047999999995</v>
      </c>
      <c r="J18" s="10"/>
      <c r="K18" s="10"/>
      <c r="L18" s="10"/>
    </row>
    <row r="19" spans="3:12" x14ac:dyDescent="0.25">
      <c r="C19" s="1" t="s">
        <v>41</v>
      </c>
      <c r="D19" s="10">
        <v>476.97782000000001</v>
      </c>
      <c r="E19" s="10">
        <v>625.87896000000012</v>
      </c>
      <c r="F19" s="10">
        <v>945.54799999999989</v>
      </c>
      <c r="G19" s="10">
        <v>1684.4354000000001</v>
      </c>
      <c r="H19" s="10">
        <v>3378.9125999999987</v>
      </c>
      <c r="I19" s="10">
        <v>6397.9759999999997</v>
      </c>
      <c r="J19" s="10">
        <v>12243.058000000003</v>
      </c>
      <c r="K19" s="10"/>
      <c r="L19" s="10"/>
    </row>
    <row r="20" spans="3:12" x14ac:dyDescent="0.25">
      <c r="C20" s="1" t="s">
        <v>43</v>
      </c>
      <c r="D20" s="10">
        <v>471.45476000000008</v>
      </c>
      <c r="E20" s="10">
        <v>620.9707599999997</v>
      </c>
      <c r="F20" s="10">
        <v>936.57350000000008</v>
      </c>
      <c r="G20" s="10">
        <v>1674.5977999999998</v>
      </c>
      <c r="H20" s="10">
        <v>3393.0913999999993</v>
      </c>
      <c r="I20" s="10">
        <v>6376.6144000000022</v>
      </c>
      <c r="J20" s="10">
        <v>12232.662</v>
      </c>
      <c r="K20" s="10"/>
      <c r="L20" s="10"/>
    </row>
    <row r="21" spans="3:12" x14ac:dyDescent="0.25">
      <c r="C21" s="1" t="s">
        <v>44</v>
      </c>
      <c r="D21" s="10">
        <v>636.53955999999994</v>
      </c>
      <c r="E21" s="10">
        <v>851.82906000000048</v>
      </c>
      <c r="F21" s="10">
        <v>1236.4717999999996</v>
      </c>
      <c r="G21" s="10">
        <v>2441.8287999999993</v>
      </c>
      <c r="H21" s="10">
        <v>4734.7037999999993</v>
      </c>
      <c r="I21" s="10">
        <v>9513.112000000001</v>
      </c>
      <c r="J21" s="10">
        <v>19682.394</v>
      </c>
      <c r="K21" s="10"/>
      <c r="L21" s="10"/>
    </row>
    <row r="22" spans="3:12" x14ac:dyDescent="0.25">
      <c r="C22" s="1" t="s">
        <v>37</v>
      </c>
      <c r="D22" s="10">
        <v>615.11232000000007</v>
      </c>
      <c r="E22" s="10">
        <v>803.43399999999974</v>
      </c>
      <c r="F22" s="10">
        <v>1239.4019999999996</v>
      </c>
      <c r="G22" s="10">
        <v>2459.7705999999998</v>
      </c>
      <c r="H22" s="10">
        <v>4659.5029999999997</v>
      </c>
      <c r="I22" s="10">
        <v>9352.2374000000018</v>
      </c>
      <c r="J22" s="10"/>
      <c r="K22" s="10"/>
      <c r="L22" s="10"/>
    </row>
    <row r="23" spans="3:12" x14ac:dyDescent="0.25">
      <c r="C23" s="1" t="s">
        <v>42</v>
      </c>
      <c r="D23" s="10">
        <v>644.23781999999994</v>
      </c>
      <c r="E23" s="10">
        <v>851.04464000000007</v>
      </c>
      <c r="F23" s="10">
        <v>1377.6304000000005</v>
      </c>
      <c r="G23" s="10">
        <v>2746.2916000000009</v>
      </c>
      <c r="H23" s="10">
        <v>5209.3662000000013</v>
      </c>
      <c r="I23" s="10">
        <v>10441.722000000003</v>
      </c>
      <c r="J23" s="10">
        <v>21506.887999999999</v>
      </c>
      <c r="K23" s="10"/>
      <c r="L23" s="10"/>
    </row>
    <row r="24" spans="3:12" x14ac:dyDescent="0.25">
      <c r="C24" s="1" t="s">
        <v>45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3:12" x14ac:dyDescent="0.25">
      <c r="C25" s="1" t="s">
        <v>9</v>
      </c>
      <c r="D25" s="10">
        <v>3589.2062000000001</v>
      </c>
      <c r="E25" s="10">
        <v>5617.9286000000011</v>
      </c>
      <c r="F25" s="10">
        <v>9901.2789999999986</v>
      </c>
      <c r="G25" s="10"/>
      <c r="H25" s="10"/>
      <c r="I25" s="10"/>
      <c r="J25" s="10"/>
      <c r="K25" s="10"/>
      <c r="L25" s="10"/>
    </row>
    <row r="30" spans="3:12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</row>
    <row r="31" spans="3:12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</row>
    <row r="32" spans="3:12" x14ac:dyDescent="0.25">
      <c r="C32" s="1" t="s">
        <v>1</v>
      </c>
      <c r="D32" s="5">
        <f>D3/D$2</f>
        <v>189.89985238095241</v>
      </c>
      <c r="E32" s="5">
        <f t="shared" ref="E32:L32" si="0">E3/E$2</f>
        <v>173.8970238095238</v>
      </c>
      <c r="F32" s="5">
        <f t="shared" si="0"/>
        <v>167.86660714285713</v>
      </c>
      <c r="G32" s="5">
        <f t="shared" si="0"/>
        <v>162.49754761904765</v>
      </c>
      <c r="H32" s="5">
        <f t="shared" si="0"/>
        <v>160.72898809523809</v>
      </c>
      <c r="I32" s="5">
        <f t="shared" si="0"/>
        <v>159.15809523809526</v>
      </c>
      <c r="J32" s="5">
        <f t="shared" si="0"/>
        <v>160.93320684523809</v>
      </c>
      <c r="K32" s="5">
        <f t="shared" si="0"/>
        <v>0</v>
      </c>
      <c r="L32" s="5">
        <f t="shared" si="0"/>
        <v>0</v>
      </c>
    </row>
    <row r="33" spans="3:12" x14ac:dyDescent="0.25">
      <c r="C33" s="1" t="s">
        <v>25</v>
      </c>
      <c r="D33" s="5">
        <f t="shared" ref="D33:L48" si="1">D4/D$2</f>
        <v>16.299577142857139</v>
      </c>
      <c r="E33" s="5">
        <f t="shared" si="1"/>
        <v>16.71977857142857</v>
      </c>
      <c r="F33" s="5">
        <f t="shared" si="1"/>
        <v>11.299157142857142</v>
      </c>
      <c r="G33" s="5">
        <f t="shared" si="1"/>
        <v>14.556561309523804</v>
      </c>
      <c r="H33" s="5">
        <f t="shared" si="1"/>
        <v>0</v>
      </c>
      <c r="I33" s="5">
        <f t="shared" si="1"/>
        <v>0</v>
      </c>
      <c r="J33" s="5">
        <f t="shared" si="1"/>
        <v>0</v>
      </c>
      <c r="K33" s="5">
        <f t="shared" si="1"/>
        <v>0</v>
      </c>
      <c r="L33" s="5">
        <f t="shared" si="1"/>
        <v>0</v>
      </c>
    </row>
    <row r="34" spans="3:12" x14ac:dyDescent="0.25">
      <c r="C34" s="1" t="s">
        <v>26</v>
      </c>
      <c r="D34" s="5">
        <f t="shared" si="1"/>
        <v>12.625849523809523</v>
      </c>
      <c r="E34" s="5">
        <f t="shared" si="1"/>
        <v>9.9070464285714284</v>
      </c>
      <c r="F34" s="5">
        <f t="shared" si="1"/>
        <v>9.0985583333333366</v>
      </c>
      <c r="G34" s="5">
        <f t="shared" si="1"/>
        <v>8.4002523809523808</v>
      </c>
      <c r="H34" s="5">
        <f t="shared" si="1"/>
        <v>8.8124345238095252</v>
      </c>
      <c r="I34" s="5">
        <f t="shared" si="1"/>
        <v>8.8465401785714288</v>
      </c>
      <c r="J34" s="5">
        <f t="shared" si="1"/>
        <v>8.887549851190478</v>
      </c>
      <c r="K34" s="5">
        <f t="shared" si="1"/>
        <v>0</v>
      </c>
      <c r="L34" s="5">
        <f t="shared" si="1"/>
        <v>0</v>
      </c>
    </row>
    <row r="35" spans="3:12" x14ac:dyDescent="0.25">
      <c r="C35" s="1" t="s">
        <v>27</v>
      </c>
      <c r="D35" s="5">
        <f t="shared" si="1"/>
        <v>11.429764761904764</v>
      </c>
      <c r="E35" s="5">
        <f t="shared" si="1"/>
        <v>7.337841904761901</v>
      </c>
      <c r="F35" s="5">
        <f t="shared" si="1"/>
        <v>4.9922233333333335</v>
      </c>
      <c r="G35" s="5">
        <f t="shared" si="1"/>
        <v>4.2560785714285707</v>
      </c>
      <c r="H35" s="5">
        <f t="shared" si="1"/>
        <v>4.3040220238095257</v>
      </c>
      <c r="I35" s="5">
        <f t="shared" si="1"/>
        <v>4.0989257440476203</v>
      </c>
      <c r="J35" s="5">
        <f t="shared" si="1"/>
        <v>3.888543898809524</v>
      </c>
      <c r="K35" s="5">
        <f t="shared" si="1"/>
        <v>0</v>
      </c>
      <c r="L35" s="5">
        <f t="shared" si="1"/>
        <v>0</v>
      </c>
    </row>
    <row r="36" spans="3:12" x14ac:dyDescent="0.25">
      <c r="C36" s="1" t="s">
        <v>28</v>
      </c>
      <c r="D36" s="5">
        <f t="shared" si="1"/>
        <v>16.257359999999998</v>
      </c>
      <c r="E36" s="5">
        <f t="shared" si="1"/>
        <v>16.686640476190476</v>
      </c>
      <c r="F36" s="5">
        <f t="shared" si="1"/>
        <v>11.271666666666667</v>
      </c>
      <c r="G36" s="5">
        <f t="shared" si="1"/>
        <v>14.577090476190474</v>
      </c>
      <c r="H36" s="5">
        <f t="shared" si="1"/>
        <v>0</v>
      </c>
      <c r="I36" s="5">
        <f t="shared" si="1"/>
        <v>0</v>
      </c>
      <c r="J36" s="5">
        <f t="shared" si="1"/>
        <v>0</v>
      </c>
      <c r="K36" s="5">
        <f t="shared" si="1"/>
        <v>0</v>
      </c>
      <c r="L36" s="5">
        <f t="shared" si="1"/>
        <v>0</v>
      </c>
    </row>
    <row r="37" spans="3:12" x14ac:dyDescent="0.25">
      <c r="C37" s="1" t="s">
        <v>29</v>
      </c>
      <c r="D37" s="5">
        <f t="shared" si="1"/>
        <v>12.491690952380955</v>
      </c>
      <c r="E37" s="5">
        <f t="shared" si="1"/>
        <v>9.8299209523809541</v>
      </c>
      <c r="F37" s="5">
        <f t="shared" si="1"/>
        <v>8.7029047619047653</v>
      </c>
      <c r="G37" s="5">
        <f t="shared" si="1"/>
        <v>8.3442107142857136</v>
      </c>
      <c r="H37" s="5">
        <f t="shared" si="1"/>
        <v>8.7104011904761904</v>
      </c>
      <c r="I37" s="5">
        <f t="shared" si="1"/>
        <v>8.8951681547619028</v>
      </c>
      <c r="J37" s="5">
        <f t="shared" si="1"/>
        <v>8.8911205357142844</v>
      </c>
      <c r="K37" s="5">
        <f t="shared" si="1"/>
        <v>0</v>
      </c>
      <c r="L37" s="5">
        <f t="shared" si="1"/>
        <v>0</v>
      </c>
    </row>
    <row r="38" spans="3:12" x14ac:dyDescent="0.25">
      <c r="C38" s="1" t="s">
        <v>30</v>
      </c>
      <c r="D38" s="5">
        <f t="shared" si="1"/>
        <v>11.320642380952384</v>
      </c>
      <c r="E38" s="5">
        <f t="shared" si="1"/>
        <v>7.2921747619047634</v>
      </c>
      <c r="F38" s="5">
        <f t="shared" si="1"/>
        <v>4.9514360714285708</v>
      </c>
      <c r="G38" s="5">
        <f t="shared" si="1"/>
        <v>4.2319589285714256</v>
      </c>
      <c r="H38" s="5">
        <f t="shared" si="1"/>
        <v>4.3339223214285711</v>
      </c>
      <c r="I38" s="5">
        <f t="shared" si="1"/>
        <v>4.0660653273809526</v>
      </c>
      <c r="J38" s="5">
        <f t="shared" si="1"/>
        <v>3.8898995535714276</v>
      </c>
      <c r="K38" s="5">
        <f t="shared" si="1"/>
        <v>0</v>
      </c>
      <c r="L38" s="5">
        <f t="shared" si="1"/>
        <v>0</v>
      </c>
    </row>
    <row r="39" spans="3:12" x14ac:dyDescent="0.25">
      <c r="C39" s="1" t="s">
        <v>31</v>
      </c>
      <c r="D39" s="5">
        <f t="shared" si="1"/>
        <v>0</v>
      </c>
      <c r="E39" s="5">
        <f t="shared" si="1"/>
        <v>0</v>
      </c>
      <c r="F39" s="5">
        <f t="shared" si="1"/>
        <v>0</v>
      </c>
      <c r="G39" s="5">
        <f t="shared" si="1"/>
        <v>0</v>
      </c>
      <c r="H39" s="5">
        <f t="shared" si="1"/>
        <v>0</v>
      </c>
      <c r="I39" s="5">
        <f t="shared" si="1"/>
        <v>0</v>
      </c>
      <c r="J39" s="5">
        <f t="shared" si="1"/>
        <v>0</v>
      </c>
      <c r="K39" s="5">
        <f t="shared" si="1"/>
        <v>0</v>
      </c>
      <c r="L39" s="5">
        <f t="shared" si="1"/>
        <v>0</v>
      </c>
    </row>
    <row r="40" spans="3:12" x14ac:dyDescent="0.25">
      <c r="C40" s="1" t="s">
        <v>32</v>
      </c>
      <c r="D40" s="5">
        <f t="shared" si="1"/>
        <v>0</v>
      </c>
      <c r="E40" s="5">
        <f t="shared" si="1"/>
        <v>0</v>
      </c>
      <c r="F40" s="5">
        <f t="shared" si="1"/>
        <v>0</v>
      </c>
      <c r="G40" s="5">
        <f t="shared" si="1"/>
        <v>0</v>
      </c>
      <c r="H40" s="5">
        <f t="shared" si="1"/>
        <v>0</v>
      </c>
      <c r="I40" s="5">
        <f t="shared" si="1"/>
        <v>0</v>
      </c>
      <c r="J40" s="5">
        <f t="shared" si="1"/>
        <v>0</v>
      </c>
      <c r="K40" s="5">
        <f t="shared" si="1"/>
        <v>0</v>
      </c>
      <c r="L40" s="5">
        <f t="shared" si="1"/>
        <v>0</v>
      </c>
    </row>
    <row r="41" spans="3:12" x14ac:dyDescent="0.25">
      <c r="C41" s="1" t="s">
        <v>33</v>
      </c>
      <c r="D41" s="5">
        <f t="shared" si="1"/>
        <v>0</v>
      </c>
      <c r="E41" s="5">
        <f t="shared" si="1"/>
        <v>0</v>
      </c>
      <c r="F41" s="5">
        <f t="shared" si="1"/>
        <v>0</v>
      </c>
      <c r="G41" s="5">
        <f t="shared" si="1"/>
        <v>0</v>
      </c>
      <c r="H41" s="5">
        <f t="shared" si="1"/>
        <v>0</v>
      </c>
      <c r="I41" s="5">
        <f t="shared" si="1"/>
        <v>0</v>
      </c>
      <c r="J41" s="5">
        <f t="shared" si="1"/>
        <v>0</v>
      </c>
      <c r="K41" s="5">
        <f t="shared" si="1"/>
        <v>0</v>
      </c>
      <c r="L41" s="5">
        <f t="shared" si="1"/>
        <v>0</v>
      </c>
    </row>
    <row r="42" spans="3:12" x14ac:dyDescent="0.25">
      <c r="C42" s="1" t="s">
        <v>34</v>
      </c>
      <c r="D42" s="5">
        <f t="shared" si="1"/>
        <v>11.884202380952381</v>
      </c>
      <c r="E42" s="5">
        <f t="shared" si="1"/>
        <v>11.067436666666664</v>
      </c>
      <c r="F42" s="5">
        <f t="shared" si="1"/>
        <v>11.478186904761904</v>
      </c>
      <c r="G42" s="5">
        <f t="shared" si="1"/>
        <v>14.619094047619047</v>
      </c>
      <c r="H42" s="5">
        <f t="shared" si="1"/>
        <v>0</v>
      </c>
      <c r="I42" s="5">
        <f t="shared" si="1"/>
        <v>0</v>
      </c>
      <c r="J42" s="5">
        <f t="shared" si="1"/>
        <v>0</v>
      </c>
      <c r="K42" s="5">
        <f t="shared" si="1"/>
        <v>0</v>
      </c>
      <c r="L42" s="5">
        <f t="shared" si="1"/>
        <v>0</v>
      </c>
    </row>
    <row r="43" spans="3:12" x14ac:dyDescent="0.25">
      <c r="C43" s="1" t="s">
        <v>35</v>
      </c>
      <c r="D43" s="5">
        <f t="shared" si="1"/>
        <v>11.245040000000001</v>
      </c>
      <c r="E43" s="5">
        <f t="shared" si="1"/>
        <v>8.8959511904761897</v>
      </c>
      <c r="F43" s="5">
        <f t="shared" si="1"/>
        <v>9.1186892857142858</v>
      </c>
      <c r="G43" s="5">
        <f t="shared" si="1"/>
        <v>8.4210470238095212</v>
      </c>
      <c r="H43" s="5">
        <f t="shared" si="1"/>
        <v>8.7020830357142849</v>
      </c>
      <c r="I43" s="5">
        <f t="shared" si="1"/>
        <v>8.6567098214285725</v>
      </c>
      <c r="J43" s="5">
        <f t="shared" si="1"/>
        <v>0</v>
      </c>
      <c r="K43" s="5">
        <f t="shared" si="1"/>
        <v>0</v>
      </c>
      <c r="L43" s="5">
        <f t="shared" si="1"/>
        <v>0</v>
      </c>
    </row>
    <row r="44" spans="3:12" x14ac:dyDescent="0.25">
      <c r="C44" s="1" t="s">
        <v>36</v>
      </c>
      <c r="D44" s="5">
        <f t="shared" si="1"/>
        <v>10.638869999999999</v>
      </c>
      <c r="E44" s="5">
        <f t="shared" si="1"/>
        <v>6.8886766666666688</v>
      </c>
      <c r="F44" s="5">
        <f t="shared" si="1"/>
        <v>5.0216076190476198</v>
      </c>
      <c r="G44" s="5">
        <f t="shared" si="1"/>
        <v>4.2848291666666674</v>
      </c>
      <c r="H44" s="5">
        <f t="shared" si="1"/>
        <v>4.2265342261904761</v>
      </c>
      <c r="I44" s="5">
        <f t="shared" si="1"/>
        <v>3.8835311011904761</v>
      </c>
      <c r="J44" s="5">
        <f t="shared" si="1"/>
        <v>0</v>
      </c>
      <c r="K44" s="5">
        <f t="shared" si="1"/>
        <v>0</v>
      </c>
      <c r="L44" s="5">
        <f t="shared" si="1"/>
        <v>0</v>
      </c>
    </row>
    <row r="45" spans="3:12" x14ac:dyDescent="0.25">
      <c r="C45" s="1" t="s">
        <v>38</v>
      </c>
      <c r="D45" s="5">
        <f t="shared" si="1"/>
        <v>11.811980476190474</v>
      </c>
      <c r="E45" s="5">
        <f t="shared" si="1"/>
        <v>11.028400714285713</v>
      </c>
      <c r="F45" s="5">
        <f t="shared" si="1"/>
        <v>11.305869047619044</v>
      </c>
      <c r="G45" s="5">
        <f t="shared" si="1"/>
        <v>14.591295833333339</v>
      </c>
      <c r="H45" s="5">
        <f t="shared" si="1"/>
        <v>0</v>
      </c>
      <c r="I45" s="5">
        <f t="shared" si="1"/>
        <v>0</v>
      </c>
      <c r="J45" s="5">
        <f t="shared" si="1"/>
        <v>0</v>
      </c>
      <c r="K45" s="5">
        <f t="shared" si="1"/>
        <v>0</v>
      </c>
      <c r="L45" s="5">
        <f t="shared" si="1"/>
        <v>0</v>
      </c>
    </row>
    <row r="46" spans="3:12" x14ac:dyDescent="0.25">
      <c r="C46" s="1" t="s">
        <v>39</v>
      </c>
      <c r="D46" s="5">
        <f t="shared" si="1"/>
        <v>11.067348095238096</v>
      </c>
      <c r="E46" s="5">
        <f t="shared" si="1"/>
        <v>8.7953190476190493</v>
      </c>
      <c r="F46" s="5">
        <f t="shared" si="1"/>
        <v>8.7382107142857155</v>
      </c>
      <c r="G46" s="5">
        <f t="shared" si="1"/>
        <v>8.3702547619047607</v>
      </c>
      <c r="H46" s="5">
        <f t="shared" si="1"/>
        <v>8.5936761904761934</v>
      </c>
      <c r="I46" s="5">
        <f t="shared" si="1"/>
        <v>8.7243869047619054</v>
      </c>
      <c r="J46" s="5">
        <f t="shared" si="1"/>
        <v>0</v>
      </c>
      <c r="K46" s="5">
        <f t="shared" si="1"/>
        <v>0</v>
      </c>
      <c r="L46" s="5">
        <f t="shared" si="1"/>
        <v>0</v>
      </c>
    </row>
    <row r="47" spans="3:12" x14ac:dyDescent="0.25">
      <c r="C47" s="1" t="s">
        <v>40</v>
      </c>
      <c r="D47" s="5">
        <f t="shared" si="1"/>
        <v>10.50615809523809</v>
      </c>
      <c r="E47" s="5">
        <f t="shared" si="1"/>
        <v>6.81516761904762</v>
      </c>
      <c r="F47" s="5">
        <f t="shared" si="1"/>
        <v>4.9888017857142843</v>
      </c>
      <c r="G47" s="5">
        <f t="shared" si="1"/>
        <v>4.2645345238095231</v>
      </c>
      <c r="H47" s="5">
        <f t="shared" si="1"/>
        <v>4.205383035714287</v>
      </c>
      <c r="I47" s="5">
        <f t="shared" si="1"/>
        <v>3.8691999999999998</v>
      </c>
      <c r="J47" s="5">
        <f t="shared" si="1"/>
        <v>0</v>
      </c>
      <c r="K47" s="5">
        <f t="shared" si="1"/>
        <v>0</v>
      </c>
      <c r="L47" s="5">
        <f t="shared" si="1"/>
        <v>0</v>
      </c>
    </row>
    <row r="48" spans="3:12" x14ac:dyDescent="0.25">
      <c r="C48" s="1" t="s">
        <v>41</v>
      </c>
      <c r="D48" s="5">
        <f t="shared" si="1"/>
        <v>11.356614761904762</v>
      </c>
      <c r="E48" s="5">
        <f t="shared" si="1"/>
        <v>7.450940000000001</v>
      </c>
      <c r="F48" s="5">
        <f t="shared" si="1"/>
        <v>5.6282619047619038</v>
      </c>
      <c r="G48" s="5">
        <f t="shared" si="1"/>
        <v>5.0132005952380956</v>
      </c>
      <c r="H48" s="5">
        <f t="shared" si="1"/>
        <v>5.0281437499999981</v>
      </c>
      <c r="I48" s="5">
        <f t="shared" si="1"/>
        <v>4.7603988095238092</v>
      </c>
      <c r="J48" s="5">
        <f t="shared" si="1"/>
        <v>4.5547090773809531</v>
      </c>
      <c r="K48" s="5">
        <f t="shared" si="1"/>
        <v>0</v>
      </c>
      <c r="L48" s="5">
        <f t="shared" si="1"/>
        <v>0</v>
      </c>
    </row>
    <row r="49" spans="3:12" x14ac:dyDescent="0.25">
      <c r="C49" s="1" t="s">
        <v>43</v>
      </c>
      <c r="D49" s="5">
        <f t="shared" ref="D49:L54" si="2">D20/D$2</f>
        <v>11.225113333333335</v>
      </c>
      <c r="E49" s="5">
        <f t="shared" si="2"/>
        <v>7.3925090476190443</v>
      </c>
      <c r="F49" s="5">
        <f t="shared" si="2"/>
        <v>5.5748422619047622</v>
      </c>
      <c r="G49" s="5">
        <f t="shared" si="2"/>
        <v>4.983922023809523</v>
      </c>
      <c r="H49" s="5">
        <f t="shared" si="2"/>
        <v>5.0492431547619034</v>
      </c>
      <c r="I49" s="5">
        <f t="shared" si="2"/>
        <v>4.7445047619047633</v>
      </c>
      <c r="J49" s="5">
        <f t="shared" si="2"/>
        <v>4.5508415178571431</v>
      </c>
      <c r="K49" s="5">
        <f t="shared" si="2"/>
        <v>0</v>
      </c>
      <c r="L49" s="5">
        <f t="shared" si="2"/>
        <v>0</v>
      </c>
    </row>
    <row r="50" spans="3:12" x14ac:dyDescent="0.25">
      <c r="C50" s="1" t="s">
        <v>44</v>
      </c>
      <c r="D50" s="5">
        <f t="shared" si="2"/>
        <v>15.155703809523809</v>
      </c>
      <c r="E50" s="5">
        <f t="shared" si="2"/>
        <v>10.140822142857148</v>
      </c>
      <c r="F50" s="5">
        <f t="shared" si="2"/>
        <v>7.3599511904761883</v>
      </c>
      <c r="G50" s="5">
        <f t="shared" si="2"/>
        <v>7.2673476190476167</v>
      </c>
      <c r="H50" s="5">
        <f t="shared" si="2"/>
        <v>7.0456901785714274</v>
      </c>
      <c r="I50" s="5">
        <f t="shared" si="2"/>
        <v>7.0782083333333343</v>
      </c>
      <c r="J50" s="5">
        <f t="shared" si="2"/>
        <v>7.3223191964285714</v>
      </c>
      <c r="K50" s="5">
        <f t="shared" si="2"/>
        <v>0</v>
      </c>
      <c r="L50" s="5">
        <f t="shared" si="2"/>
        <v>0</v>
      </c>
    </row>
    <row r="51" spans="3:12" x14ac:dyDescent="0.25">
      <c r="C51" s="1" t="s">
        <v>37</v>
      </c>
      <c r="D51" s="5">
        <f t="shared" si="2"/>
        <v>14.645531428571431</v>
      </c>
      <c r="E51" s="5">
        <f t="shared" si="2"/>
        <v>9.5646904761904725</v>
      </c>
      <c r="F51" s="5">
        <f t="shared" si="2"/>
        <v>7.3773928571428549</v>
      </c>
      <c r="G51" s="5">
        <f t="shared" si="2"/>
        <v>7.3207458333333326</v>
      </c>
      <c r="H51" s="5">
        <f t="shared" si="2"/>
        <v>6.9337842261904754</v>
      </c>
      <c r="I51" s="5">
        <f t="shared" si="2"/>
        <v>6.9585099702380964</v>
      </c>
      <c r="J51" s="5">
        <f t="shared" si="2"/>
        <v>0</v>
      </c>
      <c r="K51" s="5">
        <f t="shared" si="2"/>
        <v>0</v>
      </c>
      <c r="L51" s="5">
        <f t="shared" si="2"/>
        <v>0</v>
      </c>
    </row>
    <row r="52" spans="3:12" x14ac:dyDescent="0.25">
      <c r="C52" s="1" t="s">
        <v>42</v>
      </c>
      <c r="D52" s="5">
        <f t="shared" si="2"/>
        <v>15.338995714285712</v>
      </c>
      <c r="E52" s="5">
        <f t="shared" si="2"/>
        <v>10.131483809523811</v>
      </c>
      <c r="F52" s="5">
        <f t="shared" si="2"/>
        <v>8.2001809523809559</v>
      </c>
      <c r="G52" s="5">
        <f t="shared" si="2"/>
        <v>8.1734869047619068</v>
      </c>
      <c r="H52" s="5">
        <f t="shared" si="2"/>
        <v>7.7520330357142875</v>
      </c>
      <c r="I52" s="5">
        <f t="shared" si="2"/>
        <v>7.7691383928571458</v>
      </c>
      <c r="J52" s="5">
        <f t="shared" si="2"/>
        <v>8.0010744047619049</v>
      </c>
      <c r="K52" s="5">
        <f t="shared" si="2"/>
        <v>0</v>
      </c>
      <c r="L52" s="5">
        <f t="shared" si="2"/>
        <v>0</v>
      </c>
    </row>
    <row r="53" spans="3:12" x14ac:dyDescent="0.25">
      <c r="C53" s="1" t="s">
        <v>45</v>
      </c>
      <c r="D53" s="5">
        <f t="shared" si="2"/>
        <v>0</v>
      </c>
      <c r="E53" s="5">
        <f t="shared" si="2"/>
        <v>0</v>
      </c>
      <c r="F53" s="5">
        <f t="shared" si="2"/>
        <v>0</v>
      </c>
      <c r="G53" s="5">
        <f t="shared" si="2"/>
        <v>0</v>
      </c>
      <c r="H53" s="5">
        <f t="shared" si="2"/>
        <v>0</v>
      </c>
      <c r="I53" s="5">
        <f t="shared" si="2"/>
        <v>0</v>
      </c>
      <c r="J53" s="5">
        <f t="shared" si="2"/>
        <v>0</v>
      </c>
      <c r="K53" s="5">
        <f t="shared" si="2"/>
        <v>0</v>
      </c>
      <c r="L53" s="5">
        <f t="shared" si="2"/>
        <v>0</v>
      </c>
    </row>
    <row r="54" spans="3:12" x14ac:dyDescent="0.25">
      <c r="C54" s="1" t="s">
        <v>9</v>
      </c>
      <c r="D54" s="5">
        <f t="shared" si="2"/>
        <v>85.457290476190479</v>
      </c>
      <c r="E54" s="5">
        <f t="shared" si="2"/>
        <v>66.880102380952394</v>
      </c>
      <c r="F54" s="5">
        <f t="shared" si="2"/>
        <v>58.936184523809516</v>
      </c>
      <c r="G54" s="5">
        <f t="shared" si="2"/>
        <v>0</v>
      </c>
      <c r="H54" s="5">
        <f t="shared" si="2"/>
        <v>0</v>
      </c>
      <c r="I54" s="5">
        <f t="shared" si="2"/>
        <v>0</v>
      </c>
      <c r="J54" s="5">
        <f t="shared" si="2"/>
        <v>0</v>
      </c>
      <c r="K54" s="5">
        <f t="shared" si="2"/>
        <v>0</v>
      </c>
      <c r="L54" s="5">
        <f t="shared" si="2"/>
        <v>0</v>
      </c>
    </row>
    <row r="55" spans="3:12" x14ac:dyDescent="0.25">
      <c r="C55" s="22"/>
      <c r="D55" s="23"/>
      <c r="E55" s="23"/>
      <c r="F55" s="23"/>
      <c r="G55" s="23"/>
      <c r="H55" s="23"/>
      <c r="I55" s="23"/>
      <c r="J55" s="23"/>
      <c r="K55" s="23"/>
      <c r="L55" s="23"/>
    </row>
    <row r="60" spans="3:12" x14ac:dyDescent="0.25">
      <c r="C60" s="1">
        <v>50</v>
      </c>
      <c r="D60" s="2">
        <v>2</v>
      </c>
      <c r="E60" s="3">
        <v>4</v>
      </c>
      <c r="F60" s="2">
        <v>8</v>
      </c>
      <c r="G60" s="2">
        <v>16</v>
      </c>
      <c r="H60" s="2">
        <v>32</v>
      </c>
      <c r="I60" s="2">
        <v>64</v>
      </c>
      <c r="J60" s="2">
        <v>128</v>
      </c>
      <c r="K60" s="2">
        <v>256</v>
      </c>
      <c r="L60" s="2">
        <v>512</v>
      </c>
    </row>
    <row r="61" spans="3:12" x14ac:dyDescent="0.25">
      <c r="C61" s="1"/>
      <c r="D61" s="4">
        <v>42</v>
      </c>
      <c r="E61" s="4">
        <v>84</v>
      </c>
      <c r="F61" s="4">
        <v>168</v>
      </c>
      <c r="G61" s="4">
        <v>336</v>
      </c>
      <c r="H61" s="4">
        <v>672</v>
      </c>
      <c r="I61" s="4">
        <v>1344</v>
      </c>
      <c r="J61" s="4">
        <v>2688</v>
      </c>
      <c r="K61" s="4">
        <v>5376</v>
      </c>
      <c r="L61" s="4">
        <v>10752</v>
      </c>
    </row>
    <row r="62" spans="3:12" x14ac:dyDescent="0.25">
      <c r="C62" s="1" t="s">
        <v>1</v>
      </c>
      <c r="D62" s="12">
        <f t="shared" ref="D62:L77" si="3">D$3/D3</f>
        <v>1</v>
      </c>
      <c r="E62" s="12">
        <f t="shared" si="3"/>
        <v>1</v>
      </c>
      <c r="F62" s="12">
        <f t="shared" si="3"/>
        <v>1</v>
      </c>
      <c r="G62" s="12">
        <f t="shared" si="3"/>
        <v>1</v>
      </c>
      <c r="H62" s="12">
        <f t="shared" si="3"/>
        <v>1</v>
      </c>
      <c r="I62" s="12">
        <f t="shared" si="3"/>
        <v>1</v>
      </c>
      <c r="J62" s="12">
        <f t="shared" si="3"/>
        <v>1</v>
      </c>
      <c r="K62" s="12" t="e">
        <f t="shared" si="3"/>
        <v>#DIV/0!</v>
      </c>
      <c r="L62" s="12" t="e">
        <f t="shared" si="3"/>
        <v>#DIV/0!</v>
      </c>
    </row>
    <row r="63" spans="3:12" x14ac:dyDescent="0.25">
      <c r="C63" s="1" t="s">
        <v>25</v>
      </c>
      <c r="D63" s="12">
        <f t="shared" si="3"/>
        <v>11.650599933763989</v>
      </c>
      <c r="E63" s="12">
        <f t="shared" si="3"/>
        <v>10.400677441188487</v>
      </c>
      <c r="F63" s="12">
        <f t="shared" si="3"/>
        <v>14.856560097402966</v>
      </c>
      <c r="G63" s="12">
        <f t="shared" si="3"/>
        <v>11.163182304101703</v>
      </c>
      <c r="H63" s="12" t="e">
        <f t="shared" si="3"/>
        <v>#DIV/0!</v>
      </c>
      <c r="I63" s="12" t="e">
        <f t="shared" si="3"/>
        <v>#DIV/0!</v>
      </c>
      <c r="J63" s="12" t="e">
        <f t="shared" si="3"/>
        <v>#DIV/0!</v>
      </c>
      <c r="K63" s="12" t="e">
        <f t="shared" si="3"/>
        <v>#DIV/0!</v>
      </c>
      <c r="L63" s="12" t="e">
        <f t="shared" si="3"/>
        <v>#DIV/0!</v>
      </c>
    </row>
    <row r="64" spans="3:12" x14ac:dyDescent="0.25">
      <c r="C64" s="1" t="s">
        <v>26</v>
      </c>
      <c r="D64" s="12">
        <f t="shared" si="3"/>
        <v>15.040560401329341</v>
      </c>
      <c r="E64" s="12">
        <f t="shared" si="3"/>
        <v>17.552862506832856</v>
      </c>
      <c r="F64" s="12">
        <f t="shared" si="3"/>
        <v>18.449802814129754</v>
      </c>
      <c r="G64" s="12">
        <f t="shared" si="3"/>
        <v>19.344364936881149</v>
      </c>
      <c r="H64" s="12">
        <f t="shared" si="3"/>
        <v>18.238885935660445</v>
      </c>
      <c r="I64" s="12">
        <f t="shared" si="3"/>
        <v>17.990998969700794</v>
      </c>
      <c r="J64" s="12">
        <f t="shared" si="3"/>
        <v>18.107713547584915</v>
      </c>
      <c r="K64" s="12" t="e">
        <f t="shared" si="3"/>
        <v>#DIV/0!</v>
      </c>
      <c r="L64" s="12" t="e">
        <f t="shared" si="3"/>
        <v>#DIV/0!</v>
      </c>
    </row>
    <row r="65" spans="3:12" x14ac:dyDescent="0.25">
      <c r="C65" s="1" t="s">
        <v>27</v>
      </c>
      <c r="D65" s="12">
        <f t="shared" si="3"/>
        <v>16.614502252389816</v>
      </c>
      <c r="E65" s="12">
        <f t="shared" si="3"/>
        <v>23.698660459919846</v>
      </c>
      <c r="F65" s="12">
        <f t="shared" si="3"/>
        <v>33.625620476953245</v>
      </c>
      <c r="G65" s="12">
        <f t="shared" si="3"/>
        <v>38.180109904433614</v>
      </c>
      <c r="H65" s="12">
        <f t="shared" si="3"/>
        <v>37.343904656179134</v>
      </c>
      <c r="I65" s="12">
        <f t="shared" si="3"/>
        <v>38.829221404955071</v>
      </c>
      <c r="J65" s="12">
        <f t="shared" si="3"/>
        <v>41.386496085207554</v>
      </c>
      <c r="K65" s="12" t="e">
        <f t="shared" si="3"/>
        <v>#DIV/0!</v>
      </c>
      <c r="L65" s="12" t="e">
        <f t="shared" si="3"/>
        <v>#DIV/0!</v>
      </c>
    </row>
    <row r="66" spans="3:12" x14ac:dyDescent="0.25">
      <c r="C66" s="1" t="s">
        <v>28</v>
      </c>
      <c r="D66" s="12">
        <f t="shared" si="3"/>
        <v>11.680854233464252</v>
      </c>
      <c r="E66" s="12">
        <f t="shared" si="3"/>
        <v>10.421332206303045</v>
      </c>
      <c r="F66" s="12">
        <f t="shared" si="3"/>
        <v>14.892793772839608</v>
      </c>
      <c r="G66" s="12">
        <f t="shared" si="3"/>
        <v>11.147461002897897</v>
      </c>
      <c r="H66" s="12" t="e">
        <f t="shared" si="3"/>
        <v>#DIV/0!</v>
      </c>
      <c r="I66" s="12" t="e">
        <f t="shared" si="3"/>
        <v>#DIV/0!</v>
      </c>
      <c r="J66" s="12" t="e">
        <f t="shared" si="3"/>
        <v>#DIV/0!</v>
      </c>
      <c r="K66" s="12" t="e">
        <f t="shared" si="3"/>
        <v>#DIV/0!</v>
      </c>
      <c r="L66" s="12" t="e">
        <f t="shared" si="3"/>
        <v>#DIV/0!</v>
      </c>
    </row>
    <row r="67" spans="3:12" x14ac:dyDescent="0.25">
      <c r="C67" s="1" t="s">
        <v>29</v>
      </c>
      <c r="D67" s="12">
        <f t="shared" si="3"/>
        <v>15.202093383903074</v>
      </c>
      <c r="E67" s="12">
        <f t="shared" si="3"/>
        <v>17.690582116777179</v>
      </c>
      <c r="F67" s="12">
        <f t="shared" si="3"/>
        <v>19.288572233682231</v>
      </c>
      <c r="G67" s="12">
        <f t="shared" si="3"/>
        <v>19.474286206704196</v>
      </c>
      <c r="H67" s="12">
        <f t="shared" si="3"/>
        <v>18.452535604327451</v>
      </c>
      <c r="I67" s="12">
        <f t="shared" si="3"/>
        <v>17.892646037601008</v>
      </c>
      <c r="J67" s="12">
        <f t="shared" si="3"/>
        <v>18.100441468405897</v>
      </c>
      <c r="K67" s="12" t="e">
        <f t="shared" si="3"/>
        <v>#DIV/0!</v>
      </c>
      <c r="L67" s="12" t="e">
        <f t="shared" si="3"/>
        <v>#DIV/0!</v>
      </c>
    </row>
    <row r="68" spans="3:12" x14ac:dyDescent="0.25">
      <c r="C68" s="1" t="s">
        <v>30</v>
      </c>
      <c r="D68" s="12">
        <f t="shared" si="3"/>
        <v>16.774653415469565</v>
      </c>
      <c r="E68" s="12">
        <f t="shared" si="3"/>
        <v>23.847072990897541</v>
      </c>
      <c r="F68" s="12">
        <f t="shared" si="3"/>
        <v>33.902610216761786</v>
      </c>
      <c r="G68" s="12">
        <f t="shared" si="3"/>
        <v>38.397713768432439</v>
      </c>
      <c r="H68" s="12">
        <f t="shared" si="3"/>
        <v>37.086264167803023</v>
      </c>
      <c r="I68" s="12">
        <f t="shared" si="3"/>
        <v>39.143024625384626</v>
      </c>
      <c r="J68" s="12">
        <f t="shared" si="3"/>
        <v>41.372072627808791</v>
      </c>
      <c r="K68" s="12" t="e">
        <f t="shared" si="3"/>
        <v>#DIV/0!</v>
      </c>
      <c r="L68" s="12" t="e">
        <f t="shared" si="3"/>
        <v>#DIV/0!</v>
      </c>
    </row>
    <row r="69" spans="3:12" x14ac:dyDescent="0.25">
      <c r="C69" s="1" t="s">
        <v>31</v>
      </c>
      <c r="D69" s="12" t="e">
        <f t="shared" si="3"/>
        <v>#DIV/0!</v>
      </c>
      <c r="E69" s="12" t="e">
        <f t="shared" si="3"/>
        <v>#DIV/0!</v>
      </c>
      <c r="F69" s="12" t="e">
        <f t="shared" si="3"/>
        <v>#DIV/0!</v>
      </c>
      <c r="G69" s="12" t="e">
        <f t="shared" si="3"/>
        <v>#DIV/0!</v>
      </c>
      <c r="H69" s="12" t="e">
        <f t="shared" si="3"/>
        <v>#DIV/0!</v>
      </c>
      <c r="I69" s="12" t="e">
        <f t="shared" si="3"/>
        <v>#DIV/0!</v>
      </c>
      <c r="J69" s="12" t="e">
        <f t="shared" si="3"/>
        <v>#DIV/0!</v>
      </c>
      <c r="K69" s="12" t="e">
        <f t="shared" si="3"/>
        <v>#DIV/0!</v>
      </c>
      <c r="L69" s="12" t="e">
        <f t="shared" si="3"/>
        <v>#DIV/0!</v>
      </c>
    </row>
    <row r="70" spans="3:12" x14ac:dyDescent="0.25">
      <c r="C70" s="1" t="s">
        <v>32</v>
      </c>
      <c r="D70" s="12" t="e">
        <f t="shared" si="3"/>
        <v>#DIV/0!</v>
      </c>
      <c r="E70" s="12" t="e">
        <f t="shared" si="3"/>
        <v>#DIV/0!</v>
      </c>
      <c r="F70" s="12" t="e">
        <f t="shared" si="3"/>
        <v>#DIV/0!</v>
      </c>
      <c r="G70" s="12" t="e">
        <f t="shared" si="3"/>
        <v>#DIV/0!</v>
      </c>
      <c r="H70" s="12" t="e">
        <f t="shared" si="3"/>
        <v>#DIV/0!</v>
      </c>
      <c r="I70" s="12" t="e">
        <f t="shared" si="3"/>
        <v>#DIV/0!</v>
      </c>
      <c r="J70" s="12" t="e">
        <f t="shared" si="3"/>
        <v>#DIV/0!</v>
      </c>
      <c r="K70" s="12" t="e">
        <f t="shared" si="3"/>
        <v>#DIV/0!</v>
      </c>
      <c r="L70" s="12" t="e">
        <f t="shared" si="3"/>
        <v>#DIV/0!</v>
      </c>
    </row>
    <row r="71" spans="3:12" x14ac:dyDescent="0.25">
      <c r="C71" s="1" t="s">
        <v>33</v>
      </c>
      <c r="D71" s="12" t="e">
        <f t="shared" si="3"/>
        <v>#DIV/0!</v>
      </c>
      <c r="E71" s="12" t="e">
        <f t="shared" si="3"/>
        <v>#DIV/0!</v>
      </c>
      <c r="F71" s="12" t="e">
        <f t="shared" si="3"/>
        <v>#DIV/0!</v>
      </c>
      <c r="G71" s="12" t="e">
        <f t="shared" si="3"/>
        <v>#DIV/0!</v>
      </c>
      <c r="H71" s="12" t="e">
        <f t="shared" si="3"/>
        <v>#DIV/0!</v>
      </c>
      <c r="I71" s="12" t="e">
        <f t="shared" si="3"/>
        <v>#DIV/0!</v>
      </c>
      <c r="J71" s="12" t="e">
        <f t="shared" si="3"/>
        <v>#DIV/0!</v>
      </c>
      <c r="K71" s="12" t="e">
        <f t="shared" si="3"/>
        <v>#DIV/0!</v>
      </c>
      <c r="L71" s="12" t="e">
        <f t="shared" si="3"/>
        <v>#DIV/0!</v>
      </c>
    </row>
    <row r="72" spans="3:12" x14ac:dyDescent="0.25">
      <c r="C72" s="1" t="s">
        <v>34</v>
      </c>
      <c r="D72" s="12">
        <f t="shared" si="3"/>
        <v>15.979183650163835</v>
      </c>
      <c r="E72" s="12">
        <f t="shared" si="3"/>
        <v>15.712493240035753</v>
      </c>
      <c r="F72" s="12">
        <f t="shared" si="3"/>
        <v>14.624836529993692</v>
      </c>
      <c r="G72" s="12">
        <f t="shared" si="3"/>
        <v>11.115432125256282</v>
      </c>
      <c r="H72" s="12" t="e">
        <f t="shared" si="3"/>
        <v>#DIV/0!</v>
      </c>
      <c r="I72" s="12" t="e">
        <f t="shared" si="3"/>
        <v>#DIV/0!</v>
      </c>
      <c r="J72" s="12" t="e">
        <f t="shared" si="3"/>
        <v>#DIV/0!</v>
      </c>
      <c r="K72" s="12" t="e">
        <f t="shared" si="3"/>
        <v>#DIV/0!</v>
      </c>
      <c r="L72" s="12" t="e">
        <f t="shared" si="3"/>
        <v>#DIV/0!</v>
      </c>
    </row>
    <row r="73" spans="3:12" x14ac:dyDescent="0.25">
      <c r="C73" s="1" t="s">
        <v>35</v>
      </c>
      <c r="D73" s="12">
        <f t="shared" si="3"/>
        <v>16.887432359596087</v>
      </c>
      <c r="E73" s="12">
        <f t="shared" si="3"/>
        <v>19.547884210031878</v>
      </c>
      <c r="F73" s="12">
        <f t="shared" si="3"/>
        <v>18.409071949171889</v>
      </c>
      <c r="G73" s="12">
        <f t="shared" si="3"/>
        <v>19.296596629802078</v>
      </c>
      <c r="H73" s="12">
        <f t="shared" si="3"/>
        <v>18.470174030239544</v>
      </c>
      <c r="I73" s="12">
        <f t="shared" si="3"/>
        <v>18.385518114990969</v>
      </c>
      <c r="J73" s="12" t="e">
        <f t="shared" si="3"/>
        <v>#DIV/0!</v>
      </c>
      <c r="K73" s="12" t="e">
        <f t="shared" si="3"/>
        <v>#DIV/0!</v>
      </c>
      <c r="L73" s="12" t="e">
        <f t="shared" si="3"/>
        <v>#DIV/0!</v>
      </c>
    </row>
    <row r="74" spans="3:12" x14ac:dyDescent="0.25">
      <c r="C74" s="1" t="s">
        <v>36</v>
      </c>
      <c r="D74" s="12">
        <f t="shared" si="3"/>
        <v>17.849626170914057</v>
      </c>
      <c r="E74" s="12">
        <f t="shared" si="3"/>
        <v>25.243894034247081</v>
      </c>
      <c r="F74" s="12">
        <f t="shared" si="3"/>
        <v>33.428857823561714</v>
      </c>
      <c r="G74" s="12">
        <f t="shared" si="3"/>
        <v>37.923926788768732</v>
      </c>
      <c r="H74" s="12">
        <f t="shared" si="3"/>
        <v>38.028554719668932</v>
      </c>
      <c r="I74" s="12">
        <f t="shared" si="3"/>
        <v>40.982830081959733</v>
      </c>
      <c r="J74" s="12" t="e">
        <f t="shared" si="3"/>
        <v>#DIV/0!</v>
      </c>
      <c r="K74" s="12" t="e">
        <f t="shared" si="3"/>
        <v>#DIV/0!</v>
      </c>
      <c r="L74" s="12" t="e">
        <f t="shared" si="3"/>
        <v>#DIV/0!</v>
      </c>
    </row>
    <row r="75" spans="3:12" x14ac:dyDescent="0.25">
      <c r="C75" s="1" t="s">
        <v>38</v>
      </c>
      <c r="D75" s="12">
        <f t="shared" si="3"/>
        <v>16.076885054435657</v>
      </c>
      <c r="E75" s="12">
        <f t="shared" si="3"/>
        <v>15.768108932083425</v>
      </c>
      <c r="F75" s="12">
        <f t="shared" si="3"/>
        <v>14.847740269750332</v>
      </c>
      <c r="G75" s="12">
        <f t="shared" si="3"/>
        <v>11.136608391410125</v>
      </c>
      <c r="H75" s="12" t="e">
        <f t="shared" si="3"/>
        <v>#DIV/0!</v>
      </c>
      <c r="I75" s="12" t="e">
        <f t="shared" si="3"/>
        <v>#DIV/0!</v>
      </c>
      <c r="J75" s="12" t="e">
        <f t="shared" si="3"/>
        <v>#DIV/0!</v>
      </c>
      <c r="K75" s="12" t="e">
        <f t="shared" si="3"/>
        <v>#DIV/0!</v>
      </c>
      <c r="L75" s="12" t="e">
        <f t="shared" si="3"/>
        <v>#DIV/0!</v>
      </c>
    </row>
    <row r="76" spans="3:12" x14ac:dyDescent="0.25">
      <c r="C76" s="1" t="s">
        <v>39</v>
      </c>
      <c r="D76" s="12">
        <f t="shared" si="3"/>
        <v>17.158568678494884</v>
      </c>
      <c r="E76" s="12">
        <f t="shared" si="3"/>
        <v>19.771542438429094</v>
      </c>
      <c r="F76" s="12">
        <f t="shared" si="3"/>
        <v>19.210638497011683</v>
      </c>
      <c r="G76" s="12">
        <f t="shared" si="3"/>
        <v>19.413691965340995</v>
      </c>
      <c r="H76" s="12">
        <f t="shared" si="3"/>
        <v>18.703170160561029</v>
      </c>
      <c r="I76" s="12">
        <f t="shared" si="3"/>
        <v>18.242897406489881</v>
      </c>
      <c r="J76" s="12" t="e">
        <f t="shared" si="3"/>
        <v>#DIV/0!</v>
      </c>
      <c r="K76" s="12" t="e">
        <f t="shared" si="3"/>
        <v>#DIV/0!</v>
      </c>
      <c r="L76" s="12" t="e">
        <f t="shared" si="3"/>
        <v>#DIV/0!</v>
      </c>
    </row>
    <row r="77" spans="3:12" x14ac:dyDescent="0.25">
      <c r="C77" s="1" t="s">
        <v>40</v>
      </c>
      <c r="D77" s="12">
        <f t="shared" si="3"/>
        <v>18.075099447344545</v>
      </c>
      <c r="E77" s="12">
        <f t="shared" si="3"/>
        <v>25.516177081764116</v>
      </c>
      <c r="F77" s="12">
        <f t="shared" si="3"/>
        <v>33.648682459895007</v>
      </c>
      <c r="G77" s="12">
        <f t="shared" si="3"/>
        <v>38.104404293551838</v>
      </c>
      <c r="H77" s="12">
        <f t="shared" si="3"/>
        <v>38.219821293386225</v>
      </c>
      <c r="I77" s="12">
        <f t="shared" si="3"/>
        <v>41.134626082418912</v>
      </c>
      <c r="J77" s="12" t="e">
        <f t="shared" si="3"/>
        <v>#DIV/0!</v>
      </c>
      <c r="K77" s="12" t="e">
        <f t="shared" si="3"/>
        <v>#DIV/0!</v>
      </c>
      <c r="L77" s="12" t="e">
        <f t="shared" si="3"/>
        <v>#DIV/0!</v>
      </c>
    </row>
    <row r="78" spans="3:12" x14ac:dyDescent="0.25">
      <c r="C78" s="1" t="s">
        <v>41</v>
      </c>
      <c r="D78" s="12">
        <f t="shared" ref="D78:L84" si="4">D$3/D19</f>
        <v>16.721519252194998</v>
      </c>
      <c r="E78" s="12">
        <f t="shared" si="4"/>
        <v>23.338937611834716</v>
      </c>
      <c r="F78" s="12">
        <f t="shared" si="4"/>
        <v>29.825656656245901</v>
      </c>
      <c r="G78" s="12">
        <f t="shared" si="4"/>
        <v>32.413932882198985</v>
      </c>
      <c r="H78" s="12">
        <f t="shared" si="4"/>
        <v>31.965869729805988</v>
      </c>
      <c r="I78" s="12">
        <f t="shared" si="4"/>
        <v>33.433773430847509</v>
      </c>
      <c r="J78" s="12">
        <f t="shared" si="4"/>
        <v>35.333366876151359</v>
      </c>
      <c r="K78" s="12" t="e">
        <f t="shared" si="4"/>
        <v>#DIV/0!</v>
      </c>
      <c r="L78" s="12" t="e">
        <f t="shared" si="4"/>
        <v>#DIV/0!</v>
      </c>
    </row>
    <row r="79" spans="3:12" x14ac:dyDescent="0.25">
      <c r="C79" s="1" t="s">
        <v>43</v>
      </c>
      <c r="D79" s="12">
        <f t="shared" si="4"/>
        <v>16.917410697051825</v>
      </c>
      <c r="E79" s="12">
        <f t="shared" si="4"/>
        <v>23.523410345440428</v>
      </c>
      <c r="F79" s="12">
        <f t="shared" si="4"/>
        <v>30.11145414641776</v>
      </c>
      <c r="G79" s="12">
        <f t="shared" si="4"/>
        <v>32.604351922593004</v>
      </c>
      <c r="H79" s="12">
        <f t="shared" si="4"/>
        <v>31.832293111821279</v>
      </c>
      <c r="I79" s="12">
        <f t="shared" si="4"/>
        <v>33.545776266477702</v>
      </c>
      <c r="J79" s="12">
        <f t="shared" si="4"/>
        <v>35.363395146534742</v>
      </c>
      <c r="K79" s="12" t="e">
        <f t="shared" si="4"/>
        <v>#DIV/0!</v>
      </c>
      <c r="L79" s="12" t="e">
        <f t="shared" si="4"/>
        <v>#DIV/0!</v>
      </c>
    </row>
    <row r="80" spans="3:12" x14ac:dyDescent="0.25">
      <c r="C80" s="1" t="s">
        <v>44</v>
      </c>
      <c r="D80" s="12">
        <f t="shared" si="4"/>
        <v>12.529926341105966</v>
      </c>
      <c r="E80" s="12">
        <f t="shared" si="4"/>
        <v>17.148217507395191</v>
      </c>
      <c r="F80" s="12">
        <f t="shared" si="4"/>
        <v>22.808114184245856</v>
      </c>
      <c r="G80" s="12">
        <f t="shared" si="4"/>
        <v>22.359952507727005</v>
      </c>
      <c r="H80" s="12">
        <f t="shared" si="4"/>
        <v>22.812383744047519</v>
      </c>
      <c r="I80" s="12">
        <f t="shared" si="4"/>
        <v>22.485647178336592</v>
      </c>
      <c r="J80" s="12">
        <f t="shared" si="4"/>
        <v>21.978447337249726</v>
      </c>
      <c r="K80" s="12" t="e">
        <f t="shared" si="4"/>
        <v>#DIV/0!</v>
      </c>
      <c r="L80" s="12" t="e">
        <f t="shared" si="4"/>
        <v>#DIV/0!</v>
      </c>
    </row>
    <row r="81" spans="3:12" x14ac:dyDescent="0.25">
      <c r="C81" s="1" t="s">
        <v>37</v>
      </c>
      <c r="D81" s="12">
        <f t="shared" si="4"/>
        <v>12.966402298689125</v>
      </c>
      <c r="E81" s="12">
        <f t="shared" si="4"/>
        <v>18.181144935364951</v>
      </c>
      <c r="F81" s="12">
        <f t="shared" si="4"/>
        <v>22.754191134111455</v>
      </c>
      <c r="G81" s="12">
        <f t="shared" si="4"/>
        <v>22.196856893890843</v>
      </c>
      <c r="H81" s="12">
        <f t="shared" si="4"/>
        <v>23.180558098149096</v>
      </c>
      <c r="I81" s="12">
        <f t="shared" si="4"/>
        <v>22.872439059342096</v>
      </c>
      <c r="J81" s="12" t="e">
        <f t="shared" si="4"/>
        <v>#DIV/0!</v>
      </c>
      <c r="K81" s="12" t="e">
        <f t="shared" si="4"/>
        <v>#DIV/0!</v>
      </c>
      <c r="L81" s="12" t="e">
        <f t="shared" si="4"/>
        <v>#DIV/0!</v>
      </c>
    </row>
    <row r="82" spans="3:12" x14ac:dyDescent="0.25">
      <c r="C82" s="1" t="s">
        <v>42</v>
      </c>
      <c r="D82" s="12">
        <f t="shared" si="4"/>
        <v>12.380201149941806</v>
      </c>
      <c r="E82" s="12">
        <f t="shared" si="4"/>
        <v>17.164023264396562</v>
      </c>
      <c r="F82" s="12">
        <f t="shared" si="4"/>
        <v>20.471085713555674</v>
      </c>
      <c r="G82" s="12">
        <f t="shared" si="4"/>
        <v>19.881055602398519</v>
      </c>
      <c r="H82" s="12">
        <f t="shared" si="4"/>
        <v>20.733785234756578</v>
      </c>
      <c r="I82" s="12">
        <f t="shared" si="4"/>
        <v>20.485939005079807</v>
      </c>
      <c r="J82" s="12">
        <f t="shared" si="4"/>
        <v>20.113949540258918</v>
      </c>
      <c r="K82" s="12" t="e">
        <f t="shared" si="4"/>
        <v>#DIV/0!</v>
      </c>
      <c r="L82" s="12" t="e">
        <f t="shared" si="4"/>
        <v>#DIV/0!</v>
      </c>
    </row>
    <row r="83" spans="3:12" x14ac:dyDescent="0.25">
      <c r="C83" s="1" t="s">
        <v>45</v>
      </c>
      <c r="D83" s="12" t="e">
        <f t="shared" si="4"/>
        <v>#DIV/0!</v>
      </c>
      <c r="E83" s="12" t="e">
        <f t="shared" si="4"/>
        <v>#DIV/0!</v>
      </c>
      <c r="F83" s="12" t="e">
        <f t="shared" si="4"/>
        <v>#DIV/0!</v>
      </c>
      <c r="G83" s="12" t="e">
        <f t="shared" si="4"/>
        <v>#DIV/0!</v>
      </c>
      <c r="H83" s="12" t="e">
        <f t="shared" si="4"/>
        <v>#DIV/0!</v>
      </c>
      <c r="I83" s="12" t="e">
        <f t="shared" si="4"/>
        <v>#DIV/0!</v>
      </c>
      <c r="J83" s="12" t="e">
        <f t="shared" si="4"/>
        <v>#DIV/0!</v>
      </c>
      <c r="K83" s="12" t="e">
        <f t="shared" si="4"/>
        <v>#DIV/0!</v>
      </c>
      <c r="L83" s="12" t="e">
        <f t="shared" si="4"/>
        <v>#DIV/0!</v>
      </c>
    </row>
    <row r="84" spans="3:12" x14ac:dyDescent="0.25">
      <c r="C84" s="1" t="s">
        <v>9</v>
      </c>
      <c r="D84" s="12">
        <f t="shared" si="4"/>
        <v>2.2221609335234072</v>
      </c>
      <c r="E84" s="12">
        <f t="shared" si="4"/>
        <v>2.600130945060426</v>
      </c>
      <c r="F84" s="12">
        <f t="shared" si="4"/>
        <v>2.8482774801114079</v>
      </c>
      <c r="G84" s="12" t="e">
        <f t="shared" si="4"/>
        <v>#DIV/0!</v>
      </c>
      <c r="H84" s="12" t="e">
        <f t="shared" si="4"/>
        <v>#DIV/0!</v>
      </c>
      <c r="I84" s="12" t="e">
        <f t="shared" si="4"/>
        <v>#DIV/0!</v>
      </c>
      <c r="J84" s="12" t="e">
        <f t="shared" si="4"/>
        <v>#DIV/0!</v>
      </c>
      <c r="K84" s="12" t="e">
        <f t="shared" si="4"/>
        <v>#DIV/0!</v>
      </c>
      <c r="L84" s="12" t="e">
        <f t="shared" si="4"/>
        <v>#DIV/0!</v>
      </c>
    </row>
    <row r="91" spans="3:12" x14ac:dyDescent="0.25">
      <c r="C91" t="s">
        <v>3</v>
      </c>
    </row>
    <row r="92" spans="3:12" x14ac:dyDescent="0.25">
      <c r="C92" s="1">
        <v>50</v>
      </c>
      <c r="D92" s="2">
        <v>2</v>
      </c>
      <c r="E92" s="3">
        <v>4</v>
      </c>
      <c r="F92" s="2">
        <v>8</v>
      </c>
      <c r="G92" s="2">
        <v>16</v>
      </c>
      <c r="H92" s="2">
        <v>32</v>
      </c>
      <c r="I92" s="2">
        <v>64</v>
      </c>
      <c r="J92" s="2">
        <v>128</v>
      </c>
      <c r="K92" s="2">
        <v>256</v>
      </c>
      <c r="L92" s="2">
        <v>512</v>
      </c>
    </row>
    <row r="93" spans="3:12" x14ac:dyDescent="0.25">
      <c r="C93" s="1"/>
      <c r="D93" s="4">
        <v>42</v>
      </c>
      <c r="E93" s="4">
        <v>84</v>
      </c>
      <c r="F93" s="4">
        <v>168</v>
      </c>
      <c r="G93" s="4">
        <v>336</v>
      </c>
      <c r="H93" s="4">
        <v>672</v>
      </c>
      <c r="I93" s="4">
        <v>1344</v>
      </c>
      <c r="J93" s="4">
        <v>2688</v>
      </c>
      <c r="K93" s="4">
        <v>5376</v>
      </c>
      <c r="L93" s="4">
        <v>10752</v>
      </c>
    </row>
    <row r="94" spans="3:12" x14ac:dyDescent="0.25">
      <c r="C94" s="1" t="s">
        <v>1</v>
      </c>
      <c r="D94" s="1">
        <v>1998.1343095599966</v>
      </c>
      <c r="E94" s="1">
        <v>4766.9475919999995</v>
      </c>
      <c r="F94" s="1">
        <v>11482.911653999981</v>
      </c>
      <c r="G94" s="1">
        <v>29721.575293000082</v>
      </c>
      <c r="H94" s="1">
        <v>114445.54827099999</v>
      </c>
      <c r="I94" s="1">
        <v>131794.52498199997</v>
      </c>
      <c r="J94" s="1">
        <v>123636.6179999999</v>
      </c>
      <c r="K94" s="1"/>
      <c r="L94" s="1"/>
    </row>
    <row r="95" spans="3:12" x14ac:dyDescent="0.25">
      <c r="C95" s="1" t="s">
        <v>25</v>
      </c>
      <c r="D95" s="1">
        <v>469.07506547399998</v>
      </c>
      <c r="E95" s="1">
        <v>14.92488304000004</v>
      </c>
      <c r="F95" s="1">
        <v>17.117013000000007</v>
      </c>
      <c r="G95" s="1">
        <v>13.775956880000184</v>
      </c>
      <c r="H95" s="1"/>
      <c r="I95" s="1"/>
      <c r="J95" s="1"/>
      <c r="K95" s="1"/>
      <c r="L95" s="1"/>
    </row>
    <row r="96" spans="3:12" x14ac:dyDescent="0.25">
      <c r="C96" s="1" t="s">
        <v>26</v>
      </c>
      <c r="D96" s="1">
        <v>38.950761069199977</v>
      </c>
      <c r="E96" s="1">
        <v>1.1164361223999928</v>
      </c>
      <c r="F96" s="1">
        <v>17.10382516</v>
      </c>
      <c r="G96" s="1">
        <v>105.47773512000015</v>
      </c>
      <c r="H96" s="1">
        <v>26774.605183359996</v>
      </c>
      <c r="I96" s="1">
        <v>998.41305800000316</v>
      </c>
      <c r="J96" s="1">
        <v>3645.5142279999923</v>
      </c>
      <c r="K96" s="1"/>
      <c r="L96" s="1"/>
    </row>
    <row r="97" spans="3:12" x14ac:dyDescent="0.25">
      <c r="C97" s="1" t="s">
        <v>27</v>
      </c>
      <c r="D97" s="1">
        <v>0.33929781599999675</v>
      </c>
      <c r="E97" s="1">
        <v>0.96992117600000327</v>
      </c>
      <c r="F97" s="1">
        <v>1.5899372095999993</v>
      </c>
      <c r="G97" s="1">
        <v>4.4465569999999399</v>
      </c>
      <c r="H97" s="1">
        <v>20429.799158720001</v>
      </c>
      <c r="I97" s="1">
        <v>1103.1118950000011</v>
      </c>
      <c r="J97" s="1">
        <v>962.47794700000009</v>
      </c>
      <c r="K97" s="1"/>
      <c r="L97" s="1"/>
    </row>
    <row r="98" spans="3:12" x14ac:dyDescent="0.25">
      <c r="C98" s="1" t="s">
        <v>46</v>
      </c>
      <c r="D98" s="1">
        <v>149.51334610440011</v>
      </c>
      <c r="E98" s="1">
        <v>168.10769636000001</v>
      </c>
      <c r="F98" s="1">
        <v>3.506287360000008</v>
      </c>
      <c r="G98" s="1">
        <v>3.855017000000152</v>
      </c>
      <c r="H98" s="1"/>
      <c r="I98" s="1"/>
      <c r="J98" s="1"/>
      <c r="K98" s="1"/>
      <c r="L98" s="1"/>
    </row>
    <row r="99" spans="3:12" x14ac:dyDescent="0.25">
      <c r="C99" s="1" t="s">
        <v>29</v>
      </c>
      <c r="D99" s="1">
        <v>1.5063236851999948</v>
      </c>
      <c r="E99" s="1">
        <v>0.81431151200000307</v>
      </c>
      <c r="F99" s="1">
        <v>2.183659240000007</v>
      </c>
      <c r="G99" s="1">
        <v>17.548778599999974</v>
      </c>
      <c r="H99" s="1">
        <v>19504.044597679989</v>
      </c>
      <c r="I99" s="1">
        <v>1286.5468309999981</v>
      </c>
      <c r="J99" s="1">
        <v>612.92650500000298</v>
      </c>
      <c r="K99" s="1"/>
      <c r="L99" s="1"/>
    </row>
    <row r="100" spans="3:12" x14ac:dyDescent="0.25">
      <c r="C100" s="1" t="s">
        <v>30</v>
      </c>
      <c r="D100" s="1">
        <v>0.85883001000000714</v>
      </c>
      <c r="E100" s="1">
        <v>29.506241921999923</v>
      </c>
      <c r="F100" s="1">
        <v>1.4643786823999785</v>
      </c>
      <c r="G100" s="1">
        <v>3.0364205200000187</v>
      </c>
      <c r="H100" s="1">
        <v>22329.279521400011</v>
      </c>
      <c r="I100" s="1">
        <v>946.49661859999901</v>
      </c>
      <c r="J100" s="1">
        <v>2068.9098300000014</v>
      </c>
      <c r="K100" s="1"/>
      <c r="L100" s="1"/>
    </row>
    <row r="101" spans="3:12" x14ac:dyDescent="0.25">
      <c r="C101" s="1" t="s">
        <v>31</v>
      </c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 t="s">
        <v>32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 t="s">
        <v>33</v>
      </c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 t="s">
        <v>34</v>
      </c>
      <c r="D104" s="1">
        <v>205.95428376839999</v>
      </c>
      <c r="E104" s="1">
        <v>74.767424221199974</v>
      </c>
      <c r="F104" s="1">
        <v>19.577161800000077</v>
      </c>
      <c r="G104" s="1">
        <v>236.4285382800015</v>
      </c>
      <c r="H104" s="1"/>
      <c r="I104" s="1"/>
      <c r="J104" s="1"/>
      <c r="K104" s="1"/>
      <c r="L104" s="1"/>
    </row>
    <row r="105" spans="3:12" x14ac:dyDescent="0.25">
      <c r="C105" s="1" t="s">
        <v>35</v>
      </c>
      <c r="D105" s="1">
        <v>0.87430077759999958</v>
      </c>
      <c r="E105" s="1">
        <v>0.94722550440000652</v>
      </c>
      <c r="F105" s="1">
        <v>36.668675000000071</v>
      </c>
      <c r="G105" s="1">
        <v>32.847097800000022</v>
      </c>
      <c r="H105" s="1">
        <v>2015.4439505199996</v>
      </c>
      <c r="I105" s="1">
        <v>1927.7394909999937</v>
      </c>
      <c r="J105" s="1"/>
      <c r="K105" s="1"/>
      <c r="L105" s="1"/>
    </row>
    <row r="106" spans="3:12" x14ac:dyDescent="0.25">
      <c r="C106" s="1" t="s">
        <v>36</v>
      </c>
      <c r="D106" s="1">
        <v>0.68280281839999946</v>
      </c>
      <c r="E106" s="1">
        <v>0.69821030440000709</v>
      </c>
      <c r="F106" s="1">
        <v>10.138981072000005</v>
      </c>
      <c r="G106" s="1">
        <v>2.53768148000003</v>
      </c>
      <c r="H106" s="1">
        <v>1933.3071830000019</v>
      </c>
      <c r="I106" s="1">
        <v>2330.7226059200016</v>
      </c>
      <c r="J106" s="1"/>
      <c r="K106" s="1"/>
      <c r="L106" s="1"/>
    </row>
    <row r="107" spans="3:12" x14ac:dyDescent="0.25">
      <c r="C107" s="1" t="s">
        <v>38</v>
      </c>
      <c r="D107" s="1">
        <v>96.525900719199939</v>
      </c>
      <c r="E107" s="1">
        <v>35.535036964000007</v>
      </c>
      <c r="F107" s="1">
        <v>12.517016000000043</v>
      </c>
      <c r="G107" s="1">
        <v>56.346650839999128</v>
      </c>
      <c r="H107" s="1"/>
      <c r="I107" s="1"/>
      <c r="J107" s="1"/>
      <c r="K107" s="1"/>
      <c r="L107" s="1"/>
    </row>
    <row r="108" spans="3:12" x14ac:dyDescent="0.25">
      <c r="C108" s="1" t="s">
        <v>39</v>
      </c>
      <c r="D108" s="1">
        <v>21.525705925199954</v>
      </c>
      <c r="E108" s="1">
        <v>0.48257115560000524</v>
      </c>
      <c r="F108" s="1">
        <v>2.5335866799999947</v>
      </c>
      <c r="G108" s="1">
        <v>8.7727712800000113</v>
      </c>
      <c r="H108" s="1">
        <v>1656.4582789999993</v>
      </c>
      <c r="I108" s="1">
        <v>4221.2360899999958</v>
      </c>
      <c r="J108" s="1"/>
      <c r="K108" s="1"/>
      <c r="L108" s="1"/>
    </row>
    <row r="109" spans="3:12" x14ac:dyDescent="0.25">
      <c r="C109" s="1" t="s">
        <v>40</v>
      </c>
      <c r="D109" s="1">
        <v>0.47809381480000074</v>
      </c>
      <c r="E109" s="1">
        <v>15.802345229200025</v>
      </c>
      <c r="F109" s="1">
        <v>6.3399892836000005</v>
      </c>
      <c r="G109" s="1">
        <v>2.7343254800000261</v>
      </c>
      <c r="H109" s="1">
        <v>756.00105620000045</v>
      </c>
      <c r="I109" s="1">
        <v>1743.3269674000001</v>
      </c>
      <c r="J109" s="1"/>
      <c r="K109" s="1"/>
      <c r="L109" s="1"/>
    </row>
    <row r="110" spans="3:12" x14ac:dyDescent="0.25">
      <c r="C110" s="1" t="s">
        <v>41</v>
      </c>
      <c r="D110" s="1">
        <v>32.837311317199955</v>
      </c>
      <c r="E110" s="1">
        <v>0.93002338080000702</v>
      </c>
      <c r="F110" s="1">
        <v>26.318156249999969</v>
      </c>
      <c r="G110" s="1">
        <v>90.805369999999627</v>
      </c>
      <c r="H110" s="1">
        <v>19259.263171239996</v>
      </c>
      <c r="I110" s="1">
        <v>457.41734636000001</v>
      </c>
      <c r="J110" s="1">
        <v>1121.4604580000043</v>
      </c>
      <c r="K110" s="1"/>
      <c r="L110" s="1"/>
    </row>
    <row r="111" spans="3:12" x14ac:dyDescent="0.25">
      <c r="C111" s="1" t="s">
        <v>43</v>
      </c>
      <c r="D111" s="1">
        <v>0.31051329600000122</v>
      </c>
      <c r="E111" s="1">
        <v>15.806855297999963</v>
      </c>
      <c r="F111" s="1">
        <v>1.1604854003999954</v>
      </c>
      <c r="G111" s="1">
        <v>3.4532097199999643</v>
      </c>
      <c r="H111" s="1">
        <v>21464.449365879998</v>
      </c>
      <c r="I111" s="1">
        <v>440.61349588000189</v>
      </c>
      <c r="J111" s="1">
        <v>1133.8552199999986</v>
      </c>
      <c r="K111" s="1"/>
      <c r="L111" s="1"/>
    </row>
    <row r="112" spans="3:12" x14ac:dyDescent="0.25">
      <c r="C112" s="1" t="s">
        <v>8</v>
      </c>
      <c r="D112" s="1">
        <v>2.2310228036000197</v>
      </c>
      <c r="E112" s="1">
        <v>6.5293599263999784</v>
      </c>
      <c r="F112" s="1">
        <v>7.0277539600000649</v>
      </c>
      <c r="G112" s="1">
        <v>24.290712159999835</v>
      </c>
      <c r="H112" s="1">
        <v>5384.9902715600047</v>
      </c>
      <c r="I112" s="1">
        <v>4085.5098492400102</v>
      </c>
      <c r="J112" s="1">
        <v>1183.4080640000091</v>
      </c>
      <c r="K112" s="1"/>
      <c r="L112" s="1"/>
    </row>
    <row r="113" spans="3:12" x14ac:dyDescent="0.25">
      <c r="C113" s="1" t="s">
        <v>37</v>
      </c>
      <c r="D113" s="1">
        <v>1.9037857011999917</v>
      </c>
      <c r="E113" s="1">
        <v>36.12950548959995</v>
      </c>
      <c r="F113" s="1">
        <v>5.0340253600000322</v>
      </c>
      <c r="G113" s="1">
        <v>91.038634999999815</v>
      </c>
      <c r="H113" s="1">
        <v>3074.0298052400026</v>
      </c>
      <c r="I113" s="1">
        <v>1761.7435222799954</v>
      </c>
      <c r="J113" s="1"/>
      <c r="K113" s="1"/>
      <c r="L113" s="1"/>
    </row>
    <row r="114" spans="3:12" x14ac:dyDescent="0.25">
      <c r="C114" s="1" t="s">
        <v>42</v>
      </c>
      <c r="D114" s="1">
        <v>6.0404452019999946</v>
      </c>
      <c r="E114" s="1">
        <v>6.5895812260000222</v>
      </c>
      <c r="F114" s="1">
        <v>27.433092600000133</v>
      </c>
      <c r="G114" s="1">
        <v>41.676763280000365</v>
      </c>
      <c r="H114" s="1">
        <v>20640.837780720005</v>
      </c>
      <c r="I114" s="1">
        <v>839.69333400000141</v>
      </c>
      <c r="J114" s="1">
        <v>1105.5038529999986</v>
      </c>
      <c r="K114" s="1"/>
      <c r="L114" s="1"/>
    </row>
    <row r="115" spans="3:12" x14ac:dyDescent="0.25">
      <c r="C115" s="1" t="s">
        <v>10</v>
      </c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 t="s">
        <v>9</v>
      </c>
      <c r="D116" s="1">
        <v>133.46353411999982</v>
      </c>
      <c r="E116" s="1">
        <v>990.26487828000154</v>
      </c>
      <c r="F116" s="1">
        <v>8316.7247354399933</v>
      </c>
      <c r="G116" s="1"/>
      <c r="H116" s="1"/>
      <c r="I116" s="1"/>
      <c r="J116" s="1"/>
      <c r="K116" s="1"/>
      <c r="L116" s="1"/>
    </row>
    <row r="117" spans="3:12" x14ac:dyDescent="0.25">
      <c r="C117" s="1" t="s">
        <v>13</v>
      </c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 t="s">
        <v>14</v>
      </c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E119" s="110"/>
    </row>
    <row r="120" spans="3:12" x14ac:dyDescent="0.25">
      <c r="C120" t="s">
        <v>15</v>
      </c>
      <c r="D120">
        <v>1.96</v>
      </c>
      <c r="E120" s="110">
        <v>50</v>
      </c>
    </row>
    <row r="121" spans="3:12" x14ac:dyDescent="0.25">
      <c r="C121" s="1">
        <v>50</v>
      </c>
      <c r="D121" s="2">
        <v>2</v>
      </c>
      <c r="E121" s="3">
        <v>4</v>
      </c>
      <c r="F121" s="2">
        <v>8</v>
      </c>
      <c r="G121" s="2">
        <v>16</v>
      </c>
      <c r="H121" s="2">
        <v>32</v>
      </c>
      <c r="I121" s="2">
        <v>64</v>
      </c>
      <c r="J121" s="2">
        <v>128</v>
      </c>
      <c r="K121" s="2">
        <v>256</v>
      </c>
      <c r="L121" s="2">
        <v>512</v>
      </c>
    </row>
    <row r="122" spans="3:12" x14ac:dyDescent="0.25">
      <c r="C122" s="1"/>
      <c r="D122" s="4">
        <v>42</v>
      </c>
      <c r="E122" s="4">
        <v>84</v>
      </c>
      <c r="F122" s="4">
        <v>168</v>
      </c>
      <c r="G122" s="4">
        <v>336</v>
      </c>
      <c r="H122" s="4">
        <v>672</v>
      </c>
      <c r="I122" s="4">
        <v>1344</v>
      </c>
      <c r="J122" s="4">
        <v>2688</v>
      </c>
      <c r="K122" s="4">
        <v>5376</v>
      </c>
      <c r="L122" s="4">
        <v>10752</v>
      </c>
    </row>
    <row r="123" spans="3:12" x14ac:dyDescent="0.25">
      <c r="C123" s="1" t="s">
        <v>1</v>
      </c>
      <c r="D123" s="1">
        <f>$D$120*SQRT(D94)/SQRT($E$120)</f>
        <v>12.390345244266346</v>
      </c>
      <c r="E123" s="1">
        <f t="shared" ref="E123:L123" si="5">$D$120*SQRT(E94)/SQRT($E$120)</f>
        <v>19.137766781642625</v>
      </c>
      <c r="F123" s="1">
        <f t="shared" si="5"/>
        <v>29.702778795932989</v>
      </c>
      <c r="G123" s="1">
        <f t="shared" si="5"/>
        <v>47.786693471214157</v>
      </c>
      <c r="H123" s="1">
        <f t="shared" si="5"/>
        <v>93.77142616361057</v>
      </c>
      <c r="I123" s="1">
        <f t="shared" si="5"/>
        <v>100.62821146883722</v>
      </c>
      <c r="J123" s="1">
        <f t="shared" si="5"/>
        <v>97.464088946524257</v>
      </c>
      <c r="K123" s="1">
        <f t="shared" si="5"/>
        <v>0</v>
      </c>
      <c r="L123" s="1">
        <f t="shared" si="5"/>
        <v>0</v>
      </c>
    </row>
    <row r="124" spans="3:12" x14ac:dyDescent="0.25">
      <c r="C124" s="1" t="s">
        <v>25</v>
      </c>
      <c r="D124" s="1">
        <f t="shared" ref="D124:L139" si="6">$D$120*SQRT(D95)/SQRT($E$120)</f>
        <v>6.0033303615991658</v>
      </c>
      <c r="E124" s="1">
        <f t="shared" si="6"/>
        <v>1.070844813093514</v>
      </c>
      <c r="F124" s="1">
        <f t="shared" si="6"/>
        <v>1.1467930688733692</v>
      </c>
      <c r="G124" s="1">
        <f t="shared" si="6"/>
        <v>1.0288023712084717</v>
      </c>
      <c r="H124" s="1">
        <f t="shared" si="6"/>
        <v>0</v>
      </c>
      <c r="I124" s="1">
        <f t="shared" si="6"/>
        <v>0</v>
      </c>
      <c r="J124" s="1">
        <f t="shared" si="6"/>
        <v>0</v>
      </c>
      <c r="K124" s="1">
        <f t="shared" si="6"/>
        <v>0</v>
      </c>
      <c r="L124" s="1">
        <f t="shared" si="6"/>
        <v>0</v>
      </c>
    </row>
    <row r="125" spans="3:12" x14ac:dyDescent="0.25">
      <c r="C125" s="1" t="s">
        <v>26</v>
      </c>
      <c r="D125" s="1">
        <f t="shared" si="6"/>
        <v>1.7299320433094396</v>
      </c>
      <c r="E125" s="1">
        <f t="shared" si="6"/>
        <v>0.29287884893968746</v>
      </c>
      <c r="F125" s="1">
        <f t="shared" si="6"/>
        <v>1.1463512091384209</v>
      </c>
      <c r="G125" s="1">
        <f t="shared" si="6"/>
        <v>2.8467640128292775</v>
      </c>
      <c r="H125" s="1">
        <f t="shared" si="6"/>
        <v>45.355776538914149</v>
      </c>
      <c r="I125" s="1">
        <f t="shared" si="6"/>
        <v>8.7584286303112755</v>
      </c>
      <c r="J125" s="1">
        <f t="shared" si="6"/>
        <v>16.735953787152237</v>
      </c>
      <c r="K125" s="1">
        <f t="shared" si="6"/>
        <v>0</v>
      </c>
      <c r="L125" s="1">
        <f t="shared" si="6"/>
        <v>0</v>
      </c>
    </row>
    <row r="126" spans="3:12" x14ac:dyDescent="0.25">
      <c r="C126" s="1" t="s">
        <v>27</v>
      </c>
      <c r="D126" s="1">
        <f t="shared" si="6"/>
        <v>0.16145875572080859</v>
      </c>
      <c r="E126" s="1">
        <f t="shared" si="6"/>
        <v>0.27298531791001551</v>
      </c>
      <c r="F126" s="1">
        <f t="shared" si="6"/>
        <v>0.34951116675721122</v>
      </c>
      <c r="G126" s="1">
        <f t="shared" si="6"/>
        <v>0.58449796186470604</v>
      </c>
      <c r="H126" s="1">
        <f t="shared" si="6"/>
        <v>39.618964259086518</v>
      </c>
      <c r="I126" s="1">
        <f t="shared" si="6"/>
        <v>9.2062094868974214</v>
      </c>
      <c r="J126" s="1">
        <f t="shared" si="6"/>
        <v>8.5993665827143335</v>
      </c>
      <c r="K126" s="1">
        <f t="shared" si="6"/>
        <v>0</v>
      </c>
      <c r="L126" s="1">
        <f t="shared" si="6"/>
        <v>0</v>
      </c>
    </row>
    <row r="127" spans="3:12" x14ac:dyDescent="0.25">
      <c r="C127" s="1" t="s">
        <v>46</v>
      </c>
      <c r="D127" s="1">
        <f t="shared" si="6"/>
        <v>3.389308101647484</v>
      </c>
      <c r="E127" s="1">
        <f t="shared" si="6"/>
        <v>3.5938907227031152</v>
      </c>
      <c r="F127" s="1">
        <f t="shared" si="6"/>
        <v>0.5190328221254612</v>
      </c>
      <c r="G127" s="1">
        <f t="shared" si="6"/>
        <v>0.54423218036423726</v>
      </c>
      <c r="H127" s="1">
        <f t="shared" si="6"/>
        <v>0</v>
      </c>
      <c r="I127" s="1">
        <f t="shared" si="6"/>
        <v>0</v>
      </c>
      <c r="J127" s="1">
        <f t="shared" si="6"/>
        <v>0</v>
      </c>
      <c r="K127" s="1">
        <f t="shared" si="6"/>
        <v>0</v>
      </c>
      <c r="L127" s="1">
        <f t="shared" si="6"/>
        <v>0</v>
      </c>
    </row>
    <row r="128" spans="3:12" x14ac:dyDescent="0.25">
      <c r="C128" s="1" t="s">
        <v>29</v>
      </c>
      <c r="D128" s="1">
        <f t="shared" si="6"/>
        <v>0.34019679801739167</v>
      </c>
      <c r="E128" s="1">
        <f t="shared" si="6"/>
        <v>0.25013033020804221</v>
      </c>
      <c r="F128" s="1">
        <f t="shared" si="6"/>
        <v>0.40960335292533989</v>
      </c>
      <c r="G128" s="1">
        <f t="shared" si="6"/>
        <v>1.1611665502395416</v>
      </c>
      <c r="H128" s="1">
        <f t="shared" si="6"/>
        <v>38.710912602636334</v>
      </c>
      <c r="I128" s="1">
        <f t="shared" si="6"/>
        <v>9.9422314456761587</v>
      </c>
      <c r="J128" s="1">
        <f t="shared" si="6"/>
        <v>6.8623880123583962</v>
      </c>
      <c r="K128" s="1">
        <f t="shared" si="6"/>
        <v>0</v>
      </c>
      <c r="L128" s="1">
        <f t="shared" si="6"/>
        <v>0</v>
      </c>
    </row>
    <row r="129" spans="3:12" x14ac:dyDescent="0.25">
      <c r="C129" s="1" t="s">
        <v>30</v>
      </c>
      <c r="D129" s="1">
        <f t="shared" si="6"/>
        <v>0.25687667727592661</v>
      </c>
      <c r="E129" s="1">
        <f t="shared" si="6"/>
        <v>1.5056638334472598</v>
      </c>
      <c r="F129" s="1">
        <f t="shared" si="6"/>
        <v>0.33542680710723632</v>
      </c>
      <c r="G129" s="1">
        <f t="shared" si="6"/>
        <v>0.48300544654552435</v>
      </c>
      <c r="H129" s="1">
        <f t="shared" si="6"/>
        <v>41.419840706939056</v>
      </c>
      <c r="I129" s="1">
        <f t="shared" si="6"/>
        <v>8.5276742550519078</v>
      </c>
      <c r="J129" s="1">
        <f t="shared" si="6"/>
        <v>12.60787373265453</v>
      </c>
      <c r="K129" s="1">
        <f t="shared" si="6"/>
        <v>0</v>
      </c>
      <c r="L129" s="1">
        <f t="shared" si="6"/>
        <v>0</v>
      </c>
    </row>
    <row r="130" spans="3:12" x14ac:dyDescent="0.25">
      <c r="C130" s="1" t="s">
        <v>31</v>
      </c>
      <c r="D130" s="1">
        <f t="shared" si="6"/>
        <v>0</v>
      </c>
      <c r="E130" s="1">
        <f t="shared" si="6"/>
        <v>0</v>
      </c>
      <c r="F130" s="1">
        <f t="shared" si="6"/>
        <v>0</v>
      </c>
      <c r="G130" s="1">
        <f t="shared" si="6"/>
        <v>0</v>
      </c>
      <c r="H130" s="1">
        <f t="shared" si="6"/>
        <v>0</v>
      </c>
      <c r="I130" s="1">
        <f t="shared" si="6"/>
        <v>0</v>
      </c>
      <c r="J130" s="1">
        <f t="shared" si="6"/>
        <v>0</v>
      </c>
      <c r="K130" s="1">
        <f t="shared" si="6"/>
        <v>0</v>
      </c>
      <c r="L130" s="1">
        <f t="shared" si="6"/>
        <v>0</v>
      </c>
    </row>
    <row r="131" spans="3:12" x14ac:dyDescent="0.25">
      <c r="C131" s="1" t="s">
        <v>32</v>
      </c>
      <c r="D131" s="1">
        <f t="shared" si="6"/>
        <v>0</v>
      </c>
      <c r="E131" s="1">
        <f t="shared" si="6"/>
        <v>0</v>
      </c>
      <c r="F131" s="1">
        <f t="shared" si="6"/>
        <v>0</v>
      </c>
      <c r="G131" s="1">
        <f t="shared" si="6"/>
        <v>0</v>
      </c>
      <c r="H131" s="1">
        <f t="shared" si="6"/>
        <v>0</v>
      </c>
      <c r="I131" s="1">
        <f t="shared" si="6"/>
        <v>0</v>
      </c>
      <c r="J131" s="1">
        <f t="shared" si="6"/>
        <v>0</v>
      </c>
      <c r="K131" s="1">
        <f t="shared" si="6"/>
        <v>0</v>
      </c>
      <c r="L131" s="1">
        <f t="shared" si="6"/>
        <v>0</v>
      </c>
    </row>
    <row r="132" spans="3:12" x14ac:dyDescent="0.25">
      <c r="C132" s="1" t="s">
        <v>33</v>
      </c>
      <c r="D132" s="1">
        <f t="shared" si="6"/>
        <v>0</v>
      </c>
      <c r="E132" s="1">
        <f t="shared" si="6"/>
        <v>0</v>
      </c>
      <c r="F132" s="1">
        <f t="shared" si="6"/>
        <v>0</v>
      </c>
      <c r="G132" s="1">
        <f t="shared" si="6"/>
        <v>0</v>
      </c>
      <c r="H132" s="1">
        <f t="shared" si="6"/>
        <v>0</v>
      </c>
      <c r="I132" s="1">
        <f t="shared" si="6"/>
        <v>0</v>
      </c>
      <c r="J132" s="1">
        <f t="shared" si="6"/>
        <v>0</v>
      </c>
      <c r="K132" s="1">
        <f t="shared" si="6"/>
        <v>0</v>
      </c>
      <c r="L132" s="1">
        <f t="shared" si="6"/>
        <v>0</v>
      </c>
    </row>
    <row r="133" spans="3:12" x14ac:dyDescent="0.25">
      <c r="C133" s="1" t="s">
        <v>34</v>
      </c>
      <c r="D133" s="1">
        <f t="shared" si="6"/>
        <v>3.9779240227150781</v>
      </c>
      <c r="E133" s="1">
        <f t="shared" si="6"/>
        <v>2.3967750703316399</v>
      </c>
      <c r="F133" s="1">
        <f t="shared" si="6"/>
        <v>1.2264389489157648</v>
      </c>
      <c r="G133" s="1">
        <f t="shared" si="6"/>
        <v>4.2620743134217021</v>
      </c>
      <c r="H133" s="1">
        <f t="shared" si="6"/>
        <v>0</v>
      </c>
      <c r="I133" s="1">
        <f t="shared" si="6"/>
        <v>0</v>
      </c>
      <c r="J133" s="1">
        <f t="shared" si="6"/>
        <v>0</v>
      </c>
      <c r="K133" s="1">
        <f t="shared" si="6"/>
        <v>0</v>
      </c>
      <c r="L133" s="1">
        <f t="shared" si="6"/>
        <v>0</v>
      </c>
    </row>
    <row r="134" spans="3:12" x14ac:dyDescent="0.25">
      <c r="C134" s="1" t="s">
        <v>35</v>
      </c>
      <c r="D134" s="1">
        <f t="shared" si="6"/>
        <v>0.25918000953885922</v>
      </c>
      <c r="E134" s="1">
        <f t="shared" si="6"/>
        <v>0.26977255226219971</v>
      </c>
      <c r="F134" s="1">
        <f t="shared" si="6"/>
        <v>1.678489689452993</v>
      </c>
      <c r="G134" s="1">
        <f t="shared" si="6"/>
        <v>1.5886183362184896</v>
      </c>
      <c r="H134" s="1">
        <f t="shared" si="6"/>
        <v>12.443897685466261</v>
      </c>
      <c r="I134" s="1">
        <f t="shared" si="6"/>
        <v>12.170130671957123</v>
      </c>
      <c r="J134" s="1">
        <f t="shared" si="6"/>
        <v>0</v>
      </c>
      <c r="K134" s="1">
        <f t="shared" si="6"/>
        <v>0</v>
      </c>
      <c r="L134" s="1">
        <f t="shared" si="6"/>
        <v>0</v>
      </c>
    </row>
    <row r="135" spans="3:12" x14ac:dyDescent="0.25">
      <c r="C135" s="1" t="s">
        <v>36</v>
      </c>
      <c r="D135" s="1">
        <f t="shared" si="6"/>
        <v>0.22904389566916805</v>
      </c>
      <c r="E135" s="1">
        <f t="shared" si="6"/>
        <v>0.23161367426743468</v>
      </c>
      <c r="F135" s="1">
        <f t="shared" si="6"/>
        <v>0.88260874328544026</v>
      </c>
      <c r="G135" s="1">
        <f t="shared" si="6"/>
        <v>0.44155989794292039</v>
      </c>
      <c r="H135" s="1">
        <f t="shared" si="6"/>
        <v>12.18769286962287</v>
      </c>
      <c r="I135" s="1">
        <f t="shared" si="6"/>
        <v>13.381856345740882</v>
      </c>
      <c r="J135" s="1">
        <f t="shared" si="6"/>
        <v>0</v>
      </c>
      <c r="K135" s="1">
        <f t="shared" si="6"/>
        <v>0</v>
      </c>
      <c r="L135" s="1">
        <f t="shared" si="6"/>
        <v>0</v>
      </c>
    </row>
    <row r="136" spans="3:12" x14ac:dyDescent="0.25">
      <c r="C136" s="1" t="s">
        <v>38</v>
      </c>
      <c r="D136" s="1">
        <f t="shared" si="6"/>
        <v>2.7232844148302924</v>
      </c>
      <c r="E136" s="1">
        <f t="shared" si="6"/>
        <v>1.6523401465854568</v>
      </c>
      <c r="F136" s="1">
        <f t="shared" si="6"/>
        <v>0.98066680035168075</v>
      </c>
      <c r="G136" s="1">
        <f t="shared" si="6"/>
        <v>2.0806791865491454</v>
      </c>
      <c r="H136" s="1">
        <f t="shared" si="6"/>
        <v>0</v>
      </c>
      <c r="I136" s="1">
        <f t="shared" si="6"/>
        <v>0</v>
      </c>
      <c r="J136" s="1">
        <f t="shared" si="6"/>
        <v>0</v>
      </c>
      <c r="K136" s="1">
        <f t="shared" si="6"/>
        <v>0</v>
      </c>
      <c r="L136" s="1">
        <f t="shared" si="6"/>
        <v>0</v>
      </c>
    </row>
    <row r="137" spans="3:12" x14ac:dyDescent="0.25">
      <c r="C137" s="1" t="s">
        <v>39</v>
      </c>
      <c r="D137" s="1">
        <f t="shared" si="6"/>
        <v>1.2860260641390449</v>
      </c>
      <c r="E137" s="1">
        <f t="shared" si="6"/>
        <v>0.19255364714037382</v>
      </c>
      <c r="F137" s="1">
        <f t="shared" si="6"/>
        <v>0.44120350383667573</v>
      </c>
      <c r="G137" s="1">
        <f t="shared" si="6"/>
        <v>0.82099303467505791</v>
      </c>
      <c r="H137" s="1">
        <f t="shared" si="6"/>
        <v>11.281356411891609</v>
      </c>
      <c r="I137" s="1">
        <f t="shared" si="6"/>
        <v>18.009053591648829</v>
      </c>
      <c r="J137" s="1">
        <f t="shared" si="6"/>
        <v>0</v>
      </c>
      <c r="K137" s="1">
        <f t="shared" si="6"/>
        <v>0</v>
      </c>
      <c r="L137" s="1">
        <f t="shared" si="6"/>
        <v>0</v>
      </c>
    </row>
    <row r="138" spans="3:12" x14ac:dyDescent="0.25">
      <c r="C138" s="1" t="s">
        <v>40</v>
      </c>
      <c r="D138" s="1">
        <f t="shared" si="6"/>
        <v>0.19165830005171614</v>
      </c>
      <c r="E138" s="1">
        <f t="shared" si="6"/>
        <v>1.1018737625744139</v>
      </c>
      <c r="F138" s="1">
        <f t="shared" si="6"/>
        <v>0.69793556768340381</v>
      </c>
      <c r="G138" s="1">
        <f t="shared" si="6"/>
        <v>0.45834887943504565</v>
      </c>
      <c r="H138" s="1">
        <f t="shared" si="6"/>
        <v>7.6213563851822617</v>
      </c>
      <c r="I138" s="1">
        <f t="shared" si="6"/>
        <v>11.573387471232301</v>
      </c>
      <c r="J138" s="1">
        <f t="shared" si="6"/>
        <v>0</v>
      </c>
      <c r="K138" s="1">
        <f t="shared" si="6"/>
        <v>0</v>
      </c>
      <c r="L138" s="1">
        <f t="shared" si="6"/>
        <v>0</v>
      </c>
    </row>
    <row r="139" spans="3:12" x14ac:dyDescent="0.25">
      <c r="C139" s="1" t="s">
        <v>41</v>
      </c>
      <c r="D139" s="1">
        <f t="shared" si="6"/>
        <v>1.5883816616679716</v>
      </c>
      <c r="E139" s="1">
        <f t="shared" si="6"/>
        <v>0.26731172139213444</v>
      </c>
      <c r="F139" s="1">
        <f t="shared" si="6"/>
        <v>1.4219973913478174</v>
      </c>
      <c r="G139" s="1">
        <f t="shared" si="6"/>
        <v>2.641355369472266</v>
      </c>
      <c r="H139" s="1">
        <f t="shared" si="6"/>
        <v>38.467229013443522</v>
      </c>
      <c r="I139" s="1">
        <f t="shared" si="6"/>
        <v>5.9282619337822373</v>
      </c>
      <c r="J139" s="1">
        <f t="shared" si="6"/>
        <v>9.2824592597574238</v>
      </c>
      <c r="K139" s="1">
        <f t="shared" si="6"/>
        <v>0</v>
      </c>
      <c r="L139" s="1">
        <f t="shared" si="6"/>
        <v>0</v>
      </c>
    </row>
    <row r="140" spans="3:12" x14ac:dyDescent="0.25">
      <c r="C140" s="1" t="s">
        <v>43</v>
      </c>
      <c r="D140" s="1">
        <f t="shared" ref="D140:L147" si="7">$D$120*SQRT(D111)/SQRT($E$120)</f>
        <v>0.15445827125237449</v>
      </c>
      <c r="E140" s="1">
        <f t="shared" si="7"/>
        <v>1.1020309915133661</v>
      </c>
      <c r="F140" s="1">
        <f t="shared" si="7"/>
        <v>0.29860076068813429</v>
      </c>
      <c r="G140" s="1">
        <f t="shared" si="7"/>
        <v>0.51508932158125476</v>
      </c>
      <c r="H140" s="1">
        <f t="shared" si="7"/>
        <v>40.609808835788577</v>
      </c>
      <c r="I140" s="1">
        <f t="shared" si="7"/>
        <v>5.8183516665334265</v>
      </c>
      <c r="J140" s="1">
        <f t="shared" si="7"/>
        <v>9.3336147479441145</v>
      </c>
      <c r="K140" s="1">
        <f t="shared" si="7"/>
        <v>0</v>
      </c>
      <c r="L140" s="1">
        <f t="shared" si="7"/>
        <v>0</v>
      </c>
    </row>
    <row r="141" spans="3:12" x14ac:dyDescent="0.25">
      <c r="C141" s="1" t="s">
        <v>8</v>
      </c>
      <c r="D141" s="1">
        <f t="shared" si="7"/>
        <v>0.41402167098618969</v>
      </c>
      <c r="E141" s="1">
        <f t="shared" si="7"/>
        <v>0.70828227555485468</v>
      </c>
      <c r="F141" s="1">
        <f t="shared" si="7"/>
        <v>0.73481725092346928</v>
      </c>
      <c r="G141" s="1">
        <f t="shared" si="7"/>
        <v>1.3661273720547098</v>
      </c>
      <c r="H141" s="1">
        <f t="shared" si="7"/>
        <v>20.34058928705111</v>
      </c>
      <c r="I141" s="1">
        <f t="shared" si="7"/>
        <v>17.717163789297892</v>
      </c>
      <c r="J141" s="1">
        <f t="shared" si="7"/>
        <v>9.5353871643079433</v>
      </c>
      <c r="K141" s="1">
        <f t="shared" si="7"/>
        <v>0</v>
      </c>
      <c r="L141" s="1">
        <f t="shared" si="7"/>
        <v>0</v>
      </c>
    </row>
    <row r="142" spans="3:12" x14ac:dyDescent="0.25">
      <c r="C142" s="1" t="s">
        <v>37</v>
      </c>
      <c r="D142" s="1">
        <f t="shared" si="7"/>
        <v>0.38245478555588469</v>
      </c>
      <c r="E142" s="1">
        <f t="shared" si="7"/>
        <v>1.666103888050485</v>
      </c>
      <c r="F142" s="1">
        <f t="shared" si="7"/>
        <v>0.62191175938353371</v>
      </c>
      <c r="G142" s="1">
        <f t="shared" si="7"/>
        <v>2.6447458109088644</v>
      </c>
      <c r="H142" s="1">
        <f t="shared" si="7"/>
        <v>15.3682743987801</v>
      </c>
      <c r="I142" s="1">
        <f t="shared" si="7"/>
        <v>11.634357666146276</v>
      </c>
      <c r="J142" s="1">
        <f t="shared" si="7"/>
        <v>0</v>
      </c>
      <c r="K142" s="1">
        <f t="shared" si="7"/>
        <v>0</v>
      </c>
      <c r="L142" s="1">
        <f t="shared" si="7"/>
        <v>0</v>
      </c>
    </row>
    <row r="143" spans="3:12" x14ac:dyDescent="0.25">
      <c r="C143" s="1" t="s">
        <v>42</v>
      </c>
      <c r="D143" s="1">
        <f t="shared" si="7"/>
        <v>0.68124847578549763</v>
      </c>
      <c r="E143" s="1">
        <f t="shared" si="7"/>
        <v>0.71154107734974359</v>
      </c>
      <c r="F143" s="1">
        <f t="shared" si="7"/>
        <v>1.4518055553837814</v>
      </c>
      <c r="G143" s="1">
        <f t="shared" si="7"/>
        <v>1.7894437896533626</v>
      </c>
      <c r="H143" s="1">
        <f t="shared" si="7"/>
        <v>39.823069298690164</v>
      </c>
      <c r="I143" s="1">
        <f t="shared" si="7"/>
        <v>8.0321428173239102</v>
      </c>
      <c r="J143" s="1">
        <f t="shared" si="7"/>
        <v>9.2161853298257768</v>
      </c>
      <c r="K143" s="1">
        <f t="shared" si="7"/>
        <v>0</v>
      </c>
      <c r="L143" s="1">
        <f t="shared" si="7"/>
        <v>0</v>
      </c>
    </row>
    <row r="144" spans="3:12" x14ac:dyDescent="0.25">
      <c r="C144" s="1" t="s">
        <v>10</v>
      </c>
      <c r="D144" s="1">
        <f t="shared" si="7"/>
        <v>0</v>
      </c>
      <c r="E144" s="1">
        <f t="shared" si="7"/>
        <v>0</v>
      </c>
      <c r="F144" s="1">
        <f t="shared" si="7"/>
        <v>0</v>
      </c>
      <c r="G144" s="1">
        <f t="shared" si="7"/>
        <v>0</v>
      </c>
      <c r="H144" s="1">
        <f t="shared" si="7"/>
        <v>0</v>
      </c>
      <c r="I144" s="1">
        <f t="shared" si="7"/>
        <v>0</v>
      </c>
      <c r="J144" s="1">
        <f t="shared" si="7"/>
        <v>0</v>
      </c>
      <c r="K144" s="1">
        <f t="shared" si="7"/>
        <v>0</v>
      </c>
      <c r="L144" s="1">
        <f t="shared" si="7"/>
        <v>0</v>
      </c>
    </row>
    <row r="145" spans="3:12" x14ac:dyDescent="0.25">
      <c r="C145" s="1" t="s">
        <v>9</v>
      </c>
      <c r="D145" s="1">
        <f t="shared" si="7"/>
        <v>3.2022289508259441</v>
      </c>
      <c r="E145" s="1">
        <f t="shared" si="7"/>
        <v>8.7226160713405854</v>
      </c>
      <c r="F145" s="1">
        <f t="shared" si="7"/>
        <v>25.278263288314044</v>
      </c>
      <c r="G145" s="1">
        <f t="shared" si="7"/>
        <v>0</v>
      </c>
      <c r="H145" s="1">
        <f t="shared" si="7"/>
        <v>0</v>
      </c>
      <c r="I145" s="1">
        <f t="shared" si="7"/>
        <v>0</v>
      </c>
      <c r="J145" s="1">
        <f t="shared" si="7"/>
        <v>0</v>
      </c>
      <c r="K145" s="1">
        <f t="shared" si="7"/>
        <v>0</v>
      </c>
      <c r="L145" s="1">
        <f t="shared" si="7"/>
        <v>0</v>
      </c>
    </row>
    <row r="146" spans="3:12" x14ac:dyDescent="0.25">
      <c r="C146" s="1" t="s">
        <v>13</v>
      </c>
      <c r="D146" s="1">
        <f t="shared" si="7"/>
        <v>0</v>
      </c>
      <c r="E146" s="1">
        <f t="shared" si="7"/>
        <v>0</v>
      </c>
      <c r="F146" s="1">
        <f t="shared" si="7"/>
        <v>0</v>
      </c>
      <c r="G146" s="1">
        <f t="shared" si="7"/>
        <v>0</v>
      </c>
      <c r="H146" s="1">
        <f t="shared" si="7"/>
        <v>0</v>
      </c>
      <c r="I146" s="1">
        <f t="shared" si="7"/>
        <v>0</v>
      </c>
      <c r="J146" s="1">
        <f t="shared" si="7"/>
        <v>0</v>
      </c>
      <c r="K146" s="1">
        <f t="shared" si="7"/>
        <v>0</v>
      </c>
      <c r="L146" s="1">
        <f t="shared" si="7"/>
        <v>0</v>
      </c>
    </row>
    <row r="147" spans="3:12" x14ac:dyDescent="0.25">
      <c r="C147" s="1" t="s">
        <v>14</v>
      </c>
      <c r="D147" s="1">
        <f t="shared" si="7"/>
        <v>0</v>
      </c>
      <c r="E147" s="1">
        <f t="shared" si="7"/>
        <v>0</v>
      </c>
      <c r="F147" s="1">
        <f t="shared" si="7"/>
        <v>0</v>
      </c>
      <c r="G147" s="1">
        <f t="shared" si="7"/>
        <v>0</v>
      </c>
      <c r="H147" s="1">
        <f t="shared" si="7"/>
        <v>0</v>
      </c>
      <c r="I147" s="1">
        <f t="shared" si="7"/>
        <v>0</v>
      </c>
      <c r="J147" s="1">
        <f t="shared" si="7"/>
        <v>0</v>
      </c>
      <c r="K147" s="1">
        <f t="shared" si="7"/>
        <v>0</v>
      </c>
      <c r="L147" s="1">
        <f t="shared" si="7"/>
        <v>0</v>
      </c>
    </row>
    <row r="148" spans="3:12" x14ac:dyDescent="0.25">
      <c r="C148" t="s">
        <v>3</v>
      </c>
    </row>
    <row r="149" spans="3:12" x14ac:dyDescent="0.25">
      <c r="C149" s="1">
        <v>50</v>
      </c>
      <c r="D149" s="2">
        <v>2</v>
      </c>
      <c r="E149" s="3">
        <v>4</v>
      </c>
      <c r="F149" s="2">
        <v>8</v>
      </c>
      <c r="G149" s="2">
        <v>16</v>
      </c>
      <c r="H149" s="2">
        <v>32</v>
      </c>
      <c r="I149" s="2">
        <v>64</v>
      </c>
      <c r="J149" s="2">
        <v>128</v>
      </c>
      <c r="K149" s="2">
        <v>256</v>
      </c>
      <c r="L149" s="2">
        <v>512</v>
      </c>
    </row>
    <row r="150" spans="3:12" x14ac:dyDescent="0.25">
      <c r="C150" s="1"/>
      <c r="D150" s="4">
        <v>42</v>
      </c>
      <c r="E150" s="4">
        <v>84</v>
      </c>
      <c r="F150" s="4">
        <v>168</v>
      </c>
      <c r="G150" s="4">
        <v>336</v>
      </c>
      <c r="H150" s="4">
        <v>672</v>
      </c>
      <c r="I150" s="4">
        <v>1344</v>
      </c>
      <c r="J150" s="4">
        <v>2688</v>
      </c>
      <c r="K150" s="4">
        <v>5376</v>
      </c>
      <c r="L150" s="4">
        <v>10752</v>
      </c>
    </row>
    <row r="151" spans="3:12" x14ac:dyDescent="0.25">
      <c r="C151" s="1" t="s">
        <v>1</v>
      </c>
      <c r="D151" s="1">
        <v>23629.636893159994</v>
      </c>
      <c r="E151" s="1">
        <v>11483.894614000004</v>
      </c>
      <c r="F151" s="1">
        <v>84715.602051999944</v>
      </c>
      <c r="G151" s="1">
        <v>314291.08298999979</v>
      </c>
      <c r="H151" s="1">
        <v>430893.51435500017</v>
      </c>
      <c r="I151" s="1">
        <v>26330464.759716999</v>
      </c>
      <c r="J151" s="1">
        <v>1999689.5713940002</v>
      </c>
      <c r="K151" s="1"/>
      <c r="L151" s="1"/>
    </row>
    <row r="152" spans="3:12" x14ac:dyDescent="0.25">
      <c r="C152" s="1" t="s">
        <v>2</v>
      </c>
      <c r="D152" s="1">
        <v>200.59344174759991</v>
      </c>
      <c r="E152" s="1">
        <v>114.85141815999992</v>
      </c>
      <c r="F152" s="1">
        <v>20708.382007959994</v>
      </c>
      <c r="G152" s="1">
        <v>747.40648815999907</v>
      </c>
      <c r="H152" s="1">
        <v>8256.2152589999951</v>
      </c>
      <c r="I152" s="1">
        <v>97128.660752000054</v>
      </c>
      <c r="J152" s="1">
        <v>50621.516555999813</v>
      </c>
      <c r="K152" s="1"/>
      <c r="L152" s="1"/>
    </row>
    <row r="153" spans="3:12" x14ac:dyDescent="0.25">
      <c r="C153" s="1" t="s">
        <v>4</v>
      </c>
      <c r="D153" s="1">
        <v>100.54556059359997</v>
      </c>
      <c r="E153" s="1">
        <v>295.83530016000003</v>
      </c>
      <c r="F153" s="1">
        <v>477.97355299999947</v>
      </c>
      <c r="G153" s="1">
        <v>356.81963084000006</v>
      </c>
      <c r="H153" s="6">
        <v>1064.637682</v>
      </c>
      <c r="I153" s="1">
        <v>3172.4941859999835</v>
      </c>
      <c r="J153" s="1">
        <v>22078.655910000027</v>
      </c>
      <c r="K153" s="1"/>
      <c r="L153" s="1"/>
    </row>
    <row r="154" spans="3:12" x14ac:dyDescent="0.25">
      <c r="C154" s="1" t="s">
        <v>5</v>
      </c>
      <c r="D154" s="1">
        <v>537.44660129760007</v>
      </c>
      <c r="E154" s="1">
        <v>554.36812099999975</v>
      </c>
      <c r="F154" s="1">
        <v>231.65841955999957</v>
      </c>
      <c r="G154" s="1">
        <v>1151.4716547599992</v>
      </c>
      <c r="H154" s="1">
        <v>5983.0203029999975</v>
      </c>
      <c r="I154" s="1">
        <v>4644.85130200002</v>
      </c>
      <c r="J154" s="1">
        <v>302669.26456299983</v>
      </c>
      <c r="K154" s="1"/>
      <c r="L154" s="1"/>
    </row>
    <row r="155" spans="3:12" x14ac:dyDescent="0.25">
      <c r="C155" s="1" t="s">
        <v>6</v>
      </c>
      <c r="D155" s="1"/>
      <c r="E155" s="1">
        <v>113.63022800000029</v>
      </c>
      <c r="F155" s="1">
        <v>1100.3339749600004</v>
      </c>
      <c r="G155" s="1">
        <v>975.64002803999745</v>
      </c>
      <c r="H155" s="1">
        <v>64976.078103000058</v>
      </c>
      <c r="I155" s="1">
        <v>12178.919693999991</v>
      </c>
      <c r="J155" s="1">
        <v>19055707.890131999</v>
      </c>
      <c r="K155" s="1"/>
      <c r="L155" s="1"/>
    </row>
    <row r="156" spans="3:12" x14ac:dyDescent="0.25">
      <c r="C156" s="1" t="s">
        <v>7</v>
      </c>
      <c r="D156" s="1"/>
      <c r="E156" s="1">
        <v>259.53062775999996</v>
      </c>
      <c r="F156" s="1">
        <v>616.71730855999976</v>
      </c>
      <c r="G156" s="1">
        <v>3560.706592000005</v>
      </c>
      <c r="H156" s="1">
        <v>57100.635880999995</v>
      </c>
      <c r="I156" s="1">
        <v>13831.197151999995</v>
      </c>
      <c r="J156" s="1">
        <v>19720658.197508004</v>
      </c>
      <c r="K156" s="1"/>
      <c r="L156" s="1"/>
    </row>
    <row r="157" spans="3:12" x14ac:dyDescent="0.25">
      <c r="C157" s="1" t="s">
        <v>8</v>
      </c>
      <c r="D157" s="1">
        <v>240.99721352960003</v>
      </c>
      <c r="E157" s="1">
        <v>297.49951431999995</v>
      </c>
      <c r="F157" s="1">
        <v>281.85651201440004</v>
      </c>
      <c r="G157" s="1">
        <v>271.78190344000006</v>
      </c>
      <c r="H157" s="1">
        <v>1286.8453298399997</v>
      </c>
      <c r="I157" s="1">
        <v>38248.231785999997</v>
      </c>
      <c r="J157" s="1">
        <v>869.25825200000077</v>
      </c>
      <c r="K157" s="1"/>
      <c r="L157" s="4"/>
    </row>
    <row r="158" spans="3:12" x14ac:dyDescent="0.25">
      <c r="C158" s="1" t="s">
        <v>9</v>
      </c>
      <c r="D158" s="1">
        <v>1524.0940021599999</v>
      </c>
      <c r="E158" s="1">
        <v>43621.361746639996</v>
      </c>
      <c r="F158" s="1">
        <v>1601730.4977677662</v>
      </c>
      <c r="G158" s="1">
        <v>1002406.82703404</v>
      </c>
      <c r="H158" s="1">
        <v>2435076.7215710003</v>
      </c>
      <c r="I158" s="1">
        <v>2657196.5847010007</v>
      </c>
      <c r="J158" s="1">
        <v>65421.180141000026</v>
      </c>
      <c r="K158" s="1"/>
      <c r="L158" s="1"/>
    </row>
    <row r="159" spans="3:12" x14ac:dyDescent="0.25">
      <c r="C159" s="1" t="s">
        <v>10</v>
      </c>
      <c r="D159" s="1"/>
      <c r="E159" s="1">
        <v>373.81924788000003</v>
      </c>
      <c r="F159" s="1">
        <v>525.57633796360005</v>
      </c>
      <c r="G159" s="1">
        <v>340.5378199999999</v>
      </c>
      <c r="H159" s="1">
        <v>712.14340724000022</v>
      </c>
      <c r="I159" s="1">
        <v>4457.6383580000029</v>
      </c>
      <c r="J159" s="1">
        <v>1922.1838250000001</v>
      </c>
      <c r="K159" s="1"/>
      <c r="L159" s="1"/>
    </row>
    <row r="160" spans="3:12" x14ac:dyDescent="0.25">
      <c r="C160" s="1" t="s">
        <v>13</v>
      </c>
      <c r="D160" s="1">
        <v>287.53107919999997</v>
      </c>
      <c r="E160" s="1">
        <v>138.54438975999955</v>
      </c>
      <c r="F160" s="1">
        <v>455.55770944000017</v>
      </c>
      <c r="G160" s="1">
        <v>4887.4578929199943</v>
      </c>
      <c r="H160" s="1">
        <v>61519.251590000029</v>
      </c>
      <c r="I160" s="1">
        <v>339551.91815299995</v>
      </c>
      <c r="J160" s="1">
        <v>348666.42938699987</v>
      </c>
      <c r="K160" s="1"/>
      <c r="L160" s="1"/>
    </row>
    <row r="161" spans="3:12" x14ac:dyDescent="0.25">
      <c r="C161" s="1" t="s">
        <v>14</v>
      </c>
      <c r="D161" s="1">
        <v>6.771681791999999</v>
      </c>
      <c r="E161" s="1">
        <v>51.45089689199996</v>
      </c>
      <c r="F161" s="1">
        <v>62.694121706000075</v>
      </c>
      <c r="G161" s="1">
        <v>241.7645110000002</v>
      </c>
      <c r="H161" s="1">
        <v>9752.842702400003</v>
      </c>
      <c r="I161" s="1">
        <v>8465.0133265600016</v>
      </c>
      <c r="J161" s="1">
        <v>7016.1266239999923</v>
      </c>
      <c r="K161" s="1"/>
      <c r="L161" s="1"/>
    </row>
    <row r="162" spans="3:12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3:12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3:12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3:12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3:12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3:12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3:12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3:12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1" spans="3:12" x14ac:dyDescent="0.25">
      <c r="C171" t="s">
        <v>15</v>
      </c>
    </row>
    <row r="172" spans="3:12" x14ac:dyDescent="0.25">
      <c r="C172" s="1">
        <v>50</v>
      </c>
      <c r="D172" s="2">
        <v>2</v>
      </c>
      <c r="E172" s="3">
        <v>4</v>
      </c>
      <c r="F172" s="2">
        <v>8</v>
      </c>
      <c r="G172" s="2">
        <v>16</v>
      </c>
      <c r="H172" s="2">
        <v>32</v>
      </c>
      <c r="I172" s="2">
        <v>64</v>
      </c>
      <c r="J172" s="2">
        <v>128</v>
      </c>
      <c r="K172" s="2">
        <v>256</v>
      </c>
      <c r="L172" s="2">
        <v>512</v>
      </c>
    </row>
    <row r="173" spans="3:12" x14ac:dyDescent="0.25">
      <c r="C173" s="1"/>
      <c r="D173" s="4">
        <v>42</v>
      </c>
      <c r="E173" s="4">
        <v>84</v>
      </c>
      <c r="F173" s="4">
        <v>168</v>
      </c>
      <c r="G173" s="4">
        <v>336</v>
      </c>
      <c r="H173" s="4">
        <v>672</v>
      </c>
      <c r="I173" s="4">
        <v>1344</v>
      </c>
      <c r="J173" s="4">
        <v>2688</v>
      </c>
      <c r="K173" s="4">
        <v>5376</v>
      </c>
      <c r="L173" s="4">
        <v>10752</v>
      </c>
    </row>
    <row r="174" spans="3:12" x14ac:dyDescent="0.25">
      <c r="C174" s="1" t="s">
        <v>1</v>
      </c>
      <c r="D174" s="1">
        <v>42.608828448753066</v>
      </c>
      <c r="E174" s="1">
        <v>29.704050077099726</v>
      </c>
      <c r="F174" s="1">
        <v>80.677562784576352</v>
      </c>
      <c r="G174" s="1">
        <v>155.3950207963166</v>
      </c>
      <c r="H174" s="1">
        <v>181.95167076705664</v>
      </c>
      <c r="I174" s="1">
        <v>1422.3298732778471</v>
      </c>
      <c r="J174" s="1">
        <v>391.96957681603783</v>
      </c>
      <c r="K174" s="1"/>
      <c r="L174" s="1"/>
    </row>
    <row r="175" spans="3:12" x14ac:dyDescent="0.25">
      <c r="C175" s="1" t="s">
        <v>2</v>
      </c>
      <c r="D175" s="1">
        <v>3.9258114213945112</v>
      </c>
      <c r="E175" s="1">
        <v>2.970566302924261</v>
      </c>
      <c r="F175" s="1">
        <v>39.88817376661386</v>
      </c>
      <c r="G175" s="1">
        <v>7.5779110115063402</v>
      </c>
      <c r="H175" s="1">
        <v>25.186137670938898</v>
      </c>
      <c r="I175" s="1">
        <v>86.386279367140645</v>
      </c>
      <c r="J175" s="1">
        <v>62.364672371708785</v>
      </c>
      <c r="K175" s="1"/>
      <c r="L175" s="1"/>
    </row>
    <row r="176" spans="3:12" x14ac:dyDescent="0.25">
      <c r="C176" s="1" t="s">
        <v>4</v>
      </c>
      <c r="D176" s="1">
        <v>2.779409381780142</v>
      </c>
      <c r="E176" s="1">
        <v>4.7675588912873561</v>
      </c>
      <c r="F176" s="1">
        <v>6.0600052825138659</v>
      </c>
      <c r="G176" s="1">
        <v>5.2359493768273655</v>
      </c>
      <c r="H176" s="6">
        <v>9.0442380764453549</v>
      </c>
      <c r="I176" s="1">
        <v>15.612465317775751</v>
      </c>
      <c r="J176" s="1">
        <v>41.186736832105574</v>
      </c>
      <c r="K176" s="1"/>
      <c r="L176" s="1"/>
    </row>
    <row r="177" spans="3:12" x14ac:dyDescent="0.25">
      <c r="C177" s="1" t="s">
        <v>5</v>
      </c>
      <c r="D177" s="1">
        <v>6.4259705314370379</v>
      </c>
      <c r="E177" s="1">
        <v>6.5263474832920121</v>
      </c>
      <c r="F177" s="1">
        <v>4.2188599990558924</v>
      </c>
      <c r="G177" s="1">
        <v>9.4058423428484197</v>
      </c>
      <c r="H177" s="1">
        <v>21.440322197208129</v>
      </c>
      <c r="I177" s="1">
        <v>18.891088249099507</v>
      </c>
      <c r="J177" s="1">
        <v>152.49486855269717</v>
      </c>
      <c r="K177" s="1"/>
      <c r="L177" s="1"/>
    </row>
    <row r="178" spans="3:12" x14ac:dyDescent="0.25">
      <c r="C178" s="1" t="s">
        <v>6</v>
      </c>
      <c r="D178" s="1"/>
      <c r="E178" s="1">
        <v>2.9547314053389049</v>
      </c>
      <c r="F178" s="1">
        <v>9.1946103758738325</v>
      </c>
      <c r="G178" s="1">
        <v>8.6579659640338793</v>
      </c>
      <c r="H178" s="1">
        <v>70.655799711061931</v>
      </c>
      <c r="I178" s="1">
        <v>30.58971653888619</v>
      </c>
      <c r="J178" s="1">
        <v>1209.995102723404</v>
      </c>
      <c r="K178" s="1"/>
      <c r="L178" s="1"/>
    </row>
    <row r="179" spans="3:12" x14ac:dyDescent="0.25">
      <c r="C179" s="1" t="s">
        <v>7</v>
      </c>
      <c r="D179" s="1"/>
      <c r="E179" s="1">
        <v>4.4654515104361296</v>
      </c>
      <c r="F179" s="1">
        <v>6.883576414283632</v>
      </c>
      <c r="G179" s="1">
        <v>16.540139324580807</v>
      </c>
      <c r="H179" s="1">
        <v>66.235610180695019</v>
      </c>
      <c r="I179" s="1">
        <v>32.598750583150625</v>
      </c>
      <c r="J179" s="1">
        <v>1230.9255097815362</v>
      </c>
      <c r="K179" s="1"/>
      <c r="L179" s="1"/>
    </row>
    <row r="180" spans="3:12" x14ac:dyDescent="0.25">
      <c r="C180" s="1" t="s">
        <v>8</v>
      </c>
      <c r="D180" s="1">
        <v>4.3030568099789512</v>
      </c>
      <c r="E180" s="1">
        <v>4.780949977173389</v>
      </c>
      <c r="F180" s="1">
        <v>4.653557728350469</v>
      </c>
      <c r="G180" s="1">
        <v>4.5696331587012633</v>
      </c>
      <c r="H180" s="1">
        <v>9.9433847548139696</v>
      </c>
      <c r="I180" s="1">
        <v>54.209668368123701</v>
      </c>
      <c r="J180" s="1">
        <v>8.1723221924777327</v>
      </c>
      <c r="K180" s="1"/>
      <c r="L180" s="4"/>
    </row>
    <row r="181" spans="3:12" x14ac:dyDescent="0.25">
      <c r="C181" s="1" t="s">
        <v>9</v>
      </c>
      <c r="D181" s="1">
        <v>10.821237931676629</v>
      </c>
      <c r="E181" s="1">
        <v>57.892283300262427</v>
      </c>
      <c r="F181" s="1">
        <v>350.80501365358646</v>
      </c>
      <c r="G181" s="1">
        <v>277.51922696396974</v>
      </c>
      <c r="H181" s="1">
        <v>432.54111327334311</v>
      </c>
      <c r="I181" s="1">
        <v>451.83816571395039</v>
      </c>
      <c r="J181" s="1">
        <v>70.897391437155946</v>
      </c>
      <c r="K181" s="1"/>
      <c r="L181" s="1"/>
    </row>
    <row r="182" spans="3:12" x14ac:dyDescent="0.25">
      <c r="C182" s="1" t="s">
        <v>10</v>
      </c>
      <c r="D182" s="1"/>
      <c r="E182" s="1">
        <v>5.3592238666728749</v>
      </c>
      <c r="F182" s="1">
        <v>6.3546110186556124</v>
      </c>
      <c r="G182" s="1">
        <v>5.115095481634726</v>
      </c>
      <c r="H182" s="1">
        <v>7.3969860257447895</v>
      </c>
      <c r="I182" s="1">
        <v>18.506465635605739</v>
      </c>
      <c r="J182" s="1">
        <v>12.152581110299161</v>
      </c>
      <c r="K182" s="1"/>
      <c r="L182" s="1"/>
    </row>
    <row r="183" spans="3:12" x14ac:dyDescent="0.25">
      <c r="C183" s="1" t="s">
        <v>13</v>
      </c>
      <c r="D183" s="1">
        <v>4.7001689200596175</v>
      </c>
      <c r="E183" s="1">
        <v>3.2626128415796258</v>
      </c>
      <c r="F183" s="1">
        <v>5.9161989428765906</v>
      </c>
      <c r="G183" s="1">
        <v>19.378162060134315</v>
      </c>
      <c r="H183" s="1">
        <v>68.750615547519871</v>
      </c>
      <c r="I183" s="1">
        <v>161.51920311693988</v>
      </c>
      <c r="J183" s="1">
        <v>163.67265838453889</v>
      </c>
      <c r="K183" s="1"/>
      <c r="L183" s="1"/>
    </row>
    <row r="184" spans="3:12" x14ac:dyDescent="0.25">
      <c r="C184" s="1" t="s">
        <v>14</v>
      </c>
      <c r="D184" s="1">
        <v>0.72130566020442677</v>
      </c>
      <c r="E184" s="1">
        <v>1.9882342191014972</v>
      </c>
      <c r="F184" s="1">
        <v>2.1947470831317668</v>
      </c>
      <c r="G184" s="1">
        <v>4.309901496455808</v>
      </c>
      <c r="H184" s="1">
        <v>27.373900169884397</v>
      </c>
      <c r="I184" s="1">
        <v>25.502625431634641</v>
      </c>
      <c r="J184" s="1">
        <v>23.217731171997997</v>
      </c>
      <c r="K184" s="1"/>
      <c r="L184" s="1"/>
    </row>
    <row r="185" spans="3:12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3:12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3:12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3:12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3:12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3:12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3:12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3:12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</row>
  </sheetData>
  <conditionalFormatting sqref="D5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2:D8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E8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:F8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:G8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:H8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:I8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8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workbookViewId="0">
      <selection activeCell="M13" sqref="M13"/>
    </sheetView>
  </sheetViews>
  <sheetFormatPr defaultRowHeight="15" x14ac:dyDescent="0.25"/>
  <cols>
    <col min="1" max="1" width="26" bestFit="1" customWidth="1"/>
  </cols>
  <sheetData>
    <row r="2" spans="1:8" x14ac:dyDescent="0.25">
      <c r="A2" t="s">
        <v>0</v>
      </c>
      <c r="B2" s="76">
        <v>500</v>
      </c>
      <c r="C2" s="76">
        <v>1000</v>
      </c>
      <c r="D2" s="76">
        <v>1500</v>
      </c>
      <c r="E2" s="76">
        <v>2000</v>
      </c>
      <c r="F2" s="76">
        <v>2500</v>
      </c>
      <c r="G2" s="76">
        <v>3000</v>
      </c>
      <c r="H2" s="76">
        <v>3500</v>
      </c>
    </row>
    <row r="3" spans="1:8" x14ac:dyDescent="0.25">
      <c r="A3" t="s">
        <v>25</v>
      </c>
      <c r="B3">
        <v>1.0264497599999998</v>
      </c>
      <c r="C3">
        <v>0.96242931999999992</v>
      </c>
      <c r="D3">
        <v>0.94256306666666645</v>
      </c>
      <c r="E3">
        <v>0.93278919999999987</v>
      </c>
      <c r="F3">
        <v>0.92678456000000009</v>
      </c>
      <c r="G3">
        <v>0.92371499999999951</v>
      </c>
      <c r="H3">
        <v>0.92359062857142848</v>
      </c>
    </row>
    <row r="4" spans="1:8" x14ac:dyDescent="0.25">
      <c r="A4" t="s">
        <v>95</v>
      </c>
      <c r="B4">
        <v>1.2004021600000001</v>
      </c>
      <c r="C4">
        <v>1.0003448399999999</v>
      </c>
      <c r="D4">
        <v>0.95212293333333342</v>
      </c>
      <c r="E4">
        <v>1.0000981000000002</v>
      </c>
      <c r="F4">
        <v>0.99694455999999987</v>
      </c>
      <c r="G4">
        <v>0.95171379999999994</v>
      </c>
      <c r="H4">
        <v>0.95117497142857133</v>
      </c>
    </row>
    <row r="5" spans="1:8" x14ac:dyDescent="0.25">
      <c r="A5" t="s">
        <v>26</v>
      </c>
      <c r="B5">
        <v>0.86344332000000024</v>
      </c>
      <c r="C5">
        <v>0.74851799999999957</v>
      </c>
      <c r="D5">
        <v>0.57356683999999991</v>
      </c>
      <c r="E5">
        <v>0.47327469000000005</v>
      </c>
      <c r="F5">
        <v>0.41465687999999989</v>
      </c>
      <c r="G5">
        <v>0.4122756666666666</v>
      </c>
      <c r="H5">
        <v>0.38994588571428573</v>
      </c>
    </row>
    <row r="6" spans="1:8" x14ac:dyDescent="0.25">
      <c r="A6" t="s">
        <v>27</v>
      </c>
      <c r="B6">
        <v>0.98470563999999972</v>
      </c>
      <c r="C6">
        <v>0.86631893999999987</v>
      </c>
      <c r="D6">
        <v>0.69468266666666656</v>
      </c>
      <c r="E6">
        <v>0.60280299999999998</v>
      </c>
      <c r="F6">
        <v>0.54045368000000005</v>
      </c>
      <c r="G6">
        <v>0.53235066666666664</v>
      </c>
      <c r="H6">
        <v>0.50215902857142847</v>
      </c>
    </row>
    <row r="7" spans="1:8" x14ac:dyDescent="0.25">
      <c r="A7" t="s">
        <v>46</v>
      </c>
      <c r="B7">
        <v>1.1218809199999997</v>
      </c>
      <c r="C7">
        <v>0.99831369999999997</v>
      </c>
      <c r="D7">
        <v>0.95224399999999998</v>
      </c>
      <c r="E7">
        <v>1.0000060999999998</v>
      </c>
      <c r="F7">
        <v>1.0023119199999997</v>
      </c>
      <c r="G7">
        <v>0.9524758666666665</v>
      </c>
      <c r="H7">
        <v>0.94559062857142873</v>
      </c>
    </row>
    <row r="8" spans="1:8" x14ac:dyDescent="0.25">
      <c r="A8" t="s">
        <v>28</v>
      </c>
      <c r="B8">
        <v>1.0224323999999998</v>
      </c>
      <c r="C8">
        <v>0.96097300000000008</v>
      </c>
      <c r="D8">
        <v>0.94173986666666676</v>
      </c>
      <c r="E8">
        <v>0.93295560000000022</v>
      </c>
      <c r="F8">
        <v>0.93648679999999984</v>
      </c>
      <c r="G8">
        <v>0.93090046666666693</v>
      </c>
      <c r="H8">
        <v>0.92653234285714303</v>
      </c>
    </row>
    <row r="9" spans="1:8" x14ac:dyDescent="0.25">
      <c r="A9" t="s">
        <v>29</v>
      </c>
      <c r="B9">
        <v>0.85866424000000019</v>
      </c>
      <c r="C9">
        <v>0.74340574000000026</v>
      </c>
      <c r="D9">
        <v>0.57202785333333339</v>
      </c>
      <c r="E9">
        <v>0.47219206999999985</v>
      </c>
      <c r="F9">
        <v>0.41753400000000013</v>
      </c>
      <c r="G9">
        <v>0.41793406666666671</v>
      </c>
      <c r="H9">
        <v>0.38961599999999991</v>
      </c>
    </row>
    <row r="10" spans="1:8" x14ac:dyDescent="0.25">
      <c r="A10" t="s">
        <v>30</v>
      </c>
      <c r="B10">
        <v>0.97851376000000012</v>
      </c>
      <c r="C10">
        <v>0.86289562000000031</v>
      </c>
      <c r="D10">
        <v>0.69218720000000011</v>
      </c>
      <c r="E10">
        <v>0.60147810000000002</v>
      </c>
      <c r="F10">
        <v>0.54604671999999999</v>
      </c>
      <c r="G10">
        <v>0.54318373333333347</v>
      </c>
      <c r="H10">
        <v>0.50300571428571417</v>
      </c>
    </row>
    <row r="11" spans="1:8" x14ac:dyDescent="0.25">
      <c r="A11" t="s">
        <v>34</v>
      </c>
      <c r="B11">
        <v>1.02470072</v>
      </c>
      <c r="C11">
        <v>0.96176598000000013</v>
      </c>
      <c r="D11">
        <v>0.94078879999999976</v>
      </c>
      <c r="E11">
        <v>0.93322600000000033</v>
      </c>
      <c r="F11">
        <v>0.92736079999999987</v>
      </c>
      <c r="G11">
        <v>0.92386279999999998</v>
      </c>
      <c r="H11">
        <v>0.92064457142857148</v>
      </c>
    </row>
    <row r="12" spans="1:8" x14ac:dyDescent="0.25">
      <c r="A12" t="s">
        <v>35</v>
      </c>
      <c r="B12">
        <v>0.76171491999999985</v>
      </c>
      <c r="C12">
        <v>0.67032955999999999</v>
      </c>
      <c r="D12">
        <v>0.50798773333333336</v>
      </c>
      <c r="E12">
        <v>0.42319549000000006</v>
      </c>
      <c r="F12">
        <v>0.37726855200000003</v>
      </c>
      <c r="G12">
        <v>0.34241586666666657</v>
      </c>
      <c r="H12">
        <v>0.31425148571428574</v>
      </c>
    </row>
    <row r="13" spans="1:8" x14ac:dyDescent="0.25">
      <c r="A13" t="s">
        <v>36</v>
      </c>
      <c r="B13">
        <v>0.88540295999999974</v>
      </c>
      <c r="C13">
        <v>0.79358485999999995</v>
      </c>
      <c r="D13">
        <v>0.63294977333333313</v>
      </c>
      <c r="E13">
        <v>0.54736230000000019</v>
      </c>
      <c r="F13">
        <v>0.50346648000000005</v>
      </c>
      <c r="G13">
        <v>0.46904533333333331</v>
      </c>
      <c r="H13">
        <v>0.44168937142857151</v>
      </c>
    </row>
    <row r="14" spans="1:8" x14ac:dyDescent="0.25">
      <c r="A14" t="s">
        <v>38</v>
      </c>
      <c r="B14">
        <v>1.0176223200000003</v>
      </c>
      <c r="C14">
        <v>0.95787708000000027</v>
      </c>
      <c r="D14">
        <v>0.93802920000000012</v>
      </c>
      <c r="E14">
        <v>0.93064379999999991</v>
      </c>
      <c r="F14">
        <v>0.92489520000000014</v>
      </c>
      <c r="G14">
        <v>0.92075680000000026</v>
      </c>
      <c r="H14">
        <v>0.91788634285714288</v>
      </c>
    </row>
    <row r="15" spans="1:8" x14ac:dyDescent="0.25">
      <c r="A15" t="s">
        <v>39</v>
      </c>
      <c r="B15">
        <v>0.75454984000000025</v>
      </c>
      <c r="C15">
        <v>0.66587520000000011</v>
      </c>
      <c r="D15">
        <v>0.50519406666666666</v>
      </c>
      <c r="E15">
        <v>0.42089454000000009</v>
      </c>
      <c r="F15">
        <v>0.37560009600000005</v>
      </c>
      <c r="G15">
        <v>0.3403972666666667</v>
      </c>
      <c r="H15">
        <v>0.31307371428571434</v>
      </c>
    </row>
    <row r="16" spans="1:8" x14ac:dyDescent="0.25">
      <c r="A16" t="s">
        <v>40</v>
      </c>
      <c r="B16">
        <v>0.87696751999999978</v>
      </c>
      <c r="C16">
        <v>0.78914277999999993</v>
      </c>
      <c r="D16">
        <v>0.62882241333333344</v>
      </c>
      <c r="E16">
        <v>0.54470490000000016</v>
      </c>
      <c r="F16">
        <v>0.50094232000000016</v>
      </c>
      <c r="G16">
        <v>0.46631380000000011</v>
      </c>
      <c r="H16">
        <v>0.4399901142857145</v>
      </c>
    </row>
  </sheetData>
  <conditionalFormatting sqref="B3:H16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3"/>
  <sheetViews>
    <sheetView zoomScale="130" zoomScaleNormal="130" workbookViewId="0">
      <pane xSplit="3" ySplit="2" topLeftCell="Q36" activePane="bottomRight" state="frozen"/>
      <selection pane="topRight" activeCell="D1" sqref="D1"/>
      <selection pane="bottomLeft" activeCell="A3" sqref="A3"/>
      <selection pane="bottomRight" activeCell="V55" sqref="V55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2" max="13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s="7">
        <f>L1*2</f>
        <v>1024</v>
      </c>
    </row>
    <row r="2" spans="1:13" x14ac:dyDescent="0.25">
      <c r="B2" t="s">
        <v>0</v>
      </c>
      <c r="C2" s="1"/>
      <c r="D2" s="14">
        <v>42</v>
      </c>
      <c r="E2" s="14">
        <v>84</v>
      </c>
      <c r="F2" s="14">
        <v>168</v>
      </c>
      <c r="G2" s="14">
        <v>336</v>
      </c>
      <c r="H2" s="14">
        <v>672</v>
      </c>
      <c r="I2" s="14">
        <v>1344</v>
      </c>
      <c r="J2" s="14">
        <v>2688</v>
      </c>
      <c r="K2" s="9">
        <v>5376</v>
      </c>
      <c r="L2" s="9">
        <v>10752</v>
      </c>
      <c r="M2" s="9">
        <f>L2*2</f>
        <v>21504</v>
      </c>
    </row>
    <row r="3" spans="1:13" x14ac:dyDescent="0.25">
      <c r="A3">
        <v>1</v>
      </c>
      <c r="C3" s="1" t="s">
        <v>1</v>
      </c>
      <c r="D3" s="10">
        <v>5001.0643999999993</v>
      </c>
      <c r="E3" s="10">
        <v>8494.5325999999986</v>
      </c>
      <c r="F3" s="10">
        <v>15430.604000000003</v>
      </c>
      <c r="G3" s="10">
        <v>30380.583999999988</v>
      </c>
      <c r="H3" s="10">
        <v>58904.040000000008</v>
      </c>
      <c r="I3" s="10">
        <v>111447.7</v>
      </c>
      <c r="J3" s="10">
        <v>214380.9</v>
      </c>
      <c r="K3" s="10">
        <v>448777.58</v>
      </c>
      <c r="L3" s="10">
        <v>908804.34</v>
      </c>
      <c r="M3" s="10"/>
    </row>
    <row r="4" spans="1:13" x14ac:dyDescent="0.25">
      <c r="C4" s="1" t="s">
        <v>25</v>
      </c>
      <c r="D4" s="10">
        <v>145.60024000000004</v>
      </c>
      <c r="E4" s="10">
        <v>186.40243999999998</v>
      </c>
      <c r="F4" s="10">
        <v>265.93097999999992</v>
      </c>
      <c r="G4" s="10">
        <v>513.22487999999987</v>
      </c>
      <c r="H4" s="10"/>
      <c r="I4" s="10"/>
      <c r="J4" s="10"/>
      <c r="K4" s="10"/>
      <c r="L4" s="10"/>
      <c r="M4" s="10"/>
    </row>
    <row r="5" spans="1:13" x14ac:dyDescent="0.25">
      <c r="C5" s="1" t="s">
        <v>26</v>
      </c>
      <c r="D5" s="10">
        <v>148.71826000000001</v>
      </c>
      <c r="E5" s="10">
        <v>183.1446</v>
      </c>
      <c r="F5" s="10">
        <v>261.10172</v>
      </c>
      <c r="G5" s="10">
        <v>431.7216600000001</v>
      </c>
      <c r="H5" s="11">
        <v>767.40775999999994</v>
      </c>
      <c r="I5" s="10">
        <v>1472.7860000000003</v>
      </c>
      <c r="J5" s="10">
        <v>2921.0972000000002</v>
      </c>
      <c r="K5" s="10">
        <v>5806.4581999999991</v>
      </c>
      <c r="L5" s="10">
        <v>11519.873999999996</v>
      </c>
      <c r="M5" s="10"/>
    </row>
    <row r="6" spans="1:13" x14ac:dyDescent="0.25">
      <c r="C6" s="1" t="s">
        <v>27</v>
      </c>
      <c r="D6" s="10">
        <v>153.05984000000001</v>
      </c>
      <c r="E6" s="10">
        <v>198.20687999999998</v>
      </c>
      <c r="F6" s="10">
        <v>279.60894000000002</v>
      </c>
      <c r="G6" s="10">
        <v>492.35281999999984</v>
      </c>
      <c r="H6" s="10">
        <v>968.06181999999967</v>
      </c>
      <c r="I6" s="10">
        <v>1806.9595999999997</v>
      </c>
      <c r="J6" s="10">
        <v>3066.7256000000107</v>
      </c>
      <c r="K6" s="10">
        <v>5877.5944000000009</v>
      </c>
      <c r="L6" s="10">
        <v>11114.274000000001</v>
      </c>
      <c r="M6" s="10"/>
    </row>
    <row r="7" spans="1:13" x14ac:dyDescent="0.25">
      <c r="C7" s="1" t="s">
        <v>28</v>
      </c>
      <c r="D7" s="10">
        <v>144.01047999999997</v>
      </c>
      <c r="E7" s="10">
        <v>183.21329999999995</v>
      </c>
      <c r="F7" s="10">
        <v>266.01190000000003</v>
      </c>
      <c r="G7" s="10">
        <v>511.2161999999999</v>
      </c>
      <c r="H7" s="10"/>
      <c r="I7" s="10"/>
      <c r="J7" s="10"/>
      <c r="K7" s="10"/>
      <c r="L7" s="10"/>
      <c r="M7" s="10"/>
    </row>
    <row r="8" spans="1:13" x14ac:dyDescent="0.25">
      <c r="C8" s="1" t="s">
        <v>29</v>
      </c>
      <c r="D8" s="10">
        <v>145.18495999999996</v>
      </c>
      <c r="E8" s="10">
        <v>180.49275999999995</v>
      </c>
      <c r="F8" s="10">
        <v>259.94342000000006</v>
      </c>
      <c r="G8" s="10">
        <v>429.33212000000009</v>
      </c>
      <c r="H8" s="10">
        <v>767.71942000000024</v>
      </c>
      <c r="I8" s="10">
        <v>1466.8961999999997</v>
      </c>
      <c r="J8" s="10">
        <v>2907.4016000000011</v>
      </c>
      <c r="K8" s="10">
        <v>5824.0707999999995</v>
      </c>
      <c r="L8" s="10">
        <v>11364.934000000001</v>
      </c>
      <c r="M8" s="10"/>
    </row>
    <row r="9" spans="1:13" x14ac:dyDescent="0.25">
      <c r="C9" s="1" t="s">
        <v>30</v>
      </c>
      <c r="D9" s="10">
        <v>151.15770000000003</v>
      </c>
      <c r="E9" s="10">
        <v>194.05519999999996</v>
      </c>
      <c r="F9" s="10">
        <v>279.15564000000001</v>
      </c>
      <c r="G9" s="10">
        <v>489.25688000000008</v>
      </c>
      <c r="H9" s="10">
        <v>965.56179999999995</v>
      </c>
      <c r="I9" s="10">
        <v>1823.5794000000003</v>
      </c>
      <c r="J9" s="10">
        <v>3063.9290000000037</v>
      </c>
      <c r="K9" s="10">
        <v>5869.8737999999976</v>
      </c>
      <c r="L9" s="9">
        <v>11112.583999999999</v>
      </c>
      <c r="M9" s="9"/>
    </row>
    <row r="10" spans="1:13" x14ac:dyDescent="0.25">
      <c r="C10" s="1" t="s">
        <v>31</v>
      </c>
      <c r="D10" s="10">
        <v>2063.4025999999999</v>
      </c>
      <c r="E10" s="10">
        <v>2474.3604000000005</v>
      </c>
      <c r="F10" s="10">
        <v>2030.913399999999</v>
      </c>
      <c r="G10" s="10">
        <v>3956.6748000000002</v>
      </c>
      <c r="H10" s="10">
        <v>4372.3442000000014</v>
      </c>
      <c r="I10" s="10"/>
      <c r="J10" s="10"/>
      <c r="K10" s="10"/>
      <c r="L10" s="10"/>
      <c r="M10" s="10"/>
    </row>
    <row r="11" spans="1:13" x14ac:dyDescent="0.25">
      <c r="C11" s="1" t="s">
        <v>32</v>
      </c>
      <c r="D11" s="10">
        <v>3513.5265999999997</v>
      </c>
      <c r="E11" s="10">
        <v>7233.6802000000016</v>
      </c>
      <c r="F11" s="10">
        <v>14628.232</v>
      </c>
      <c r="G11" s="10">
        <v>29573.438000000002</v>
      </c>
      <c r="H11" s="10">
        <v>60317.512000000032</v>
      </c>
      <c r="I11" s="10">
        <v>123192.66</v>
      </c>
      <c r="J11" s="10">
        <v>249858.86</v>
      </c>
      <c r="K11" s="10"/>
      <c r="L11" s="10"/>
      <c r="M11" s="10"/>
    </row>
    <row r="12" spans="1:13" x14ac:dyDescent="0.25">
      <c r="C12" s="1" t="s">
        <v>33</v>
      </c>
      <c r="D12" s="10" t="e">
        <v>#DIV/0!</v>
      </c>
      <c r="E12" s="10">
        <v>180.04105999999993</v>
      </c>
      <c r="F12" s="10">
        <v>363.30928</v>
      </c>
      <c r="G12" s="10">
        <v>838.31657999999993</v>
      </c>
      <c r="H12" s="10">
        <v>1727.2780000000007</v>
      </c>
      <c r="I12" s="10">
        <v>3494.7202000000002</v>
      </c>
      <c r="J12" s="10" t="e">
        <v>#DIV/0!</v>
      </c>
      <c r="K12" s="10"/>
      <c r="L12" s="10"/>
      <c r="M12" s="10"/>
    </row>
    <row r="13" spans="1:13" x14ac:dyDescent="0.25">
      <c r="C13" s="1" t="s">
        <v>34</v>
      </c>
      <c r="D13" s="10">
        <v>140.38074000000003</v>
      </c>
      <c r="E13" s="10">
        <v>175.42975999999999</v>
      </c>
      <c r="F13" s="10">
        <v>258.29015999999996</v>
      </c>
      <c r="G13" s="10">
        <v>509.21032000000008</v>
      </c>
      <c r="H13" s="10">
        <v>1465.8352000000002</v>
      </c>
      <c r="I13" s="10"/>
      <c r="J13" s="10"/>
      <c r="K13" s="10"/>
      <c r="L13" s="10"/>
      <c r="M13" s="10"/>
    </row>
    <row r="14" spans="1:13" x14ac:dyDescent="0.25">
      <c r="C14" s="1" t="s">
        <v>35</v>
      </c>
      <c r="D14" s="10">
        <v>139.51664000000002</v>
      </c>
      <c r="E14" s="10">
        <v>168.46209999999999</v>
      </c>
      <c r="F14" s="10">
        <v>235.29440000000011</v>
      </c>
      <c r="G14" s="10">
        <v>377.00120000000004</v>
      </c>
      <c r="H14" s="10">
        <v>707.26021999999978</v>
      </c>
      <c r="I14" s="10">
        <v>1315.4990000000003</v>
      </c>
      <c r="J14" s="10"/>
      <c r="K14" s="10"/>
      <c r="L14" s="10"/>
      <c r="M14" s="10"/>
    </row>
    <row r="15" spans="1:13" x14ac:dyDescent="0.25">
      <c r="C15" s="1" t="s">
        <v>36</v>
      </c>
      <c r="D15" s="10">
        <v>143.84924000000001</v>
      </c>
      <c r="E15" s="10">
        <v>181.52473999999998</v>
      </c>
      <c r="F15" s="10">
        <v>258.08097999999995</v>
      </c>
      <c r="G15" s="10">
        <v>439.6155</v>
      </c>
      <c r="H15" s="10">
        <v>905.88261999999986</v>
      </c>
      <c r="I15" s="10">
        <v>1659.4986000000004</v>
      </c>
      <c r="J15" s="10"/>
      <c r="K15" s="10"/>
      <c r="L15" s="10"/>
      <c r="M15" s="10"/>
    </row>
    <row r="16" spans="1:13" x14ac:dyDescent="0.25">
      <c r="C16" s="1" t="s">
        <v>38</v>
      </c>
      <c r="D16" s="10">
        <v>137.01147999999998</v>
      </c>
      <c r="E16" s="10">
        <v>172.40162000000001</v>
      </c>
      <c r="F16" s="10">
        <v>254.54899999999995</v>
      </c>
      <c r="G16" s="10">
        <v>507.06718000000029</v>
      </c>
      <c r="H16" s="10">
        <v>1462.2407999999996</v>
      </c>
      <c r="I16" s="10"/>
      <c r="J16" s="10"/>
      <c r="K16" s="10"/>
      <c r="L16" s="10"/>
      <c r="M16" s="10"/>
    </row>
    <row r="17" spans="3:13" x14ac:dyDescent="0.25">
      <c r="C17" s="1" t="s">
        <v>39</v>
      </c>
      <c r="D17" s="10">
        <v>136.42418000000001</v>
      </c>
      <c r="E17" s="10">
        <v>165.4325</v>
      </c>
      <c r="F17" s="10">
        <v>232.30190000000005</v>
      </c>
      <c r="G17" s="10">
        <v>373.59990000000005</v>
      </c>
      <c r="H17" s="10">
        <v>702.97108000000003</v>
      </c>
      <c r="I17" s="10">
        <v>1318.6645999999998</v>
      </c>
      <c r="J17" s="10"/>
      <c r="K17" s="10"/>
      <c r="L17" s="10"/>
      <c r="M17" s="10"/>
    </row>
    <row r="18" spans="3:13" x14ac:dyDescent="0.25">
      <c r="C18" s="1" t="s">
        <v>40</v>
      </c>
      <c r="D18" s="10">
        <v>140.32085999999993</v>
      </c>
      <c r="E18" s="10">
        <v>177.99306000000001</v>
      </c>
      <c r="F18" s="10">
        <v>253.34034000000003</v>
      </c>
      <c r="G18" s="10">
        <v>435.51635999999996</v>
      </c>
      <c r="H18" s="10">
        <v>900.90998000000025</v>
      </c>
      <c r="I18" s="10">
        <v>1663.8040000000003</v>
      </c>
      <c r="J18" s="10"/>
      <c r="K18" s="10"/>
      <c r="L18" s="10"/>
      <c r="M18" s="10"/>
    </row>
    <row r="19" spans="3:13" x14ac:dyDescent="0.25">
      <c r="C19" s="1" t="s">
        <v>41</v>
      </c>
      <c r="D19" s="10">
        <v>159.48311999999996</v>
      </c>
      <c r="E19" s="10">
        <v>215.39615999999995</v>
      </c>
      <c r="F19" s="10">
        <v>324.62055999999995</v>
      </c>
      <c r="G19" s="10">
        <v>591.91433999999992</v>
      </c>
      <c r="H19" s="10">
        <v>1137.1994000000002</v>
      </c>
      <c r="I19" s="10">
        <v>2089.5517999999997</v>
      </c>
      <c r="J19" s="10">
        <v>3956.9597999999992</v>
      </c>
      <c r="K19" s="10">
        <v>7731.988199999998</v>
      </c>
      <c r="L19" s="10">
        <v>15284.238000000007</v>
      </c>
      <c r="M19" s="10">
        <v>30625.924000000003</v>
      </c>
    </row>
    <row r="20" spans="3:13" x14ac:dyDescent="0.25">
      <c r="C20" s="1" t="s">
        <v>43</v>
      </c>
      <c r="D20" s="10">
        <v>156.28046000000001</v>
      </c>
      <c r="E20" s="10">
        <v>211.75698000000003</v>
      </c>
      <c r="F20" s="10">
        <v>320.85199999999998</v>
      </c>
      <c r="G20" s="10">
        <v>587.37030000000004</v>
      </c>
      <c r="H20" s="10">
        <v>1132.8438000000003</v>
      </c>
      <c r="I20" s="10">
        <v>2086.6380000000008</v>
      </c>
      <c r="J20" s="10">
        <v>3953.7000000000007</v>
      </c>
      <c r="K20" s="10">
        <v>7728.1356000000033</v>
      </c>
      <c r="L20" s="10">
        <v>15259.698</v>
      </c>
      <c r="M20" s="10">
        <v>30576.571999999993</v>
      </c>
    </row>
    <row r="21" spans="3:13" x14ac:dyDescent="0.25">
      <c r="C21" s="1" t="s">
        <v>8</v>
      </c>
      <c r="D21" s="10">
        <v>177.01834000000005</v>
      </c>
      <c r="E21" s="10">
        <v>347.65935999999994</v>
      </c>
      <c r="F21" s="10">
        <v>729.48356000000001</v>
      </c>
      <c r="G21" s="10">
        <v>1571.9328</v>
      </c>
      <c r="H21" s="10">
        <v>2973.3958000000002</v>
      </c>
      <c r="I21" s="10">
        <v>5877.9300000000021</v>
      </c>
      <c r="J21" s="10">
        <v>11587.754000000001</v>
      </c>
      <c r="K21" s="10">
        <v>18129.066000000003</v>
      </c>
      <c r="L21" s="10">
        <v>46444.664000000004</v>
      </c>
      <c r="M21" s="10"/>
    </row>
    <row r="22" spans="3:13" x14ac:dyDescent="0.25">
      <c r="C22" s="1" t="s">
        <v>37</v>
      </c>
      <c r="D22" s="10">
        <v>164.43588000000003</v>
      </c>
      <c r="E22" s="10">
        <v>272.34129999999999</v>
      </c>
      <c r="F22" s="10">
        <v>556.07011999999997</v>
      </c>
      <c r="G22" s="10">
        <v>1121.5558000000001</v>
      </c>
      <c r="H22" s="10">
        <v>2335.6867999999999</v>
      </c>
      <c r="I22" s="10">
        <v>5007.8009999999995</v>
      </c>
      <c r="J22" s="10"/>
      <c r="K22" s="10"/>
      <c r="L22" s="10"/>
      <c r="M22" s="10"/>
    </row>
    <row r="23" spans="3:13" x14ac:dyDescent="0.25">
      <c r="C23" s="1" t="s">
        <v>42</v>
      </c>
      <c r="D23" s="10">
        <v>172.38654</v>
      </c>
      <c r="E23" s="10">
        <v>293.99712</v>
      </c>
      <c r="F23" s="10">
        <v>564.55243999999993</v>
      </c>
      <c r="G23" s="10">
        <v>1238.9875999999997</v>
      </c>
      <c r="H23" s="10">
        <v>2646.4046000000003</v>
      </c>
      <c r="I23" s="10">
        <v>5354.9544000000005</v>
      </c>
      <c r="J23" s="10">
        <v>10525.518</v>
      </c>
      <c r="K23" s="10">
        <v>21042.53200000001</v>
      </c>
      <c r="L23" s="10">
        <v>49227.564000000013</v>
      </c>
      <c r="M23" s="10">
        <v>113891.8</v>
      </c>
    </row>
    <row r="24" spans="3:13" x14ac:dyDescent="0.25">
      <c r="C24" s="1" t="s">
        <v>45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3:13" x14ac:dyDescent="0.25">
      <c r="C25" s="1" t="s">
        <v>9</v>
      </c>
      <c r="D25" s="10">
        <v>1973.1380000000008</v>
      </c>
      <c r="E25" s="10">
        <v>3623.0832000000005</v>
      </c>
      <c r="F25" s="10">
        <v>7208.3450000000012</v>
      </c>
      <c r="G25" s="10">
        <v>13394.820000000002</v>
      </c>
      <c r="H25" s="10">
        <v>27060.616000000002</v>
      </c>
      <c r="I25" s="10">
        <v>352281.06</v>
      </c>
      <c r="J25" s="10">
        <v>350227.84</v>
      </c>
      <c r="K25" s="10"/>
      <c r="L25" s="10"/>
      <c r="M25" s="10"/>
    </row>
    <row r="26" spans="3:13" x14ac:dyDescent="0.25">
      <c r="C26" t="s">
        <v>2</v>
      </c>
      <c r="D26">
        <v>3546.6830612244898</v>
      </c>
      <c r="E26">
        <v>5310.9827999999989</v>
      </c>
      <c r="F26">
        <v>8683.371799999999</v>
      </c>
      <c r="G26">
        <v>15944.912</v>
      </c>
      <c r="H26">
        <v>29667.225999999995</v>
      </c>
      <c r="I26">
        <v>57498.675999999985</v>
      </c>
      <c r="J26">
        <v>114435.36</v>
      </c>
    </row>
    <row r="30" spans="3:13" x14ac:dyDescent="0.25">
      <c r="C30" s="1">
        <v>6</v>
      </c>
      <c r="D30" s="2">
        <v>2</v>
      </c>
      <c r="E30" s="3">
        <v>4</v>
      </c>
      <c r="F30" s="2">
        <v>8</v>
      </c>
      <c r="G30" s="2">
        <v>16</v>
      </c>
      <c r="H30" s="2">
        <v>32</v>
      </c>
      <c r="I30" s="2">
        <v>64</v>
      </c>
      <c r="J30" s="2">
        <v>128</v>
      </c>
      <c r="K30" s="2">
        <v>256</v>
      </c>
      <c r="L30" s="2">
        <v>512</v>
      </c>
      <c r="M30" s="7">
        <f>L30*2</f>
        <v>1024</v>
      </c>
    </row>
    <row r="31" spans="3:13" x14ac:dyDescent="0.25">
      <c r="C31" s="1"/>
      <c r="D31" s="4">
        <v>42</v>
      </c>
      <c r="E31" s="4">
        <v>84</v>
      </c>
      <c r="F31" s="4">
        <v>168</v>
      </c>
      <c r="G31" s="4">
        <v>336</v>
      </c>
      <c r="H31" s="4">
        <v>672</v>
      </c>
      <c r="I31" s="4">
        <v>1344</v>
      </c>
      <c r="J31" s="4">
        <v>2688</v>
      </c>
      <c r="K31" s="4">
        <v>5376</v>
      </c>
      <c r="L31" s="4">
        <v>10752</v>
      </c>
      <c r="M31" s="9">
        <f>L31*2</f>
        <v>21504</v>
      </c>
    </row>
    <row r="32" spans="3:13" x14ac:dyDescent="0.25">
      <c r="C32" s="1" t="s">
        <v>1</v>
      </c>
      <c r="D32" s="5">
        <f>D3/D$2</f>
        <v>119.07296190476188</v>
      </c>
      <c r="E32" s="5">
        <f t="shared" ref="E32:L32" si="0">E3/E$2</f>
        <v>101.12538809523808</v>
      </c>
      <c r="F32" s="5">
        <f t="shared" si="0"/>
        <v>91.848833333333346</v>
      </c>
      <c r="G32" s="5">
        <f t="shared" si="0"/>
        <v>90.418404761904725</v>
      </c>
      <c r="H32" s="5">
        <f t="shared" si="0"/>
        <v>87.654821428571438</v>
      </c>
      <c r="I32" s="5">
        <f t="shared" si="0"/>
        <v>82.922395833333326</v>
      </c>
      <c r="J32" s="5">
        <f t="shared" si="0"/>
        <v>79.754799107142858</v>
      </c>
      <c r="K32" s="5">
        <f t="shared" si="0"/>
        <v>83.4779724702381</v>
      </c>
      <c r="L32" s="5">
        <f t="shared" si="0"/>
        <v>84.524213169642849</v>
      </c>
      <c r="M32" s="5">
        <f t="shared" ref="M32" si="1">M3/M$2</f>
        <v>0</v>
      </c>
    </row>
    <row r="33" spans="3:13" x14ac:dyDescent="0.25">
      <c r="C33" s="1" t="s">
        <v>25</v>
      </c>
      <c r="D33" s="5">
        <f>D4/D$2</f>
        <v>3.4666723809523821</v>
      </c>
      <c r="E33" s="5">
        <f t="shared" ref="D33:L48" si="2">E4/E$2</f>
        <v>2.2190766666666666</v>
      </c>
      <c r="F33" s="5">
        <f t="shared" si="2"/>
        <v>1.5829224999999996</v>
      </c>
      <c r="G33" s="5">
        <f t="shared" si="2"/>
        <v>1.5274549999999996</v>
      </c>
      <c r="H33" s="5">
        <f t="shared" si="2"/>
        <v>0</v>
      </c>
      <c r="I33" s="5">
        <f t="shared" si="2"/>
        <v>0</v>
      </c>
      <c r="J33" s="5">
        <f t="shared" si="2"/>
        <v>0</v>
      </c>
      <c r="K33" s="5">
        <f t="shared" si="2"/>
        <v>0</v>
      </c>
      <c r="L33" s="5">
        <f t="shared" si="2"/>
        <v>0</v>
      </c>
      <c r="M33" s="5">
        <f t="shared" ref="M33" si="3">M4/M$2</f>
        <v>0</v>
      </c>
    </row>
    <row r="34" spans="3:13" x14ac:dyDescent="0.25">
      <c r="C34" s="1" t="s">
        <v>26</v>
      </c>
      <c r="D34" s="5">
        <f t="shared" si="2"/>
        <v>3.5409109523809525</v>
      </c>
      <c r="E34" s="5">
        <f t="shared" si="2"/>
        <v>2.1802928571428573</v>
      </c>
      <c r="F34" s="5">
        <f t="shared" si="2"/>
        <v>1.5541769047619047</v>
      </c>
      <c r="G34" s="5">
        <f t="shared" si="2"/>
        <v>1.2848858928571432</v>
      </c>
      <c r="H34" s="5">
        <f t="shared" si="2"/>
        <v>1.1419758333333332</v>
      </c>
      <c r="I34" s="5">
        <f t="shared" si="2"/>
        <v>1.0958229166666669</v>
      </c>
      <c r="J34" s="5">
        <f t="shared" si="2"/>
        <v>1.0867177083333335</v>
      </c>
      <c r="K34" s="5">
        <f t="shared" si="2"/>
        <v>1.0800703497023807</v>
      </c>
      <c r="L34" s="5">
        <f t="shared" si="2"/>
        <v>1.071416852678571</v>
      </c>
      <c r="M34" s="5">
        <f t="shared" ref="M34" si="4">M5/M$2</f>
        <v>0</v>
      </c>
    </row>
    <row r="35" spans="3:13" x14ac:dyDescent="0.25">
      <c r="C35" s="1" t="s">
        <v>27</v>
      </c>
      <c r="D35" s="5">
        <f t="shared" si="2"/>
        <v>3.6442819047619048</v>
      </c>
      <c r="E35" s="5">
        <f t="shared" si="2"/>
        <v>2.3596057142857143</v>
      </c>
      <c r="F35" s="5">
        <f t="shared" si="2"/>
        <v>1.6643389285714287</v>
      </c>
      <c r="G35" s="5">
        <f t="shared" si="2"/>
        <v>1.4653357738095234</v>
      </c>
      <c r="H35" s="5">
        <f t="shared" si="2"/>
        <v>1.440568184523809</v>
      </c>
      <c r="I35" s="5">
        <f t="shared" si="2"/>
        <v>1.3444639880952378</v>
      </c>
      <c r="J35" s="5">
        <f t="shared" si="2"/>
        <v>1.1408949404761946</v>
      </c>
      <c r="K35" s="5">
        <f t="shared" si="2"/>
        <v>1.093302529761905</v>
      </c>
      <c r="L35" s="5">
        <f t="shared" si="2"/>
        <v>1.0336936383928572</v>
      </c>
      <c r="M35" s="5">
        <f t="shared" ref="M35" si="5">M6/M$2</f>
        <v>0</v>
      </c>
    </row>
    <row r="36" spans="3:13" x14ac:dyDescent="0.25">
      <c r="C36" s="1" t="s">
        <v>28</v>
      </c>
      <c r="D36" s="5">
        <f t="shared" si="2"/>
        <v>3.4288209523809519</v>
      </c>
      <c r="E36" s="5">
        <f t="shared" si="2"/>
        <v>2.1811107142857136</v>
      </c>
      <c r="F36" s="5">
        <f t="shared" si="2"/>
        <v>1.5834041666666667</v>
      </c>
      <c r="G36" s="5">
        <f t="shared" si="2"/>
        <v>1.5214767857142855</v>
      </c>
      <c r="H36" s="5">
        <f t="shared" si="2"/>
        <v>0</v>
      </c>
      <c r="I36" s="5">
        <f t="shared" si="2"/>
        <v>0</v>
      </c>
      <c r="J36" s="5">
        <f t="shared" si="2"/>
        <v>0</v>
      </c>
      <c r="K36" s="5">
        <f t="shared" si="2"/>
        <v>0</v>
      </c>
      <c r="L36" s="5">
        <f t="shared" si="2"/>
        <v>0</v>
      </c>
      <c r="M36" s="5">
        <f t="shared" ref="M36" si="6">M7/M$2</f>
        <v>0</v>
      </c>
    </row>
    <row r="37" spans="3:13" x14ac:dyDescent="0.25">
      <c r="C37" s="1" t="s">
        <v>29</v>
      </c>
      <c r="D37" s="5">
        <f t="shared" si="2"/>
        <v>3.4567847619047609</v>
      </c>
      <c r="E37" s="5">
        <f t="shared" si="2"/>
        <v>2.1487233333333329</v>
      </c>
      <c r="F37" s="5">
        <f t="shared" si="2"/>
        <v>1.5472822619047624</v>
      </c>
      <c r="G37" s="5">
        <f t="shared" si="2"/>
        <v>1.2777741666666669</v>
      </c>
      <c r="H37" s="5">
        <f t="shared" si="2"/>
        <v>1.1424396130952386</v>
      </c>
      <c r="I37" s="5">
        <f t="shared" si="2"/>
        <v>1.0914406249999997</v>
      </c>
      <c r="J37" s="5">
        <f t="shared" si="2"/>
        <v>1.0816226190476195</v>
      </c>
      <c r="K37" s="5">
        <f t="shared" si="2"/>
        <v>1.0833465029761904</v>
      </c>
      <c r="L37" s="5">
        <f t="shared" si="2"/>
        <v>1.0570065104166668</v>
      </c>
      <c r="M37" s="5">
        <f t="shared" ref="M37" si="7">M8/M$2</f>
        <v>0</v>
      </c>
    </row>
    <row r="38" spans="3:13" x14ac:dyDescent="0.25">
      <c r="C38" s="1" t="s">
        <v>30</v>
      </c>
      <c r="D38" s="5">
        <f t="shared" si="2"/>
        <v>3.598992857142858</v>
      </c>
      <c r="E38" s="5">
        <f t="shared" si="2"/>
        <v>2.3101809523809518</v>
      </c>
      <c r="F38" s="5">
        <f t="shared" si="2"/>
        <v>1.6616407142857144</v>
      </c>
      <c r="G38" s="5">
        <f t="shared" si="2"/>
        <v>1.456121666666667</v>
      </c>
      <c r="H38" s="5">
        <f t="shared" si="2"/>
        <v>1.4368479166666666</v>
      </c>
      <c r="I38" s="5">
        <f t="shared" si="2"/>
        <v>1.356829910714286</v>
      </c>
      <c r="J38" s="5">
        <f t="shared" si="2"/>
        <v>1.1398545386904775</v>
      </c>
      <c r="K38" s="5">
        <f t="shared" si="2"/>
        <v>1.0918664062499996</v>
      </c>
      <c r="L38" s="5">
        <f t="shared" si="2"/>
        <v>1.0335364583333333</v>
      </c>
      <c r="M38" s="5">
        <f t="shared" ref="M38" si="8">M9/M$2</f>
        <v>0</v>
      </c>
    </row>
    <row r="39" spans="3:13" x14ac:dyDescent="0.25">
      <c r="C39" s="1" t="s">
        <v>31</v>
      </c>
      <c r="D39" s="5">
        <f t="shared" si="2"/>
        <v>49.128633333333333</v>
      </c>
      <c r="E39" s="5">
        <f t="shared" si="2"/>
        <v>29.456671428571433</v>
      </c>
      <c r="F39" s="5">
        <f t="shared" si="2"/>
        <v>12.088770238095233</v>
      </c>
      <c r="G39" s="5">
        <f t="shared" si="2"/>
        <v>11.775817857142858</v>
      </c>
      <c r="H39" s="5">
        <f t="shared" si="2"/>
        <v>6.5064645833333357</v>
      </c>
      <c r="I39" s="5">
        <f t="shared" si="2"/>
        <v>0</v>
      </c>
      <c r="J39" s="5">
        <f t="shared" si="2"/>
        <v>0</v>
      </c>
      <c r="K39" s="5">
        <f t="shared" si="2"/>
        <v>0</v>
      </c>
      <c r="L39" s="5">
        <f t="shared" si="2"/>
        <v>0</v>
      </c>
      <c r="M39" s="5">
        <f t="shared" ref="M39" si="9">M10/M$2</f>
        <v>0</v>
      </c>
    </row>
    <row r="40" spans="3:13" x14ac:dyDescent="0.25">
      <c r="C40" s="1" t="s">
        <v>32</v>
      </c>
      <c r="D40" s="5">
        <f t="shared" si="2"/>
        <v>83.655395238095224</v>
      </c>
      <c r="E40" s="5">
        <f t="shared" si="2"/>
        <v>86.115240476190493</v>
      </c>
      <c r="F40" s="5">
        <f t="shared" si="2"/>
        <v>87.072809523809525</v>
      </c>
      <c r="G40" s="5">
        <f t="shared" si="2"/>
        <v>88.016184523809528</v>
      </c>
      <c r="H40" s="5">
        <f t="shared" si="2"/>
        <v>89.758202380952426</v>
      </c>
      <c r="I40" s="5">
        <f t="shared" si="2"/>
        <v>91.661205357142862</v>
      </c>
      <c r="J40" s="5">
        <f t="shared" si="2"/>
        <v>92.953444940476189</v>
      </c>
      <c r="K40" s="5">
        <f t="shared" si="2"/>
        <v>0</v>
      </c>
      <c r="L40" s="5">
        <f t="shared" si="2"/>
        <v>0</v>
      </c>
      <c r="M40" s="5">
        <f t="shared" ref="M40" si="10">M11/M$2</f>
        <v>0</v>
      </c>
    </row>
    <row r="41" spans="3:13" x14ac:dyDescent="0.25">
      <c r="C41" s="1" t="s">
        <v>33</v>
      </c>
      <c r="D41" s="5" t="e">
        <f t="shared" si="2"/>
        <v>#DIV/0!</v>
      </c>
      <c r="E41" s="5">
        <f t="shared" si="2"/>
        <v>2.1433459523809515</v>
      </c>
      <c r="F41" s="5">
        <f t="shared" si="2"/>
        <v>2.162555238095238</v>
      </c>
      <c r="G41" s="5">
        <f t="shared" si="2"/>
        <v>2.4949898214285713</v>
      </c>
      <c r="H41" s="5">
        <f t="shared" si="2"/>
        <v>2.5703541666666676</v>
      </c>
      <c r="I41" s="5">
        <f t="shared" si="2"/>
        <v>2.6002382440476191</v>
      </c>
      <c r="J41" s="5" t="e">
        <f t="shared" si="2"/>
        <v>#DIV/0!</v>
      </c>
      <c r="K41" s="5">
        <f t="shared" si="2"/>
        <v>0</v>
      </c>
      <c r="L41" s="5">
        <f t="shared" si="2"/>
        <v>0</v>
      </c>
      <c r="M41" s="5">
        <f t="shared" ref="M41" si="11">M12/M$2</f>
        <v>0</v>
      </c>
    </row>
    <row r="42" spans="3:13" x14ac:dyDescent="0.25">
      <c r="C42" s="1" t="s">
        <v>34</v>
      </c>
      <c r="D42" s="5">
        <f t="shared" si="2"/>
        <v>3.3423985714285722</v>
      </c>
      <c r="E42" s="5">
        <f t="shared" si="2"/>
        <v>2.0884495238095235</v>
      </c>
      <c r="F42" s="5">
        <f t="shared" si="2"/>
        <v>1.5374414285714284</v>
      </c>
      <c r="G42" s="5">
        <f t="shared" si="2"/>
        <v>1.515506904761905</v>
      </c>
      <c r="H42" s="5">
        <f t="shared" si="2"/>
        <v>2.1813023809523813</v>
      </c>
      <c r="I42" s="5">
        <f t="shared" si="2"/>
        <v>0</v>
      </c>
      <c r="J42" s="5">
        <f t="shared" si="2"/>
        <v>0</v>
      </c>
      <c r="K42" s="5">
        <f t="shared" si="2"/>
        <v>0</v>
      </c>
      <c r="L42" s="5">
        <f t="shared" si="2"/>
        <v>0</v>
      </c>
      <c r="M42" s="5">
        <f t="shared" ref="M42" si="12">M13/M$2</f>
        <v>0</v>
      </c>
    </row>
    <row r="43" spans="3:13" x14ac:dyDescent="0.25">
      <c r="C43" s="1" t="s">
        <v>35</v>
      </c>
      <c r="D43" s="5">
        <f t="shared" si="2"/>
        <v>3.3218247619047623</v>
      </c>
      <c r="E43" s="5">
        <f t="shared" si="2"/>
        <v>2.0055011904761906</v>
      </c>
      <c r="F43" s="5">
        <f t="shared" si="2"/>
        <v>1.4005619047619053</v>
      </c>
      <c r="G43" s="5">
        <f t="shared" si="2"/>
        <v>1.1220273809523811</v>
      </c>
      <c r="H43" s="5">
        <f t="shared" si="2"/>
        <v>1.0524705654761901</v>
      </c>
      <c r="I43" s="5">
        <f t="shared" si="2"/>
        <v>0.97879389880952394</v>
      </c>
      <c r="J43" s="5">
        <f t="shared" si="2"/>
        <v>0</v>
      </c>
      <c r="K43" s="5">
        <f t="shared" si="2"/>
        <v>0</v>
      </c>
      <c r="L43" s="5">
        <f t="shared" si="2"/>
        <v>0</v>
      </c>
      <c r="M43" s="5">
        <f t="shared" ref="M43" si="13">M14/M$2</f>
        <v>0</v>
      </c>
    </row>
    <row r="44" spans="3:13" x14ac:dyDescent="0.25">
      <c r="C44" s="1" t="s">
        <v>36</v>
      </c>
      <c r="D44" s="5">
        <f t="shared" si="2"/>
        <v>3.4249819047619048</v>
      </c>
      <c r="E44" s="5">
        <f t="shared" si="2"/>
        <v>2.1610088095238091</v>
      </c>
      <c r="F44" s="5">
        <f t="shared" si="2"/>
        <v>1.5361963095238091</v>
      </c>
      <c r="G44" s="5">
        <f t="shared" si="2"/>
        <v>1.3083794642857143</v>
      </c>
      <c r="H44" s="5">
        <f t="shared" si="2"/>
        <v>1.3480396130952379</v>
      </c>
      <c r="I44" s="5">
        <f t="shared" si="2"/>
        <v>1.2347459821428575</v>
      </c>
      <c r="J44" s="5">
        <f t="shared" si="2"/>
        <v>0</v>
      </c>
      <c r="K44" s="5">
        <f t="shared" si="2"/>
        <v>0</v>
      </c>
      <c r="L44" s="5">
        <f t="shared" si="2"/>
        <v>0</v>
      </c>
      <c r="M44" s="5">
        <f t="shared" ref="M44" si="14">M15/M$2</f>
        <v>0</v>
      </c>
    </row>
    <row r="45" spans="3:13" x14ac:dyDescent="0.25">
      <c r="C45" s="1" t="s">
        <v>38</v>
      </c>
      <c r="D45" s="5">
        <f t="shared" si="2"/>
        <v>3.2621780952380948</v>
      </c>
      <c r="E45" s="5">
        <f t="shared" si="2"/>
        <v>2.0524002380952382</v>
      </c>
      <c r="F45" s="5">
        <f t="shared" si="2"/>
        <v>1.5151726190476187</v>
      </c>
      <c r="G45" s="5">
        <f t="shared" si="2"/>
        <v>1.5091285119047628</v>
      </c>
      <c r="H45" s="5">
        <f t="shared" si="2"/>
        <v>2.1759535714285709</v>
      </c>
      <c r="I45" s="5">
        <f t="shared" si="2"/>
        <v>0</v>
      </c>
      <c r="J45" s="5">
        <f t="shared" si="2"/>
        <v>0</v>
      </c>
      <c r="K45" s="5">
        <f t="shared" si="2"/>
        <v>0</v>
      </c>
      <c r="L45" s="5">
        <f t="shared" si="2"/>
        <v>0</v>
      </c>
      <c r="M45" s="5">
        <f t="shared" ref="M45" si="15">M16/M$2</f>
        <v>0</v>
      </c>
    </row>
    <row r="46" spans="3:13" x14ac:dyDescent="0.25">
      <c r="C46" s="1" t="s">
        <v>39</v>
      </c>
      <c r="D46" s="5">
        <f t="shared" si="2"/>
        <v>3.2481947619047622</v>
      </c>
      <c r="E46" s="5">
        <f t="shared" si="2"/>
        <v>1.9694345238095239</v>
      </c>
      <c r="F46" s="5">
        <f t="shared" si="2"/>
        <v>1.3827494047619051</v>
      </c>
      <c r="G46" s="5">
        <f t="shared" si="2"/>
        <v>1.1119044642857143</v>
      </c>
      <c r="H46" s="5">
        <f t="shared" si="2"/>
        <v>1.0460879166666668</v>
      </c>
      <c r="I46" s="5">
        <f t="shared" si="2"/>
        <v>0.98114925595238078</v>
      </c>
      <c r="J46" s="5">
        <f t="shared" si="2"/>
        <v>0</v>
      </c>
      <c r="K46" s="5">
        <f t="shared" si="2"/>
        <v>0</v>
      </c>
      <c r="L46" s="5">
        <f t="shared" si="2"/>
        <v>0</v>
      </c>
      <c r="M46" s="5">
        <f t="shared" ref="M46" si="16">M17/M$2</f>
        <v>0</v>
      </c>
    </row>
    <row r="47" spans="3:13" x14ac:dyDescent="0.25">
      <c r="C47" s="1" t="s">
        <v>40</v>
      </c>
      <c r="D47" s="5">
        <f t="shared" si="2"/>
        <v>3.3409728571428552</v>
      </c>
      <c r="E47" s="5">
        <f t="shared" si="2"/>
        <v>2.1189650000000002</v>
      </c>
      <c r="F47" s="5">
        <f t="shared" si="2"/>
        <v>1.5079782142857145</v>
      </c>
      <c r="G47" s="5">
        <f t="shared" si="2"/>
        <v>1.2961796428571428</v>
      </c>
      <c r="H47" s="5">
        <f t="shared" si="2"/>
        <v>1.3406398511904765</v>
      </c>
      <c r="I47" s="5">
        <f t="shared" si="2"/>
        <v>1.2379494047619051</v>
      </c>
      <c r="J47" s="5">
        <f t="shared" si="2"/>
        <v>0</v>
      </c>
      <c r="K47" s="5">
        <f t="shared" si="2"/>
        <v>0</v>
      </c>
      <c r="L47" s="5">
        <f t="shared" si="2"/>
        <v>0</v>
      </c>
      <c r="M47" s="5">
        <f t="shared" ref="M47" si="17">M18/M$2</f>
        <v>0</v>
      </c>
    </row>
    <row r="48" spans="3:13" x14ac:dyDescent="0.25">
      <c r="C48" s="1" t="s">
        <v>41</v>
      </c>
      <c r="D48" s="5">
        <f t="shared" si="2"/>
        <v>3.797217142857142</v>
      </c>
      <c r="E48" s="5">
        <f t="shared" si="2"/>
        <v>2.5642399999999994</v>
      </c>
      <c r="F48" s="5">
        <f t="shared" si="2"/>
        <v>1.9322652380952379</v>
      </c>
      <c r="G48" s="5">
        <f t="shared" si="2"/>
        <v>1.7616498214285712</v>
      </c>
      <c r="H48" s="5">
        <f t="shared" si="2"/>
        <v>1.6922610119047623</v>
      </c>
      <c r="I48" s="5">
        <f t="shared" si="2"/>
        <v>1.5547260416666664</v>
      </c>
      <c r="J48" s="5">
        <f t="shared" si="2"/>
        <v>1.4720832589285711</v>
      </c>
      <c r="K48" s="5">
        <f t="shared" si="2"/>
        <v>1.438241852678571</v>
      </c>
      <c r="L48" s="5">
        <f t="shared" si="2"/>
        <v>1.4215251116071435</v>
      </c>
      <c r="M48" s="5">
        <f t="shared" ref="M48" si="18">M19/M$2</f>
        <v>1.4241966145833334</v>
      </c>
    </row>
    <row r="49" spans="3:22" x14ac:dyDescent="0.25">
      <c r="C49" s="1" t="s">
        <v>43</v>
      </c>
      <c r="D49" s="5">
        <f t="shared" ref="D49:L55" si="19">D20/D$2</f>
        <v>3.7209633333333336</v>
      </c>
      <c r="E49" s="5">
        <f t="shared" si="19"/>
        <v>2.5209164285714287</v>
      </c>
      <c r="F49" s="5">
        <f t="shared" si="19"/>
        <v>1.9098333333333333</v>
      </c>
      <c r="G49" s="5">
        <f t="shared" si="19"/>
        <v>1.748125892857143</v>
      </c>
      <c r="H49" s="5">
        <f t="shared" si="19"/>
        <v>1.6857794642857147</v>
      </c>
      <c r="I49" s="5">
        <f t="shared" si="19"/>
        <v>1.5525580357142863</v>
      </c>
      <c r="J49" s="5">
        <f t="shared" si="19"/>
        <v>1.4708705357142859</v>
      </c>
      <c r="K49" s="5">
        <f t="shared" si="19"/>
        <v>1.4375252232142863</v>
      </c>
      <c r="L49" s="5">
        <f t="shared" si="19"/>
        <v>1.4192427455357144</v>
      </c>
      <c r="M49" s="5">
        <f t="shared" ref="M49" si="20">M20/M$2</f>
        <v>1.4219015997023807</v>
      </c>
    </row>
    <row r="50" spans="3:22" x14ac:dyDescent="0.25">
      <c r="C50" s="1" t="s">
        <v>44</v>
      </c>
      <c r="D50" s="5">
        <f t="shared" si="19"/>
        <v>4.2147223809523826</v>
      </c>
      <c r="E50" s="5">
        <f t="shared" si="19"/>
        <v>4.1388019047619036</v>
      </c>
      <c r="F50" s="5">
        <f t="shared" si="19"/>
        <v>4.3421640476190477</v>
      </c>
      <c r="G50" s="5">
        <f t="shared" si="19"/>
        <v>4.6783714285714284</v>
      </c>
      <c r="H50" s="5">
        <f t="shared" si="19"/>
        <v>4.4246961309523813</v>
      </c>
      <c r="I50" s="5">
        <f t="shared" si="19"/>
        <v>4.3734598214285727</v>
      </c>
      <c r="J50" s="5">
        <f t="shared" si="19"/>
        <v>4.3109203869047619</v>
      </c>
      <c r="K50" s="5">
        <f t="shared" si="19"/>
        <v>3.3722220982142863</v>
      </c>
      <c r="L50" s="5">
        <f t="shared" si="19"/>
        <v>4.3196302083333338</v>
      </c>
      <c r="M50" s="5">
        <f t="shared" ref="M50" si="21">M21/M$2</f>
        <v>0</v>
      </c>
    </row>
    <row r="51" spans="3:22" x14ac:dyDescent="0.25">
      <c r="C51" s="1" t="s">
        <v>37</v>
      </c>
      <c r="D51" s="5">
        <f t="shared" si="19"/>
        <v>3.9151400000000005</v>
      </c>
      <c r="E51" s="5">
        <f t="shared" si="19"/>
        <v>3.2421583333333333</v>
      </c>
      <c r="F51" s="5">
        <f t="shared" si="19"/>
        <v>3.3099411904761902</v>
      </c>
      <c r="G51" s="5">
        <f t="shared" si="19"/>
        <v>3.3379636904761907</v>
      </c>
      <c r="H51" s="5">
        <f t="shared" si="19"/>
        <v>3.4757244047619045</v>
      </c>
      <c r="I51" s="5">
        <f t="shared" si="19"/>
        <v>3.7260424107142853</v>
      </c>
      <c r="J51" s="5">
        <f t="shared" si="19"/>
        <v>0</v>
      </c>
      <c r="K51" s="5">
        <f t="shared" si="19"/>
        <v>0</v>
      </c>
      <c r="L51" s="5">
        <f t="shared" si="19"/>
        <v>0</v>
      </c>
      <c r="M51" s="5">
        <f t="shared" ref="M51" si="22">M22/M$2</f>
        <v>0</v>
      </c>
    </row>
    <row r="52" spans="3:22" x14ac:dyDescent="0.25">
      <c r="C52" s="1" t="s">
        <v>42</v>
      </c>
      <c r="D52" s="5">
        <f t="shared" si="19"/>
        <v>4.1044414285714286</v>
      </c>
      <c r="E52" s="5">
        <f t="shared" si="19"/>
        <v>3.4999657142857141</v>
      </c>
      <c r="F52" s="5">
        <f t="shared" si="19"/>
        <v>3.3604311904761901</v>
      </c>
      <c r="G52" s="5">
        <f t="shared" si="19"/>
        <v>3.6874630952380945</v>
      </c>
      <c r="H52" s="5">
        <f t="shared" si="19"/>
        <v>3.9381020833333338</v>
      </c>
      <c r="I52" s="5">
        <f t="shared" si="19"/>
        <v>3.9843410714285716</v>
      </c>
      <c r="J52" s="5">
        <f t="shared" si="19"/>
        <v>3.9157433035714284</v>
      </c>
      <c r="K52" s="5">
        <f t="shared" si="19"/>
        <v>3.9141614583333353</v>
      </c>
      <c r="L52" s="5">
        <f t="shared" si="19"/>
        <v>4.5784564732142865</v>
      </c>
      <c r="M52" s="5">
        <f t="shared" ref="M52" si="23">M23/M$2</f>
        <v>5.2963076636904765</v>
      </c>
    </row>
    <row r="53" spans="3:22" x14ac:dyDescent="0.25">
      <c r="C53" s="1" t="s">
        <v>45</v>
      </c>
      <c r="D53" s="5">
        <f t="shared" si="19"/>
        <v>0</v>
      </c>
      <c r="E53" s="5">
        <f t="shared" si="19"/>
        <v>0</v>
      </c>
      <c r="F53" s="5">
        <f t="shared" si="19"/>
        <v>0</v>
      </c>
      <c r="G53" s="5">
        <f t="shared" si="19"/>
        <v>0</v>
      </c>
      <c r="H53" s="5">
        <f t="shared" si="19"/>
        <v>0</v>
      </c>
      <c r="I53" s="5">
        <f t="shared" si="19"/>
        <v>0</v>
      </c>
      <c r="J53" s="5">
        <f t="shared" si="19"/>
        <v>0</v>
      </c>
      <c r="K53" s="5">
        <f t="shared" si="19"/>
        <v>0</v>
      </c>
      <c r="L53" s="5">
        <f t="shared" si="19"/>
        <v>0</v>
      </c>
      <c r="M53" s="5">
        <f t="shared" ref="M53" si="24">M24/M$2</f>
        <v>0</v>
      </c>
    </row>
    <row r="54" spans="3:22" x14ac:dyDescent="0.25">
      <c r="C54" s="1" t="s">
        <v>9</v>
      </c>
      <c r="D54" s="5">
        <f t="shared" si="19"/>
        <v>46.979476190476213</v>
      </c>
      <c r="E54" s="5">
        <f t="shared" si="19"/>
        <v>43.13194285714286</v>
      </c>
      <c r="F54" s="5">
        <f t="shared" si="19"/>
        <v>42.906815476190481</v>
      </c>
      <c r="G54" s="5">
        <f t="shared" si="19"/>
        <v>39.86553571428572</v>
      </c>
      <c r="H54" s="5">
        <f t="shared" si="19"/>
        <v>40.268773809523815</v>
      </c>
      <c r="I54" s="5">
        <f t="shared" si="19"/>
        <v>262.11388392857145</v>
      </c>
      <c r="J54" s="5">
        <f t="shared" si="19"/>
        <v>130.29309523809525</v>
      </c>
      <c r="K54" s="5">
        <f t="shared" si="19"/>
        <v>0</v>
      </c>
      <c r="L54" s="5">
        <f t="shared" si="19"/>
        <v>0</v>
      </c>
      <c r="M54" s="5">
        <f t="shared" ref="M54:M55" si="25">M25/M$2</f>
        <v>0</v>
      </c>
    </row>
    <row r="55" spans="3:22" x14ac:dyDescent="0.25">
      <c r="C55" t="s">
        <v>2</v>
      </c>
      <c r="D55" s="5">
        <f>D26/D$2</f>
        <v>84.444834791059279</v>
      </c>
      <c r="E55" s="5">
        <f t="shared" si="19"/>
        <v>63.225985714285699</v>
      </c>
      <c r="F55" s="5">
        <f t="shared" si="19"/>
        <v>51.686736904761901</v>
      </c>
      <c r="G55" s="5">
        <f t="shared" si="19"/>
        <v>47.45509523809524</v>
      </c>
      <c r="H55" s="5">
        <f t="shared" si="19"/>
        <v>44.147657738095234</v>
      </c>
      <c r="I55" s="5">
        <f t="shared" si="19"/>
        <v>42.781752976190468</v>
      </c>
      <c r="J55" s="5">
        <f t="shared" si="19"/>
        <v>42.572678571428568</v>
      </c>
      <c r="K55" s="5">
        <f t="shared" si="19"/>
        <v>0</v>
      </c>
      <c r="L55" s="5">
        <f t="shared" si="19"/>
        <v>0</v>
      </c>
      <c r="M55" s="5">
        <f t="shared" si="25"/>
        <v>0</v>
      </c>
      <c r="O55" s="105">
        <f>D55/SQRT(D31)</f>
        <v>13.030120895255854</v>
      </c>
      <c r="P55" s="105">
        <f t="shared" ref="P55:S55" si="26">E55/SQRT(E31)</f>
        <v>6.8985206053312096</v>
      </c>
      <c r="Q55" s="105">
        <f t="shared" si="26"/>
        <v>3.9877183265070233</v>
      </c>
      <c r="R55" s="105">
        <f t="shared" si="26"/>
        <v>2.5888876909513079</v>
      </c>
      <c r="S55" s="105">
        <f t="shared" si="26"/>
        <v>1.7030328704919908</v>
      </c>
      <c r="T55" s="105">
        <f>I55/SQRT(I31)</f>
        <v>1.166967984382709</v>
      </c>
      <c r="U55" s="105">
        <f t="shared" ref="U55" si="27">J55/SQRT(J31)</f>
        <v>0.82113836505384918</v>
      </c>
      <c r="V55" s="105"/>
    </row>
    <row r="56" spans="3:22" x14ac:dyDescent="0.25">
      <c r="D56" s="147">
        <f>D35/D34</f>
        <v>1.0291933216539784</v>
      </c>
      <c r="E56" s="147">
        <f t="shared" ref="E56:M56" si="28">E35/E34</f>
        <v>1.0822425558820734</v>
      </c>
      <c r="F56" s="147">
        <f t="shared" si="28"/>
        <v>1.0708812642061494</v>
      </c>
      <c r="G56" s="147">
        <f t="shared" si="28"/>
        <v>1.1404403939334427</v>
      </c>
      <c r="H56" s="147">
        <f>H35/H34</f>
        <v>1.2614699387454718</v>
      </c>
      <c r="I56" s="147">
        <f t="shared" si="28"/>
        <v>1.2268989520541336</v>
      </c>
      <c r="J56" s="147">
        <f t="shared" si="28"/>
        <v>1.0498540069122009</v>
      </c>
      <c r="K56" s="147">
        <f t="shared" si="28"/>
        <v>1.0122512205461158</v>
      </c>
      <c r="L56" s="147">
        <f t="shared" si="28"/>
        <v>0.96479128157130933</v>
      </c>
      <c r="M56" s="147" t="e">
        <f t="shared" si="28"/>
        <v>#DIV/0!</v>
      </c>
    </row>
    <row r="57" spans="3:22" x14ac:dyDescent="0.25">
      <c r="D57" s="147">
        <f>D38/D37</f>
        <v>1.0411388342153352</v>
      </c>
      <c r="E57" s="147">
        <f t="shared" ref="E57:M57" si="29">E38/E37</f>
        <v>1.0751411857184743</v>
      </c>
      <c r="F57" s="147">
        <f t="shared" si="29"/>
        <v>1.0739092376333277</v>
      </c>
      <c r="G57" s="147">
        <f t="shared" si="29"/>
        <v>1.1395766988037141</v>
      </c>
      <c r="H57" s="147">
        <f t="shared" si="29"/>
        <v>1.257701413883733</v>
      </c>
      <c r="I57" s="147">
        <f t="shared" si="29"/>
        <v>1.2431550371457782</v>
      </c>
      <c r="J57" s="147">
        <f t="shared" si="29"/>
        <v>1.053837557219478</v>
      </c>
      <c r="K57" s="147">
        <f t="shared" si="29"/>
        <v>1.007864430494217</v>
      </c>
      <c r="L57" s="147">
        <f t="shared" si="29"/>
        <v>0.97779573554936594</v>
      </c>
      <c r="M57" t="e">
        <f t="shared" si="29"/>
        <v>#DIV/0!</v>
      </c>
    </row>
    <row r="58" spans="3:22" x14ac:dyDescent="0.25">
      <c r="D58" s="147">
        <f>D44/D43</f>
        <v>1.0310543602540885</v>
      </c>
      <c r="E58" s="147">
        <f t="shared" ref="E58:L58" si="30">E44/E43</f>
        <v>1.0775405269197045</v>
      </c>
      <c r="F58" s="147">
        <f t="shared" si="30"/>
        <v>1.0968428487885806</v>
      </c>
      <c r="G58" s="147">
        <f t="shared" si="30"/>
        <v>1.1660851477395826</v>
      </c>
      <c r="H58" s="147">
        <f t="shared" si="30"/>
        <v>1.2808335523239243</v>
      </c>
      <c r="I58" s="147">
        <f t="shared" si="30"/>
        <v>1.2614974241713601</v>
      </c>
      <c r="J58" s="147" t="e">
        <f t="shared" si="30"/>
        <v>#DIV/0!</v>
      </c>
      <c r="K58" s="147" t="e">
        <f t="shared" si="30"/>
        <v>#DIV/0!</v>
      </c>
      <c r="L58" s="147" t="e">
        <f t="shared" si="30"/>
        <v>#DIV/0!</v>
      </c>
    </row>
    <row r="59" spans="3:22" x14ac:dyDescent="0.25">
      <c r="D59" s="147">
        <f>D47/D46</f>
        <v>1.0285629717547131</v>
      </c>
      <c r="E59" s="147">
        <f t="shared" ref="E59:L59" si="31">E47/E46</f>
        <v>1.0759255889864447</v>
      </c>
      <c r="F59" s="147">
        <f t="shared" si="31"/>
        <v>1.0905650793213486</v>
      </c>
      <c r="G59" s="147">
        <f t="shared" si="31"/>
        <v>1.1657293270153444</v>
      </c>
      <c r="H59" s="147">
        <f t="shared" si="31"/>
        <v>1.2815747413108376</v>
      </c>
      <c r="I59" s="147">
        <f t="shared" si="31"/>
        <v>1.2617340300179445</v>
      </c>
      <c r="J59" s="147" t="e">
        <f t="shared" si="31"/>
        <v>#DIV/0!</v>
      </c>
      <c r="K59" s="147" t="e">
        <f t="shared" si="31"/>
        <v>#DIV/0!</v>
      </c>
      <c r="L59" s="147" t="e">
        <f t="shared" si="31"/>
        <v>#DIV/0!</v>
      </c>
    </row>
    <row r="60" spans="3:22" x14ac:dyDescent="0.25">
      <c r="C60" s="1">
        <v>50</v>
      </c>
      <c r="D60" s="2">
        <v>2</v>
      </c>
      <c r="E60" s="3">
        <v>4</v>
      </c>
      <c r="F60" s="2">
        <v>8</v>
      </c>
      <c r="G60" s="2">
        <v>16</v>
      </c>
      <c r="H60" s="2">
        <v>32</v>
      </c>
      <c r="I60" s="2">
        <v>64</v>
      </c>
      <c r="J60" s="2">
        <v>128</v>
      </c>
      <c r="K60" s="2">
        <v>256</v>
      </c>
      <c r="L60" s="2">
        <v>512</v>
      </c>
      <c r="M60" s="7">
        <f>L60*2</f>
        <v>1024</v>
      </c>
    </row>
    <row r="61" spans="3:22" x14ac:dyDescent="0.25">
      <c r="C61" s="1"/>
      <c r="D61" s="4">
        <v>42</v>
      </c>
      <c r="E61" s="4">
        <v>84</v>
      </c>
      <c r="F61" s="4">
        <v>168</v>
      </c>
      <c r="G61" s="4">
        <v>336</v>
      </c>
      <c r="H61" s="4">
        <v>672</v>
      </c>
      <c r="I61" s="4">
        <v>1344</v>
      </c>
      <c r="J61" s="4">
        <v>2688</v>
      </c>
      <c r="K61" s="4">
        <v>5376</v>
      </c>
      <c r="L61" s="4">
        <v>10752</v>
      </c>
      <c r="M61" s="9">
        <f>L61*2</f>
        <v>21504</v>
      </c>
    </row>
    <row r="62" spans="3:22" x14ac:dyDescent="0.25">
      <c r="C62" s="1" t="s">
        <v>1</v>
      </c>
      <c r="D62" s="12">
        <f t="shared" ref="D62:L77" si="32">D$3/D3</f>
        <v>1</v>
      </c>
      <c r="E62" s="12">
        <f t="shared" si="32"/>
        <v>1</v>
      </c>
      <c r="F62" s="12">
        <f t="shared" si="32"/>
        <v>1</v>
      </c>
      <c r="G62" s="12">
        <f t="shared" si="32"/>
        <v>1</v>
      </c>
      <c r="H62" s="12">
        <f t="shared" si="32"/>
        <v>1</v>
      </c>
      <c r="I62" s="12">
        <f t="shared" si="32"/>
        <v>1</v>
      </c>
      <c r="J62" s="12">
        <f t="shared" si="32"/>
        <v>1</v>
      </c>
      <c r="K62" s="12">
        <f t="shared" si="32"/>
        <v>1</v>
      </c>
      <c r="L62" s="12">
        <f t="shared" si="32"/>
        <v>1</v>
      </c>
      <c r="M62" s="12" t="e">
        <f t="shared" ref="M62" si="33">M$3/M3</f>
        <v>#DIV/0!</v>
      </c>
    </row>
    <row r="63" spans="3:22" x14ac:dyDescent="0.25">
      <c r="C63" s="1" t="s">
        <v>25</v>
      </c>
      <c r="D63" s="12">
        <f t="shared" si="32"/>
        <v>34.347913162780486</v>
      </c>
      <c r="E63" s="12">
        <f t="shared" si="32"/>
        <v>45.570930294689269</v>
      </c>
      <c r="F63" s="12">
        <f t="shared" si="32"/>
        <v>58.024845394094392</v>
      </c>
      <c r="G63" s="12">
        <f t="shared" si="32"/>
        <v>59.19546223090353</v>
      </c>
      <c r="H63" s="12" t="e">
        <f t="shared" si="32"/>
        <v>#DIV/0!</v>
      </c>
      <c r="I63" s="12" t="e">
        <f t="shared" si="32"/>
        <v>#DIV/0!</v>
      </c>
      <c r="J63" s="12" t="e">
        <f t="shared" si="32"/>
        <v>#DIV/0!</v>
      </c>
      <c r="K63" s="12" t="e">
        <f t="shared" si="32"/>
        <v>#DIV/0!</v>
      </c>
      <c r="L63" s="12" t="e">
        <f t="shared" si="32"/>
        <v>#DIV/0!</v>
      </c>
      <c r="M63" s="12" t="e">
        <f t="shared" ref="M63" si="34">M$3/M4</f>
        <v>#DIV/0!</v>
      </c>
    </row>
    <row r="64" spans="3:22" x14ac:dyDescent="0.25">
      <c r="C64" s="1" t="s">
        <v>26</v>
      </c>
      <c r="D64" s="12">
        <f t="shared" si="32"/>
        <v>33.62777644117137</v>
      </c>
      <c r="E64" s="12">
        <f t="shared" si="32"/>
        <v>46.381561891532698</v>
      </c>
      <c r="F64" s="12">
        <f t="shared" si="32"/>
        <v>59.098055730923576</v>
      </c>
      <c r="G64" s="12">
        <f t="shared" si="32"/>
        <v>70.370766201538231</v>
      </c>
      <c r="H64" s="12">
        <f t="shared" si="32"/>
        <v>76.75715971389188</v>
      </c>
      <c r="I64" s="12">
        <f t="shared" si="32"/>
        <v>75.671346685804977</v>
      </c>
      <c r="J64" s="12">
        <f t="shared" si="32"/>
        <v>73.390539691729529</v>
      </c>
      <c r="K64" s="12">
        <f t="shared" si="32"/>
        <v>77.289384430598346</v>
      </c>
      <c r="L64" s="12">
        <f t="shared" si="32"/>
        <v>78.890128485780338</v>
      </c>
      <c r="M64" s="12" t="e">
        <f t="shared" ref="M64" si="35">M$3/M5</f>
        <v>#DIV/0!</v>
      </c>
    </row>
    <row r="65" spans="3:13" x14ac:dyDescent="0.25">
      <c r="C65" s="1" t="s">
        <v>27</v>
      </c>
      <c r="D65" s="12">
        <f t="shared" si="32"/>
        <v>32.673916293130837</v>
      </c>
      <c r="E65" s="12">
        <f t="shared" si="32"/>
        <v>42.856900830082182</v>
      </c>
      <c r="F65" s="12">
        <f t="shared" si="32"/>
        <v>55.186375657373482</v>
      </c>
      <c r="G65" s="12">
        <f t="shared" si="32"/>
        <v>61.704905031314738</v>
      </c>
      <c r="H65" s="12">
        <f t="shared" si="32"/>
        <v>60.847395055824045</v>
      </c>
      <c r="I65" s="12">
        <f t="shared" si="32"/>
        <v>61.676918509965589</v>
      </c>
      <c r="J65" s="12">
        <f t="shared" si="32"/>
        <v>69.90547181658485</v>
      </c>
      <c r="K65" s="12">
        <f t="shared" si="32"/>
        <v>76.353955284835564</v>
      </c>
      <c r="L65" s="12">
        <f t="shared" si="32"/>
        <v>81.769114203950693</v>
      </c>
      <c r="M65" s="12" t="e">
        <f t="shared" ref="M65" si="36">M$3/M6</f>
        <v>#DIV/0!</v>
      </c>
    </row>
    <row r="66" spans="3:13" x14ac:dyDescent="0.25">
      <c r="C66" s="1" t="s">
        <v>28</v>
      </c>
      <c r="D66" s="12">
        <f t="shared" si="32"/>
        <v>34.727086528702635</v>
      </c>
      <c r="E66" s="12">
        <f t="shared" si="32"/>
        <v>46.364170068439364</v>
      </c>
      <c r="F66" s="12">
        <f t="shared" si="32"/>
        <v>58.007194414986706</v>
      </c>
      <c r="G66" s="12">
        <f t="shared" si="32"/>
        <v>59.428054118785738</v>
      </c>
      <c r="H66" s="12" t="e">
        <f t="shared" si="32"/>
        <v>#DIV/0!</v>
      </c>
      <c r="I66" s="12" t="e">
        <f t="shared" si="32"/>
        <v>#DIV/0!</v>
      </c>
      <c r="J66" s="12" t="e">
        <f t="shared" si="32"/>
        <v>#DIV/0!</v>
      </c>
      <c r="K66" s="12" t="e">
        <f t="shared" si="32"/>
        <v>#DIV/0!</v>
      </c>
      <c r="L66" s="12" t="e">
        <f t="shared" si="32"/>
        <v>#DIV/0!</v>
      </c>
      <c r="M66" s="12" t="e">
        <f t="shared" ref="M66" si="37">M$3/M7</f>
        <v>#DIV/0!</v>
      </c>
    </row>
    <row r="67" spans="3:13" x14ac:dyDescent="0.25">
      <c r="C67" s="1" t="s">
        <v>29</v>
      </c>
      <c r="D67" s="12">
        <f t="shared" si="32"/>
        <v>34.446160263432247</v>
      </c>
      <c r="E67" s="12">
        <f t="shared" si="32"/>
        <v>47.063010172818018</v>
      </c>
      <c r="F67" s="12">
        <f t="shared" si="32"/>
        <v>59.361394875854138</v>
      </c>
      <c r="G67" s="12">
        <f t="shared" si="32"/>
        <v>70.762429794444401</v>
      </c>
      <c r="H67" s="12">
        <f t="shared" si="32"/>
        <v>76.725999714843724</v>
      </c>
      <c r="I67" s="12">
        <f t="shared" si="32"/>
        <v>75.975178066450795</v>
      </c>
      <c r="J67" s="12">
        <f t="shared" si="32"/>
        <v>73.736253017127012</v>
      </c>
      <c r="K67" s="12">
        <f t="shared" si="32"/>
        <v>77.05565323828138</v>
      </c>
      <c r="L67" s="12">
        <f t="shared" si="32"/>
        <v>79.965650482440097</v>
      </c>
      <c r="M67" s="12" t="e">
        <f t="shared" ref="M67" si="38">M$3/M8</f>
        <v>#DIV/0!</v>
      </c>
    </row>
    <row r="68" spans="3:13" x14ac:dyDescent="0.25">
      <c r="C68" s="1" t="s">
        <v>30</v>
      </c>
      <c r="D68" s="12">
        <f t="shared" si="32"/>
        <v>33.085078695957918</v>
      </c>
      <c r="E68" s="12">
        <f t="shared" si="32"/>
        <v>43.773795291236723</v>
      </c>
      <c r="F68" s="12">
        <f t="shared" si="32"/>
        <v>55.275988692186203</v>
      </c>
      <c r="G68" s="12">
        <f t="shared" si="32"/>
        <v>62.095363891459193</v>
      </c>
      <c r="H68" s="12">
        <f t="shared" si="32"/>
        <v>61.004940336289209</v>
      </c>
      <c r="I68" s="12">
        <f t="shared" si="32"/>
        <v>61.114805310917625</v>
      </c>
      <c r="J68" s="12">
        <f t="shared" si="32"/>
        <v>69.969278008726619</v>
      </c>
      <c r="K68" s="12">
        <f t="shared" si="32"/>
        <v>76.454383056753315</v>
      </c>
      <c r="L68" s="12">
        <f t="shared" si="32"/>
        <v>81.781549637780017</v>
      </c>
      <c r="M68" s="12" t="e">
        <f t="shared" ref="M68" si="39">M$3/M9</f>
        <v>#DIV/0!</v>
      </c>
    </row>
    <row r="69" spans="3:13" x14ac:dyDescent="0.25">
      <c r="C69" s="1" t="s">
        <v>31</v>
      </c>
      <c r="D69" s="12">
        <f t="shared" si="32"/>
        <v>2.4236978280438337</v>
      </c>
      <c r="E69" s="12">
        <f t="shared" si="32"/>
        <v>3.4330215598342089</v>
      </c>
      <c r="F69" s="12">
        <f t="shared" si="32"/>
        <v>7.5978640940573881</v>
      </c>
      <c r="G69" s="12">
        <f t="shared" si="32"/>
        <v>7.6783121018689702</v>
      </c>
      <c r="H69" s="12">
        <f t="shared" si="32"/>
        <v>13.471958589170539</v>
      </c>
      <c r="I69" s="12" t="e">
        <f t="shared" si="32"/>
        <v>#DIV/0!</v>
      </c>
      <c r="J69" s="12" t="e">
        <f t="shared" si="32"/>
        <v>#DIV/0!</v>
      </c>
      <c r="K69" s="12" t="e">
        <f t="shared" si="32"/>
        <v>#DIV/0!</v>
      </c>
      <c r="L69" s="12" t="e">
        <f t="shared" si="32"/>
        <v>#DIV/0!</v>
      </c>
      <c r="M69" s="12" t="e">
        <f t="shared" ref="M69" si="40">M$3/M10</f>
        <v>#DIV/0!</v>
      </c>
    </row>
    <row r="70" spans="3:13" x14ac:dyDescent="0.25">
      <c r="C70" s="1" t="s">
        <v>32</v>
      </c>
      <c r="D70" s="12">
        <f t="shared" si="32"/>
        <v>1.4233745661695003</v>
      </c>
      <c r="E70" s="12">
        <f t="shared" si="32"/>
        <v>1.1743030331918733</v>
      </c>
      <c r="F70" s="12">
        <f t="shared" si="32"/>
        <v>1.0548509211502801</v>
      </c>
      <c r="G70" s="12">
        <f t="shared" si="32"/>
        <v>1.0272929376692688</v>
      </c>
      <c r="H70" s="12">
        <f t="shared" si="32"/>
        <v>0.97656614218437887</v>
      </c>
      <c r="I70" s="12">
        <f t="shared" si="32"/>
        <v>0.90466185241880481</v>
      </c>
      <c r="J70" s="12">
        <f t="shared" si="32"/>
        <v>0.85800799699478336</v>
      </c>
      <c r="K70" s="12" t="e">
        <f t="shared" si="32"/>
        <v>#DIV/0!</v>
      </c>
      <c r="L70" s="12" t="e">
        <f t="shared" si="32"/>
        <v>#DIV/0!</v>
      </c>
      <c r="M70" s="12" t="e">
        <f t="shared" ref="M70" si="41">M$3/M11</f>
        <v>#DIV/0!</v>
      </c>
    </row>
    <row r="71" spans="3:13" x14ac:dyDescent="0.25">
      <c r="C71" s="1" t="s">
        <v>33</v>
      </c>
      <c r="D71" s="12" t="e">
        <f t="shared" si="32"/>
        <v>#DIV/0!</v>
      </c>
      <c r="E71" s="12">
        <f t="shared" si="32"/>
        <v>47.181085247998439</v>
      </c>
      <c r="F71" s="12">
        <f t="shared" si="32"/>
        <v>42.472364042008515</v>
      </c>
      <c r="G71" s="12">
        <f t="shared" si="32"/>
        <v>36.239989432154609</v>
      </c>
      <c r="H71" s="12">
        <f t="shared" si="32"/>
        <v>34.102234845809406</v>
      </c>
      <c r="I71" s="12">
        <f t="shared" si="32"/>
        <v>31.890306983660665</v>
      </c>
      <c r="J71" s="12" t="e">
        <f t="shared" si="32"/>
        <v>#DIV/0!</v>
      </c>
      <c r="K71" s="12" t="e">
        <f t="shared" si="32"/>
        <v>#DIV/0!</v>
      </c>
      <c r="L71" s="12" t="e">
        <f t="shared" si="32"/>
        <v>#DIV/0!</v>
      </c>
      <c r="M71" s="12" t="e">
        <f t="shared" ref="M71" si="42">M$3/M12</f>
        <v>#DIV/0!</v>
      </c>
    </row>
    <row r="72" spans="3:13" x14ac:dyDescent="0.25">
      <c r="C72" s="1" t="s">
        <v>34</v>
      </c>
      <c r="D72" s="12">
        <f t="shared" si="32"/>
        <v>35.625003828872806</v>
      </c>
      <c r="E72" s="12">
        <f t="shared" si="32"/>
        <v>48.421274702764222</v>
      </c>
      <c r="F72" s="12">
        <f t="shared" si="32"/>
        <v>59.74135445190791</v>
      </c>
      <c r="G72" s="12">
        <f t="shared" si="32"/>
        <v>59.662152958722409</v>
      </c>
      <c r="H72" s="12">
        <f t="shared" si="32"/>
        <v>40.18462648461437</v>
      </c>
      <c r="I72" s="12" t="e">
        <f t="shared" si="32"/>
        <v>#DIV/0!</v>
      </c>
      <c r="J72" s="12" t="e">
        <f t="shared" si="32"/>
        <v>#DIV/0!</v>
      </c>
      <c r="K72" s="12" t="e">
        <f t="shared" si="32"/>
        <v>#DIV/0!</v>
      </c>
      <c r="L72" s="12" t="e">
        <f t="shared" si="32"/>
        <v>#DIV/0!</v>
      </c>
      <c r="M72" s="12" t="e">
        <f t="shared" ref="M72" si="43">M$3/M13</f>
        <v>#DIV/0!</v>
      </c>
    </row>
    <row r="73" spans="3:13" x14ac:dyDescent="0.25">
      <c r="C73" s="1" t="s">
        <v>35</v>
      </c>
      <c r="D73" s="12">
        <f t="shared" si="32"/>
        <v>35.845648232354208</v>
      </c>
      <c r="E73" s="12">
        <f t="shared" si="32"/>
        <v>50.423998038727994</v>
      </c>
      <c r="F73" s="12">
        <f t="shared" si="32"/>
        <v>65.579988304014023</v>
      </c>
      <c r="G73" s="12">
        <f t="shared" si="32"/>
        <v>80.584846944784218</v>
      </c>
      <c r="H73" s="12">
        <f t="shared" si="32"/>
        <v>83.284819836184241</v>
      </c>
      <c r="I73" s="12">
        <f t="shared" si="32"/>
        <v>84.718954556407851</v>
      </c>
      <c r="J73" s="12" t="e">
        <f t="shared" si="32"/>
        <v>#DIV/0!</v>
      </c>
      <c r="K73" s="12" t="e">
        <f t="shared" si="32"/>
        <v>#DIV/0!</v>
      </c>
      <c r="L73" s="12" t="e">
        <f t="shared" si="32"/>
        <v>#DIV/0!</v>
      </c>
      <c r="M73" s="12" t="e">
        <f t="shared" ref="M73" si="44">M$3/M14</f>
        <v>#DIV/0!</v>
      </c>
    </row>
    <row r="74" spans="3:13" x14ac:dyDescent="0.25">
      <c r="C74" s="1" t="s">
        <v>36</v>
      </c>
      <c r="D74" s="12">
        <f t="shared" si="32"/>
        <v>34.766011971978436</v>
      </c>
      <c r="E74" s="12">
        <f t="shared" si="32"/>
        <v>46.795453886891671</v>
      </c>
      <c r="F74" s="12">
        <f t="shared" si="32"/>
        <v>59.789776061761721</v>
      </c>
      <c r="G74" s="12">
        <f t="shared" si="32"/>
        <v>69.107172062859448</v>
      </c>
      <c r="H74" s="12">
        <f t="shared" si="32"/>
        <v>65.023921090350555</v>
      </c>
      <c r="I74" s="12">
        <f t="shared" si="32"/>
        <v>67.157453462148126</v>
      </c>
      <c r="J74" s="12" t="e">
        <f t="shared" si="32"/>
        <v>#DIV/0!</v>
      </c>
      <c r="K74" s="12" t="e">
        <f t="shared" si="32"/>
        <v>#DIV/0!</v>
      </c>
      <c r="L74" s="12" t="e">
        <f t="shared" si="32"/>
        <v>#DIV/0!</v>
      </c>
      <c r="M74" s="12" t="e">
        <f t="shared" ref="M74" si="45">M$3/M15</f>
        <v>#DIV/0!</v>
      </c>
    </row>
    <row r="75" spans="3:13" x14ac:dyDescent="0.25">
      <c r="C75" s="1" t="s">
        <v>38</v>
      </c>
      <c r="D75" s="12">
        <f t="shared" si="32"/>
        <v>36.501061078969443</v>
      </c>
      <c r="E75" s="12">
        <f t="shared" si="32"/>
        <v>49.271767863898255</v>
      </c>
      <c r="F75" s="12">
        <f t="shared" si="32"/>
        <v>60.619385658556922</v>
      </c>
      <c r="G75" s="12">
        <f t="shared" si="32"/>
        <v>59.914317467756383</v>
      </c>
      <c r="H75" s="12">
        <f t="shared" si="32"/>
        <v>40.283406125721584</v>
      </c>
      <c r="I75" s="12" t="e">
        <f t="shared" si="32"/>
        <v>#DIV/0!</v>
      </c>
      <c r="J75" s="12" t="e">
        <f t="shared" si="32"/>
        <v>#DIV/0!</v>
      </c>
      <c r="K75" s="12" t="e">
        <f t="shared" si="32"/>
        <v>#DIV/0!</v>
      </c>
      <c r="L75" s="12" t="e">
        <f t="shared" si="32"/>
        <v>#DIV/0!</v>
      </c>
      <c r="M75" s="12" t="e">
        <f t="shared" ref="M75" si="46">M$3/M16</f>
        <v>#DIV/0!</v>
      </c>
    </row>
    <row r="76" spans="3:13" x14ac:dyDescent="0.25">
      <c r="C76" s="1" t="s">
        <v>39</v>
      </c>
      <c r="D76" s="12">
        <f t="shared" si="32"/>
        <v>36.658196516189427</v>
      </c>
      <c r="E76" s="12">
        <f t="shared" si="32"/>
        <v>51.347423269309225</v>
      </c>
      <c r="F76" s="12">
        <f t="shared" si="32"/>
        <v>66.424786021982598</v>
      </c>
      <c r="G76" s="12">
        <f t="shared" si="32"/>
        <v>81.318501423581708</v>
      </c>
      <c r="H76" s="12">
        <f t="shared" si="32"/>
        <v>83.792977657060945</v>
      </c>
      <c r="I76" s="12">
        <f t="shared" si="32"/>
        <v>84.515577349994842</v>
      </c>
      <c r="J76" s="12" t="e">
        <f t="shared" si="32"/>
        <v>#DIV/0!</v>
      </c>
      <c r="K76" s="12" t="e">
        <f t="shared" si="32"/>
        <v>#DIV/0!</v>
      </c>
      <c r="L76" s="12" t="e">
        <f t="shared" si="32"/>
        <v>#DIV/0!</v>
      </c>
      <c r="M76" s="12" t="e">
        <f t="shared" ref="M76" si="47">M$3/M17</f>
        <v>#DIV/0!</v>
      </c>
    </row>
    <row r="77" spans="3:13" x14ac:dyDescent="0.25">
      <c r="C77" s="1" t="s">
        <v>40</v>
      </c>
      <c r="D77" s="12">
        <f t="shared" si="32"/>
        <v>35.640206310024055</v>
      </c>
      <c r="E77" s="12">
        <f t="shared" si="32"/>
        <v>47.723953956407051</v>
      </c>
      <c r="F77" s="12">
        <f t="shared" si="32"/>
        <v>60.908594343877496</v>
      </c>
      <c r="G77" s="12">
        <f t="shared" si="32"/>
        <v>69.757618290160195</v>
      </c>
      <c r="H77" s="12">
        <f t="shared" si="32"/>
        <v>65.382825484961316</v>
      </c>
      <c r="I77" s="12">
        <f t="shared" si="32"/>
        <v>66.983671153573368</v>
      </c>
      <c r="J77" s="12" t="e">
        <f t="shared" si="32"/>
        <v>#DIV/0!</v>
      </c>
      <c r="K77" s="12" t="e">
        <f t="shared" si="32"/>
        <v>#DIV/0!</v>
      </c>
      <c r="L77" s="12" t="e">
        <f t="shared" si="32"/>
        <v>#DIV/0!</v>
      </c>
      <c r="M77" s="12" t="e">
        <f t="shared" ref="M77" si="48">M$3/M18</f>
        <v>#DIV/0!</v>
      </c>
    </row>
    <row r="78" spans="3:13" x14ac:dyDescent="0.25">
      <c r="C78" s="1" t="s">
        <v>41</v>
      </c>
      <c r="D78" s="12">
        <f t="shared" ref="D78:L85" si="49">D$3/D19</f>
        <v>31.357954371597451</v>
      </c>
      <c r="E78" s="12">
        <f t="shared" si="49"/>
        <v>39.436787545330432</v>
      </c>
      <c r="F78" s="12">
        <f t="shared" si="49"/>
        <v>47.534278173877851</v>
      </c>
      <c r="G78" s="12">
        <f t="shared" si="49"/>
        <v>51.325980715385256</v>
      </c>
      <c r="H78" s="12">
        <f t="shared" si="49"/>
        <v>51.797459618779257</v>
      </c>
      <c r="I78" s="12">
        <f t="shared" si="49"/>
        <v>53.335696200496209</v>
      </c>
      <c r="J78" s="12">
        <f t="shared" si="49"/>
        <v>54.178184979286378</v>
      </c>
      <c r="K78" s="12">
        <f t="shared" si="49"/>
        <v>58.041679370384983</v>
      </c>
      <c r="L78" s="12">
        <f t="shared" si="49"/>
        <v>59.460232168590906</v>
      </c>
      <c r="M78" s="12">
        <f t="shared" ref="M78" si="50">M$3/M19</f>
        <v>0</v>
      </c>
    </row>
    <row r="79" spans="3:13" x14ac:dyDescent="0.25">
      <c r="C79" s="1" t="s">
        <v>43</v>
      </c>
      <c r="D79" s="12">
        <f t="shared" si="49"/>
        <v>32.000573840133306</v>
      </c>
      <c r="E79" s="12">
        <f t="shared" si="49"/>
        <v>40.114534123031021</v>
      </c>
      <c r="F79" s="12">
        <f t="shared" si="49"/>
        <v>48.092590976525017</v>
      </c>
      <c r="G79" s="12">
        <f t="shared" si="49"/>
        <v>51.72305102930806</v>
      </c>
      <c r="H79" s="12">
        <f t="shared" si="49"/>
        <v>51.996612419117263</v>
      </c>
      <c r="I79" s="12">
        <f t="shared" si="49"/>
        <v>53.410174644571775</v>
      </c>
      <c r="J79" s="12">
        <f t="shared" si="49"/>
        <v>54.222854541315719</v>
      </c>
      <c r="K79" s="12">
        <f t="shared" si="49"/>
        <v>58.070614081875043</v>
      </c>
      <c r="L79" s="12">
        <f t="shared" si="49"/>
        <v>59.555853595529868</v>
      </c>
      <c r="M79" s="12">
        <f t="shared" ref="M79" si="51">M$3/M20</f>
        <v>0</v>
      </c>
    </row>
    <row r="80" spans="3:13" x14ac:dyDescent="0.25">
      <c r="C80" s="1" t="s">
        <v>44</v>
      </c>
      <c r="D80" s="12">
        <f t="shared" si="49"/>
        <v>28.251673809617682</v>
      </c>
      <c r="E80" s="12">
        <f t="shared" si="49"/>
        <v>24.433493175618803</v>
      </c>
      <c r="F80" s="12">
        <f t="shared" si="49"/>
        <v>21.152778275085463</v>
      </c>
      <c r="G80" s="12">
        <f t="shared" si="49"/>
        <v>19.326897434801275</v>
      </c>
      <c r="H80" s="12">
        <f t="shared" si="49"/>
        <v>19.810359589530599</v>
      </c>
      <c r="I80" s="12">
        <f t="shared" si="49"/>
        <v>18.960365298668062</v>
      </c>
      <c r="J80" s="12">
        <f t="shared" si="49"/>
        <v>18.500643006401411</v>
      </c>
      <c r="K80" s="12">
        <f t="shared" si="49"/>
        <v>24.754589122241594</v>
      </c>
      <c r="L80" s="12">
        <f t="shared" si="49"/>
        <v>19.567465059064695</v>
      </c>
      <c r="M80" s="12" t="e">
        <f t="shared" ref="M80" si="52">M$3/M21</f>
        <v>#DIV/0!</v>
      </c>
    </row>
    <row r="81" spans="3:13" x14ac:dyDescent="0.25">
      <c r="C81" s="1" t="s">
        <v>37</v>
      </c>
      <c r="D81" s="12">
        <f t="shared" si="49"/>
        <v>30.413462074092337</v>
      </c>
      <c r="E81" s="12">
        <f t="shared" si="49"/>
        <v>31.190761739038475</v>
      </c>
      <c r="F81" s="12">
        <f t="shared" si="49"/>
        <v>27.749385275367796</v>
      </c>
      <c r="G81" s="12">
        <f t="shared" si="49"/>
        <v>27.087893442305756</v>
      </c>
      <c r="H81" s="12">
        <f t="shared" si="49"/>
        <v>25.219151814361418</v>
      </c>
      <c r="I81" s="12">
        <f t="shared" si="49"/>
        <v>22.254818032905064</v>
      </c>
      <c r="J81" s="12" t="e">
        <f t="shared" si="49"/>
        <v>#DIV/0!</v>
      </c>
      <c r="K81" s="12" t="e">
        <f t="shared" si="49"/>
        <v>#DIV/0!</v>
      </c>
      <c r="L81" s="12" t="e">
        <f t="shared" si="49"/>
        <v>#DIV/0!</v>
      </c>
      <c r="M81" s="12" t="e">
        <f t="shared" ref="M81" si="53">M$3/M22</f>
        <v>#DIV/0!</v>
      </c>
    </row>
    <row r="82" spans="3:13" x14ac:dyDescent="0.25">
      <c r="C82" s="1" t="s">
        <v>42</v>
      </c>
      <c r="D82" s="12">
        <f t="shared" si="49"/>
        <v>29.010759192684066</v>
      </c>
      <c r="E82" s="12">
        <f t="shared" si="49"/>
        <v>28.893251063139662</v>
      </c>
      <c r="F82" s="12">
        <f t="shared" si="49"/>
        <v>27.332454714038619</v>
      </c>
      <c r="G82" s="12">
        <f t="shared" si="49"/>
        <v>24.520490761973726</v>
      </c>
      <c r="H82" s="12">
        <f t="shared" si="49"/>
        <v>22.258138456984241</v>
      </c>
      <c r="I82" s="12">
        <f t="shared" si="49"/>
        <v>20.812072648088279</v>
      </c>
      <c r="J82" s="12">
        <f t="shared" si="49"/>
        <v>20.367729170193808</v>
      </c>
      <c r="K82" s="12">
        <f t="shared" si="49"/>
        <v>21.327166331504202</v>
      </c>
      <c r="L82" s="12">
        <f t="shared" si="49"/>
        <v>18.461290101618673</v>
      </c>
      <c r="M82" s="12">
        <f t="shared" ref="M82" si="54">M$3/M23</f>
        <v>0</v>
      </c>
    </row>
    <row r="83" spans="3:13" x14ac:dyDescent="0.25">
      <c r="C83" s="1" t="s">
        <v>45</v>
      </c>
      <c r="D83" s="12" t="e">
        <f t="shared" si="49"/>
        <v>#DIV/0!</v>
      </c>
      <c r="E83" s="12" t="e">
        <f t="shared" si="49"/>
        <v>#DIV/0!</v>
      </c>
      <c r="F83" s="12" t="e">
        <f t="shared" si="49"/>
        <v>#DIV/0!</v>
      </c>
      <c r="G83" s="12" t="e">
        <f t="shared" si="49"/>
        <v>#DIV/0!</v>
      </c>
      <c r="H83" s="12" t="e">
        <f t="shared" si="49"/>
        <v>#DIV/0!</v>
      </c>
      <c r="I83" s="12" t="e">
        <f t="shared" si="49"/>
        <v>#DIV/0!</v>
      </c>
      <c r="J83" s="12" t="e">
        <f t="shared" si="49"/>
        <v>#DIV/0!</v>
      </c>
      <c r="K83" s="12" t="e">
        <f t="shared" si="49"/>
        <v>#DIV/0!</v>
      </c>
      <c r="L83" s="12" t="e">
        <f t="shared" si="49"/>
        <v>#DIV/0!</v>
      </c>
      <c r="M83" s="12" t="e">
        <f t="shared" ref="M83" si="55">M$3/M24</f>
        <v>#DIV/0!</v>
      </c>
    </row>
    <row r="84" spans="3:13" x14ac:dyDescent="0.25">
      <c r="C84" s="1" t="s">
        <v>9</v>
      </c>
      <c r="D84" s="12">
        <f t="shared" si="49"/>
        <v>2.5345740642570349</v>
      </c>
      <c r="E84" s="12">
        <f t="shared" si="49"/>
        <v>2.3445590760929802</v>
      </c>
      <c r="F84" s="12">
        <f t="shared" si="49"/>
        <v>2.1406583619402233</v>
      </c>
      <c r="G84" s="12">
        <f t="shared" si="49"/>
        <v>2.2680845281982127</v>
      </c>
      <c r="H84" s="12">
        <f t="shared" si="49"/>
        <v>2.1767442396728884</v>
      </c>
      <c r="I84" s="12">
        <f t="shared" si="49"/>
        <v>0.31636018127117022</v>
      </c>
      <c r="J84" s="12">
        <f t="shared" si="49"/>
        <v>0.61211838556295228</v>
      </c>
      <c r="K84" s="12" t="e">
        <f t="shared" si="49"/>
        <v>#DIV/0!</v>
      </c>
      <c r="L84" s="12" t="e">
        <f t="shared" si="49"/>
        <v>#DIV/0!</v>
      </c>
      <c r="M84" s="12" t="e">
        <f t="shared" ref="M84:M85" si="56">M$3/M25</f>
        <v>#DIV/0!</v>
      </c>
    </row>
    <row r="85" spans="3:13" x14ac:dyDescent="0.25">
      <c r="C85" t="s">
        <v>2</v>
      </c>
      <c r="D85" s="12">
        <f t="shared" si="49"/>
        <v>1.4100680307964664</v>
      </c>
      <c r="E85" s="12">
        <f t="shared" si="49"/>
        <v>1.5994276238288703</v>
      </c>
      <c r="F85" s="12">
        <f t="shared" si="49"/>
        <v>1.7770290568463283</v>
      </c>
      <c r="G85" s="12">
        <f t="shared" si="49"/>
        <v>1.9053466083726263</v>
      </c>
      <c r="H85" s="12">
        <f t="shared" si="49"/>
        <v>1.9854920038698602</v>
      </c>
      <c r="I85" s="12">
        <f t="shared" si="49"/>
        <v>1.9382655002351712</v>
      </c>
      <c r="J85" s="12">
        <f t="shared" si="49"/>
        <v>1.8733798713963934</v>
      </c>
      <c r="K85" s="12" t="e">
        <f t="shared" si="49"/>
        <v>#DIV/0!</v>
      </c>
      <c r="L85" s="12" t="e">
        <f t="shared" si="49"/>
        <v>#DIV/0!</v>
      </c>
      <c r="M85" s="12" t="e">
        <f t="shared" si="56"/>
        <v>#DIV/0!</v>
      </c>
    </row>
    <row r="91" spans="3:13" x14ac:dyDescent="0.25">
      <c r="C91" t="s">
        <v>3</v>
      </c>
    </row>
    <row r="92" spans="3:13" x14ac:dyDescent="0.25">
      <c r="C92" s="1">
        <v>50</v>
      </c>
      <c r="D92" s="2">
        <v>2</v>
      </c>
      <c r="E92" s="3">
        <v>4</v>
      </c>
      <c r="F92" s="2">
        <v>8</v>
      </c>
      <c r="G92" s="2">
        <v>16</v>
      </c>
      <c r="H92" s="2">
        <v>32</v>
      </c>
      <c r="I92" s="2">
        <v>64</v>
      </c>
      <c r="J92" s="2">
        <v>128</v>
      </c>
      <c r="K92" s="2">
        <v>256</v>
      </c>
      <c r="L92" s="2">
        <v>512</v>
      </c>
      <c r="M92" s="7">
        <f>L92*2</f>
        <v>1024</v>
      </c>
    </row>
    <row r="93" spans="3:13" x14ac:dyDescent="0.25">
      <c r="C93" s="1"/>
      <c r="D93" s="4">
        <v>42</v>
      </c>
      <c r="E93" s="4">
        <v>84</v>
      </c>
      <c r="F93" s="4">
        <v>168</v>
      </c>
      <c r="G93" s="4">
        <v>336</v>
      </c>
      <c r="H93" s="4">
        <v>672</v>
      </c>
      <c r="I93" s="4">
        <v>1344</v>
      </c>
      <c r="J93" s="4">
        <v>2688</v>
      </c>
      <c r="K93" s="4">
        <v>5376</v>
      </c>
      <c r="L93" s="4">
        <v>10752</v>
      </c>
      <c r="M93" s="9">
        <f>L93*2</f>
        <v>21504</v>
      </c>
    </row>
    <row r="94" spans="3:13" x14ac:dyDescent="0.25">
      <c r="C94" s="1" t="s">
        <v>1</v>
      </c>
      <c r="D94" s="1">
        <v>98960.923925639974</v>
      </c>
      <c r="E94" s="1">
        <v>255925.94467223997</v>
      </c>
      <c r="F94" s="1">
        <v>630127.98573700001</v>
      </c>
      <c r="G94" s="1">
        <v>1442882.7508949998</v>
      </c>
      <c r="H94" s="1">
        <v>11407145.781873999</v>
      </c>
      <c r="I94" s="1">
        <v>2028465.8034950003</v>
      </c>
      <c r="J94" s="1">
        <v>15628052.988070998</v>
      </c>
      <c r="K94" s="1">
        <v>357000820.88044691</v>
      </c>
      <c r="L94" s="1">
        <v>271673203.61153799</v>
      </c>
      <c r="M94" s="1"/>
    </row>
    <row r="95" spans="3:13" x14ac:dyDescent="0.25">
      <c r="C95" s="1" t="s">
        <v>25</v>
      </c>
      <c r="D95" s="1">
        <v>24.291774702399994</v>
      </c>
      <c r="E95" s="1">
        <v>14.477550406399992</v>
      </c>
      <c r="F95" s="1">
        <v>15.30596461960001</v>
      </c>
      <c r="G95" s="1">
        <v>0.94998258559999416</v>
      </c>
      <c r="H95" s="1"/>
      <c r="I95" s="1"/>
      <c r="J95" s="1"/>
      <c r="K95" s="1"/>
      <c r="L95" s="1"/>
      <c r="M95" s="1"/>
    </row>
    <row r="96" spans="3:13" x14ac:dyDescent="0.25">
      <c r="C96" s="1" t="s">
        <v>26</v>
      </c>
      <c r="D96" s="1">
        <v>5.6317943523999965</v>
      </c>
      <c r="E96" s="1">
        <v>58.733075639999981</v>
      </c>
      <c r="F96" s="1">
        <v>118.84254488159999</v>
      </c>
      <c r="G96" s="1">
        <v>0.41579746440000026</v>
      </c>
      <c r="H96" s="1">
        <v>227.12551474239987</v>
      </c>
      <c r="I96" s="1">
        <v>7.9359980000000609</v>
      </c>
      <c r="J96" s="1">
        <v>109.55863816000026</v>
      </c>
      <c r="K96" s="1">
        <v>398.22055875999916</v>
      </c>
      <c r="L96" s="1">
        <v>1.8673719999998604</v>
      </c>
      <c r="M96" s="1"/>
    </row>
    <row r="97" spans="3:13" x14ac:dyDescent="0.25">
      <c r="C97" s="1" t="s">
        <v>27</v>
      </c>
      <c r="D97" s="1">
        <v>25.604598454400008</v>
      </c>
      <c r="E97" s="1">
        <v>65.901504265599982</v>
      </c>
      <c r="F97" s="1">
        <v>56.365456456400025</v>
      </c>
      <c r="G97" s="1">
        <v>1.0743272275999971</v>
      </c>
      <c r="H97" s="1">
        <v>221.91625194760016</v>
      </c>
      <c r="I97" s="1">
        <v>1.8278558400000011</v>
      </c>
      <c r="J97" s="1">
        <v>459.89714764000007</v>
      </c>
      <c r="K97" s="1">
        <v>420.98326263999974</v>
      </c>
      <c r="L97" s="1">
        <v>1.8673719999998604</v>
      </c>
      <c r="M97" s="1"/>
    </row>
    <row r="98" spans="3:13" x14ac:dyDescent="0.25">
      <c r="C98" s="1" t="s">
        <v>46</v>
      </c>
      <c r="D98" s="1">
        <v>18.075479609600009</v>
      </c>
      <c r="E98" s="1">
        <v>20.653723690000003</v>
      </c>
      <c r="F98" s="1">
        <v>16.081617009999999</v>
      </c>
      <c r="G98" s="1">
        <v>8.2880283199999631</v>
      </c>
      <c r="H98" s="1"/>
      <c r="I98" s="1"/>
      <c r="J98" s="1"/>
      <c r="K98" s="1"/>
      <c r="L98" s="1"/>
      <c r="M98" s="1"/>
    </row>
    <row r="99" spans="3:13" x14ac:dyDescent="0.25">
      <c r="C99" s="1" t="s">
        <v>29</v>
      </c>
      <c r="D99" s="1">
        <v>19.372490078400009</v>
      </c>
      <c r="E99" s="1">
        <v>37.242115582399997</v>
      </c>
      <c r="F99" s="1">
        <v>50.173710043599989</v>
      </c>
      <c r="G99" s="1">
        <v>11.359669585600001</v>
      </c>
      <c r="H99" s="1">
        <v>370.74021684359991</v>
      </c>
      <c r="I99" s="1">
        <v>20.12341855999999</v>
      </c>
      <c r="J99" s="1">
        <v>88.797265440000075</v>
      </c>
      <c r="K99" s="1">
        <v>872.03692535999937</v>
      </c>
      <c r="L99" s="1">
        <v>2.7747029999998185</v>
      </c>
      <c r="M99" s="1"/>
    </row>
    <row r="100" spans="3:13" x14ac:dyDescent="0.25">
      <c r="C100" s="1" t="s">
        <v>30</v>
      </c>
      <c r="D100" s="1">
        <v>16.165469490000007</v>
      </c>
      <c r="E100" s="1">
        <v>43.381022919999992</v>
      </c>
      <c r="F100" s="1">
        <v>69.516561710400026</v>
      </c>
      <c r="G100" s="1">
        <v>8.6052525856000237</v>
      </c>
      <c r="H100" s="1">
        <v>250.67661512000001</v>
      </c>
      <c r="I100" s="1">
        <v>177.16691163999965</v>
      </c>
      <c r="J100" s="1">
        <v>694.50241899999992</v>
      </c>
      <c r="K100" s="1">
        <v>188.77148056000047</v>
      </c>
      <c r="L100" s="1">
        <v>4086.5181669999843</v>
      </c>
      <c r="M100" s="1"/>
    </row>
    <row r="101" spans="3:13" x14ac:dyDescent="0.25">
      <c r="C101" s="1" t="s">
        <v>31</v>
      </c>
      <c r="D101" s="1">
        <v>607.43850323999959</v>
      </c>
      <c r="E101" s="1">
        <v>244.52129183999924</v>
      </c>
      <c r="F101" s="1">
        <v>33872.405958440002</v>
      </c>
      <c r="G101" s="1">
        <v>3032.3682609599991</v>
      </c>
      <c r="H101" s="1"/>
      <c r="I101" s="1"/>
      <c r="J101" s="1"/>
      <c r="K101" s="1"/>
      <c r="L101" s="1"/>
      <c r="M101" s="1"/>
    </row>
    <row r="102" spans="3:13" x14ac:dyDescent="0.25">
      <c r="C102" s="1" t="s">
        <v>32</v>
      </c>
      <c r="D102" s="1">
        <v>239.78730644000086</v>
      </c>
      <c r="E102" s="1">
        <v>4344.1724899599967</v>
      </c>
      <c r="F102" s="1">
        <v>7987.3777759999866</v>
      </c>
      <c r="G102" s="1">
        <v>6354.8259559999897</v>
      </c>
      <c r="H102" s="1">
        <v>3728.8038560000005</v>
      </c>
      <c r="I102" s="1">
        <v>1277312.7843999998</v>
      </c>
      <c r="J102" s="1">
        <v>469485.72040000022</v>
      </c>
      <c r="K102" s="1"/>
      <c r="L102" s="1"/>
      <c r="M102" s="1"/>
    </row>
    <row r="103" spans="3:13" x14ac:dyDescent="0.25">
      <c r="C103" s="1" t="s">
        <v>33</v>
      </c>
      <c r="D103" s="1" t="e">
        <v>#DIV/0!</v>
      </c>
      <c r="E103" s="1">
        <v>6.9271896399999242E-2</v>
      </c>
      <c r="F103" s="1">
        <v>1.7686200016000009</v>
      </c>
      <c r="G103" s="1">
        <v>0.23505832359999565</v>
      </c>
      <c r="H103" s="1">
        <v>5.6707999999997677E-2</v>
      </c>
      <c r="I103" s="1">
        <v>0.41706595999995111</v>
      </c>
      <c r="J103" s="1" t="e">
        <v>#DIV/0!</v>
      </c>
      <c r="K103" s="1"/>
      <c r="L103" s="1"/>
      <c r="M103" s="1"/>
    </row>
    <row r="104" spans="3:13" x14ac:dyDescent="0.25">
      <c r="C104" s="1" t="s">
        <v>34</v>
      </c>
      <c r="D104" s="1">
        <v>8.5845907923999931</v>
      </c>
      <c r="E104" s="1">
        <v>4.0472124624000001</v>
      </c>
      <c r="F104" s="1">
        <v>3.1628564143999918</v>
      </c>
      <c r="G104" s="1">
        <v>0.29422173760000014</v>
      </c>
      <c r="H104" s="1"/>
      <c r="I104" s="1"/>
      <c r="J104" s="1"/>
      <c r="K104" s="1"/>
      <c r="L104" s="1"/>
      <c r="M104" s="1"/>
    </row>
    <row r="105" spans="3:13" x14ac:dyDescent="0.25">
      <c r="C105" s="1" t="s">
        <v>35</v>
      </c>
      <c r="D105" s="1">
        <v>7.0847631503999979</v>
      </c>
      <c r="E105" s="1">
        <v>1.6779002899999991</v>
      </c>
      <c r="F105" s="1">
        <v>1.0385629200000026</v>
      </c>
      <c r="G105" s="1">
        <v>3.5170999999998932E-2</v>
      </c>
      <c r="H105" s="1">
        <v>2.9690371600001365E-2</v>
      </c>
      <c r="I105" s="1">
        <v>0.35086500000000498</v>
      </c>
      <c r="J105" s="1"/>
      <c r="K105" s="1"/>
      <c r="L105" s="1"/>
      <c r="M105" s="1"/>
    </row>
    <row r="106" spans="3:13" x14ac:dyDescent="0.25">
      <c r="C106" s="1" t="s">
        <v>36</v>
      </c>
      <c r="D106" s="1">
        <v>7.0224109824000056</v>
      </c>
      <c r="E106" s="1">
        <v>1.8270351524000052</v>
      </c>
      <c r="F106" s="1">
        <v>7.0022039795999964</v>
      </c>
      <c r="G106" s="1">
        <v>5.7241650000000942E-2</v>
      </c>
      <c r="H106" s="1">
        <v>5.2125192755999885</v>
      </c>
      <c r="I106" s="1">
        <v>120.72223803999977</v>
      </c>
      <c r="J106" s="1"/>
      <c r="K106" s="1"/>
      <c r="L106" s="1"/>
      <c r="M106" s="1"/>
    </row>
    <row r="107" spans="3:13" x14ac:dyDescent="0.25">
      <c r="C107" s="1" t="s">
        <v>38</v>
      </c>
      <c r="D107" s="1">
        <v>8.2453115695999966</v>
      </c>
      <c r="E107" s="1">
        <v>2.8260065556000038</v>
      </c>
      <c r="F107" s="1">
        <v>1.8154184799999973</v>
      </c>
      <c r="G107" s="1">
        <v>3.1580313875999919</v>
      </c>
      <c r="H107" s="1"/>
      <c r="I107" s="1"/>
      <c r="J107" s="1"/>
      <c r="K107" s="1"/>
      <c r="L107" s="1"/>
      <c r="M107" s="1"/>
    </row>
    <row r="108" spans="3:13" x14ac:dyDescent="0.25">
      <c r="C108" s="1" t="s">
        <v>39</v>
      </c>
      <c r="D108" s="1">
        <v>7.3275493876000013</v>
      </c>
      <c r="E108" s="1">
        <v>1.7833503699999989</v>
      </c>
      <c r="F108" s="1">
        <v>2.441021889999996</v>
      </c>
      <c r="G108" s="1">
        <v>0.11563028999999951</v>
      </c>
      <c r="H108" s="1">
        <v>3.6651113599999952E-2</v>
      </c>
      <c r="I108" s="1">
        <v>103.35786183999996</v>
      </c>
      <c r="J108" s="1"/>
      <c r="K108" s="1"/>
      <c r="L108" s="1"/>
      <c r="M108" s="1"/>
    </row>
    <row r="109" spans="3:13" x14ac:dyDescent="0.25">
      <c r="C109" s="1" t="s">
        <v>40</v>
      </c>
      <c r="D109" s="1">
        <v>6.3858518403999955</v>
      </c>
      <c r="E109" s="1">
        <v>1.8012349363999984</v>
      </c>
      <c r="F109" s="1">
        <v>5.1913899843999864</v>
      </c>
      <c r="G109" s="1">
        <v>6.8321190400001716E-2</v>
      </c>
      <c r="H109" s="1">
        <v>6.6505340995999767</v>
      </c>
      <c r="I109" s="1">
        <v>200.67358800000019</v>
      </c>
      <c r="J109" s="1"/>
      <c r="K109" s="1"/>
      <c r="L109" s="1"/>
      <c r="M109" s="1"/>
    </row>
    <row r="110" spans="3:13" x14ac:dyDescent="0.25">
      <c r="C110" s="1" t="s">
        <v>41</v>
      </c>
      <c r="D110" s="1">
        <v>2.2528892656000008</v>
      </c>
      <c r="E110" s="1">
        <v>0.73806073440000175</v>
      </c>
      <c r="F110" s="1">
        <v>0.37940148640000021</v>
      </c>
      <c r="G110" s="1">
        <v>1.7228724643999858</v>
      </c>
      <c r="H110" s="1">
        <v>0.90422664000003106</v>
      </c>
      <c r="I110" s="1">
        <v>3.1828337600000833</v>
      </c>
      <c r="J110" s="1">
        <v>13.941241960000237</v>
      </c>
      <c r="K110" s="1">
        <v>2.9611307599999876</v>
      </c>
      <c r="L110" s="1">
        <v>4.6653819999997603</v>
      </c>
      <c r="M110" s="1"/>
    </row>
    <row r="111" spans="3:13" x14ac:dyDescent="0.25">
      <c r="C111" s="1" t="s">
        <v>43</v>
      </c>
      <c r="D111" s="1">
        <v>3.2047845283999985</v>
      </c>
      <c r="E111" s="1">
        <v>0.65021713959999849</v>
      </c>
      <c r="F111" s="1">
        <v>0.12189812000000083</v>
      </c>
      <c r="G111" s="1">
        <v>1.5093207699999709</v>
      </c>
      <c r="H111" s="1">
        <v>0.97506755999999239</v>
      </c>
      <c r="I111" s="1">
        <v>3.1415039999999186</v>
      </c>
      <c r="J111" s="1">
        <v>2.2865270000000613</v>
      </c>
      <c r="K111" s="1">
        <v>850.65131963999647</v>
      </c>
      <c r="L111" s="1">
        <v>2.148685999999858</v>
      </c>
      <c r="M111" s="1"/>
    </row>
    <row r="112" spans="3:13" x14ac:dyDescent="0.25">
      <c r="C112" s="1" t="s">
        <v>8</v>
      </c>
      <c r="D112" s="1">
        <v>1248.1769237043807</v>
      </c>
      <c r="E112" s="1">
        <v>3440.9240151504</v>
      </c>
      <c r="F112" s="1">
        <v>5399.8772686064003</v>
      </c>
      <c r="G112" s="1">
        <v>46132.052952160004</v>
      </c>
      <c r="H112" s="1">
        <v>93247.814331360001</v>
      </c>
      <c r="I112" s="1">
        <v>142555.49281999998</v>
      </c>
      <c r="J112" s="1">
        <v>79572.727288000009</v>
      </c>
      <c r="K112" s="1">
        <v>2127645.0610350007</v>
      </c>
      <c r="L112" s="1">
        <v>436974.6367979995</v>
      </c>
      <c r="M112" s="1"/>
    </row>
    <row r="113" spans="3:13" x14ac:dyDescent="0.25">
      <c r="C113" s="1" t="s">
        <v>37</v>
      </c>
      <c r="D113" s="1">
        <v>885.1010649456</v>
      </c>
      <c r="E113" s="1">
        <v>2014.9744678499997</v>
      </c>
      <c r="F113" s="1">
        <v>8155.8213034656001</v>
      </c>
      <c r="G113" s="1">
        <v>10081.762879360002</v>
      </c>
      <c r="H113" s="1">
        <v>5625.29494376</v>
      </c>
      <c r="I113" s="1">
        <v>84677.997361000002</v>
      </c>
      <c r="J113" s="1"/>
      <c r="K113" s="1"/>
      <c r="L113" s="1"/>
      <c r="M113" s="1"/>
    </row>
    <row r="114" spans="3:13" x14ac:dyDescent="0.25">
      <c r="C114" s="1" t="s">
        <v>42</v>
      </c>
      <c r="D114" s="1">
        <v>589.16861536840008</v>
      </c>
      <c r="E114" s="1">
        <v>902.90966986559999</v>
      </c>
      <c r="F114" s="1">
        <v>2772.2841058864005</v>
      </c>
      <c r="G114" s="1">
        <v>17905.374348240002</v>
      </c>
      <c r="H114" s="1">
        <v>46035.700310839995</v>
      </c>
      <c r="I114" s="1">
        <v>71772.820950639987</v>
      </c>
      <c r="J114" s="1">
        <v>27686.20940800001</v>
      </c>
      <c r="K114" s="1">
        <v>302288.47909500002</v>
      </c>
      <c r="L114" s="1">
        <v>2108446.915978</v>
      </c>
      <c r="M114" s="1"/>
    </row>
    <row r="115" spans="3:13" x14ac:dyDescent="0.25">
      <c r="C115" s="1" t="s">
        <v>10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3:13" x14ac:dyDescent="0.25">
      <c r="C116" s="1" t="s">
        <v>9</v>
      </c>
      <c r="D116" s="1">
        <v>448021.69891499757</v>
      </c>
      <c r="E116" s="1">
        <v>22124.540219759994</v>
      </c>
      <c r="F116" s="1">
        <v>1170995.7440039997</v>
      </c>
      <c r="G116" s="1">
        <v>691822.92220999999</v>
      </c>
      <c r="H116" s="1">
        <v>257337.79932499994</v>
      </c>
      <c r="I116" s="1">
        <v>84635962.812631994</v>
      </c>
      <c r="J116" s="1">
        <v>8712209.9743999988</v>
      </c>
      <c r="K116" s="1">
        <v>19023174.825879999</v>
      </c>
      <c r="L116" s="1"/>
      <c r="M116" s="1"/>
    </row>
    <row r="117" spans="3:13" x14ac:dyDescent="0.25">
      <c r="C117" s="1" t="s">
        <v>13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3:13" x14ac:dyDescent="0.25">
      <c r="C118" s="1" t="s">
        <v>14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3:13" x14ac:dyDescent="0.25">
      <c r="C119" t="s">
        <v>2</v>
      </c>
      <c r="D119">
        <v>62227.278507200324</v>
      </c>
      <c r="E119" s="110">
        <v>314187.74017016002</v>
      </c>
      <c r="F119">
        <v>208654.75542376001</v>
      </c>
      <c r="G119">
        <v>1020916.1135070001</v>
      </c>
      <c r="H119">
        <v>182010.57532199993</v>
      </c>
      <c r="I119">
        <v>713900.0498299991</v>
      </c>
      <c r="J119">
        <v>8823308.0168690011</v>
      </c>
    </row>
    <row r="120" spans="3:13" x14ac:dyDescent="0.25">
      <c r="C120" t="s">
        <v>15</v>
      </c>
      <c r="D120">
        <v>1.96</v>
      </c>
      <c r="E120" s="110">
        <v>50</v>
      </c>
    </row>
    <row r="121" spans="3:13" x14ac:dyDescent="0.25">
      <c r="C121" s="1">
        <v>50</v>
      </c>
      <c r="D121" s="2">
        <v>2</v>
      </c>
      <c r="E121" s="3">
        <v>4</v>
      </c>
      <c r="F121" s="2">
        <v>8</v>
      </c>
      <c r="G121" s="2">
        <v>16</v>
      </c>
      <c r="H121" s="2">
        <v>32</v>
      </c>
      <c r="I121" s="2">
        <v>64</v>
      </c>
      <c r="J121" s="2">
        <v>128</v>
      </c>
      <c r="K121" s="2">
        <v>256</v>
      </c>
      <c r="L121" s="2">
        <v>512</v>
      </c>
      <c r="M121" s="7">
        <f>L121*2</f>
        <v>1024</v>
      </c>
    </row>
    <row r="122" spans="3:13" x14ac:dyDescent="0.25">
      <c r="C122" s="1"/>
      <c r="D122" s="4">
        <v>42</v>
      </c>
      <c r="E122" s="4">
        <v>84</v>
      </c>
      <c r="F122" s="4">
        <v>168</v>
      </c>
      <c r="G122" s="4">
        <v>336</v>
      </c>
      <c r="H122" s="4">
        <v>672</v>
      </c>
      <c r="I122" s="4">
        <v>1344</v>
      </c>
      <c r="J122" s="4">
        <v>2688</v>
      </c>
      <c r="K122" s="4">
        <v>5376</v>
      </c>
      <c r="L122" s="4">
        <v>10752</v>
      </c>
      <c r="M122" s="9">
        <f>L122*2</f>
        <v>21504</v>
      </c>
    </row>
    <row r="123" spans="3:13" x14ac:dyDescent="0.25">
      <c r="C123" s="1" t="s">
        <v>1</v>
      </c>
      <c r="D123" s="1">
        <f>$D$120*SQRT(D94)/SQRT($E$120)</f>
        <v>87.197280387950002</v>
      </c>
      <c r="E123" s="1">
        <f t="shared" ref="E123:L123" si="57">$D$120*SQRT(E94)/SQRT($E$120)</f>
        <v>140.22589697005878</v>
      </c>
      <c r="F123" s="1">
        <f t="shared" si="57"/>
        <v>220.03180088374765</v>
      </c>
      <c r="G123" s="1">
        <f t="shared" si="57"/>
        <v>332.95580414938649</v>
      </c>
      <c r="H123" s="1">
        <f t="shared" si="57"/>
        <v>936.18044452602351</v>
      </c>
      <c r="I123" s="1">
        <f t="shared" si="57"/>
        <v>394.77979256052078</v>
      </c>
      <c r="J123" s="1">
        <f t="shared" si="57"/>
        <v>1095.7803462279614</v>
      </c>
      <c r="K123" s="1">
        <f t="shared" si="57"/>
        <v>5237.2785938774059</v>
      </c>
      <c r="L123" s="1">
        <f t="shared" si="57"/>
        <v>4568.7192494047695</v>
      </c>
      <c r="M123" s="1"/>
    </row>
    <row r="124" spans="3:13" x14ac:dyDescent="0.25">
      <c r="C124" s="1" t="s">
        <v>25</v>
      </c>
      <c r="D124" s="1">
        <f>$D$120*SQRT(D95)/SQRT($E$120)</f>
        <v>1.3661572508078257</v>
      </c>
      <c r="E124" s="1">
        <f t="shared" ref="D124:L139" si="58">$D$120*SQRT(E95)/SQRT($E$120)</f>
        <v>1.0546749038564083</v>
      </c>
      <c r="F124" s="1">
        <f t="shared" si="58"/>
        <v>1.0844297458356202</v>
      </c>
      <c r="G124" s="1">
        <f t="shared" si="58"/>
        <v>0.27016487931783201</v>
      </c>
      <c r="H124" s="1">
        <f t="shared" si="58"/>
        <v>0</v>
      </c>
      <c r="I124" s="1">
        <f t="shared" si="58"/>
        <v>0</v>
      </c>
      <c r="J124" s="1">
        <f t="shared" si="58"/>
        <v>0</v>
      </c>
      <c r="K124" s="1">
        <f t="shared" si="58"/>
        <v>0</v>
      </c>
      <c r="L124" s="1">
        <f t="shared" si="58"/>
        <v>0</v>
      </c>
      <c r="M124" s="1"/>
    </row>
    <row r="125" spans="3:13" x14ac:dyDescent="0.25">
      <c r="C125" s="1" t="s">
        <v>26</v>
      </c>
      <c r="D125" s="1">
        <f t="shared" si="58"/>
        <v>0.6578008997284791</v>
      </c>
      <c r="E125" s="1">
        <f t="shared" si="58"/>
        <v>2.1242833303428426</v>
      </c>
      <c r="F125" s="1">
        <f t="shared" si="58"/>
        <v>3.0217396327849113</v>
      </c>
      <c r="G125" s="1">
        <f t="shared" si="58"/>
        <v>0.17873598066640309</v>
      </c>
      <c r="H125" s="1">
        <f t="shared" si="58"/>
        <v>4.1773804649191417</v>
      </c>
      <c r="I125" s="1">
        <f t="shared" si="58"/>
        <v>0.78085760439148222</v>
      </c>
      <c r="J125" s="1">
        <f t="shared" si="58"/>
        <v>2.9013116494284339</v>
      </c>
      <c r="K125" s="1">
        <f t="shared" si="58"/>
        <v>5.5313725214134921</v>
      </c>
      <c r="L125" s="1">
        <f t="shared" si="58"/>
        <v>0.37877952096699907</v>
      </c>
      <c r="M125" s="1"/>
    </row>
    <row r="126" spans="3:13" x14ac:dyDescent="0.25">
      <c r="C126" s="1" t="s">
        <v>27</v>
      </c>
      <c r="D126" s="1">
        <f t="shared" si="58"/>
        <v>1.4025877899256294</v>
      </c>
      <c r="E126" s="1">
        <f t="shared" si="58"/>
        <v>2.2501876312286888</v>
      </c>
      <c r="F126" s="1">
        <f t="shared" si="58"/>
        <v>2.0810263694768802</v>
      </c>
      <c r="G126" s="1">
        <f t="shared" si="58"/>
        <v>0.28730247049227225</v>
      </c>
      <c r="H126" s="1">
        <f t="shared" si="58"/>
        <v>4.1291971943270056</v>
      </c>
      <c r="I126" s="1">
        <f t="shared" si="58"/>
        <v>0.37475034342730107</v>
      </c>
      <c r="J126" s="1">
        <f t="shared" si="58"/>
        <v>5.9443096863703602</v>
      </c>
      <c r="K126" s="1">
        <f t="shared" si="58"/>
        <v>5.6872652509933506</v>
      </c>
      <c r="L126" s="1">
        <f t="shared" si="58"/>
        <v>0.37877952096699907</v>
      </c>
      <c r="M126" s="1"/>
    </row>
    <row r="127" spans="3:13" x14ac:dyDescent="0.25">
      <c r="C127" s="1" t="s">
        <v>46</v>
      </c>
      <c r="D127" s="1">
        <f t="shared" si="58"/>
        <v>1.1784630878244713</v>
      </c>
      <c r="E127" s="1">
        <f t="shared" si="58"/>
        <v>1.2597090531349213</v>
      </c>
      <c r="F127" s="1">
        <f t="shared" si="58"/>
        <v>1.1115677208844812</v>
      </c>
      <c r="G127" s="1">
        <f t="shared" si="58"/>
        <v>0.79798859132335787</v>
      </c>
      <c r="H127" s="1">
        <f t="shared" si="58"/>
        <v>0</v>
      </c>
      <c r="I127" s="1">
        <f t="shared" si="58"/>
        <v>0</v>
      </c>
      <c r="J127" s="1">
        <f t="shared" si="58"/>
        <v>0</v>
      </c>
      <c r="K127" s="1">
        <f t="shared" si="58"/>
        <v>0</v>
      </c>
      <c r="L127" s="1">
        <f t="shared" si="58"/>
        <v>0</v>
      </c>
      <c r="M127" s="1"/>
    </row>
    <row r="128" spans="3:13" x14ac:dyDescent="0.25">
      <c r="C128" s="1" t="s">
        <v>29</v>
      </c>
      <c r="D128" s="1">
        <f t="shared" si="58"/>
        <v>1.2200111301556347</v>
      </c>
      <c r="E128" s="1">
        <f t="shared" si="58"/>
        <v>1.6915632487220089</v>
      </c>
      <c r="F128" s="1">
        <f t="shared" si="58"/>
        <v>1.9634017648127633</v>
      </c>
      <c r="G128" s="1">
        <f t="shared" si="58"/>
        <v>0.93423023586309772</v>
      </c>
      <c r="H128" s="1">
        <f t="shared" si="58"/>
        <v>5.3371071134583268</v>
      </c>
      <c r="I128" s="1">
        <f t="shared" si="58"/>
        <v>1.2434317411108335</v>
      </c>
      <c r="J128" s="1">
        <f t="shared" si="58"/>
        <v>2.6119861213808324</v>
      </c>
      <c r="K128" s="1">
        <f t="shared" si="58"/>
        <v>8.1853736047452017</v>
      </c>
      <c r="L128" s="1">
        <f t="shared" si="58"/>
        <v>0.46172067410501133</v>
      </c>
      <c r="M128" s="1"/>
    </row>
    <row r="129" spans="3:13" x14ac:dyDescent="0.25">
      <c r="C129" s="1" t="s">
        <v>30</v>
      </c>
      <c r="D129" s="1">
        <f t="shared" si="58"/>
        <v>1.1144619113525955</v>
      </c>
      <c r="E129" s="1">
        <f t="shared" si="58"/>
        <v>1.8256644688960344</v>
      </c>
      <c r="F129" s="1">
        <f t="shared" si="58"/>
        <v>2.3110812338239981</v>
      </c>
      <c r="G129" s="1">
        <f t="shared" si="58"/>
        <v>0.81311669928542285</v>
      </c>
      <c r="H129" s="1">
        <f t="shared" si="58"/>
        <v>4.3886200214759814</v>
      </c>
      <c r="I129" s="1">
        <f t="shared" si="58"/>
        <v>3.6894563495350443</v>
      </c>
      <c r="J129" s="1">
        <f t="shared" si="58"/>
        <v>7.3047936217670095</v>
      </c>
      <c r="K129" s="1">
        <f t="shared" si="58"/>
        <v>3.8083710946264091</v>
      </c>
      <c r="L129" s="1">
        <f t="shared" si="58"/>
        <v>17.719349982630366</v>
      </c>
      <c r="M129" s="1"/>
    </row>
    <row r="130" spans="3:13" x14ac:dyDescent="0.25">
      <c r="C130" s="1" t="s">
        <v>31</v>
      </c>
      <c r="D130" s="1">
        <f t="shared" si="58"/>
        <v>6.8315968177971129</v>
      </c>
      <c r="E130" s="1">
        <f t="shared" si="58"/>
        <v>4.3344042144971686</v>
      </c>
      <c r="F130" s="1">
        <f t="shared" si="58"/>
        <v>51.014553752815104</v>
      </c>
      <c r="G130" s="1">
        <f t="shared" si="58"/>
        <v>15.263777980109596</v>
      </c>
      <c r="H130" s="1">
        <f t="shared" si="58"/>
        <v>0</v>
      </c>
      <c r="I130" s="1">
        <f t="shared" si="58"/>
        <v>0</v>
      </c>
      <c r="J130" s="1">
        <f t="shared" si="58"/>
        <v>0</v>
      </c>
      <c r="K130" s="1">
        <f t="shared" si="58"/>
        <v>0</v>
      </c>
      <c r="L130" s="1">
        <f t="shared" si="58"/>
        <v>0</v>
      </c>
      <c r="M130" s="1"/>
    </row>
    <row r="131" spans="3:13" x14ac:dyDescent="0.25">
      <c r="C131" s="1" t="s">
        <v>32</v>
      </c>
      <c r="D131" s="1">
        <f t="shared" si="58"/>
        <v>4.2922416437565749</v>
      </c>
      <c r="E131" s="1">
        <f t="shared" si="58"/>
        <v>18.269413256823722</v>
      </c>
      <c r="F131" s="1">
        <f t="shared" si="58"/>
        <v>24.77269079623025</v>
      </c>
      <c r="G131" s="1">
        <f t="shared" si="58"/>
        <v>22.096470031464104</v>
      </c>
      <c r="H131" s="1">
        <f t="shared" si="58"/>
        <v>16.926058544864841</v>
      </c>
      <c r="I131" s="1">
        <f t="shared" si="58"/>
        <v>313.27064313628364</v>
      </c>
      <c r="J131" s="1">
        <f t="shared" si="58"/>
        <v>189.92505592936604</v>
      </c>
      <c r="K131" s="1">
        <f t="shared" si="58"/>
        <v>0</v>
      </c>
      <c r="L131" s="1">
        <f t="shared" si="58"/>
        <v>0</v>
      </c>
      <c r="M131" s="1"/>
    </row>
    <row r="132" spans="3:13" x14ac:dyDescent="0.25">
      <c r="C132" s="1" t="s">
        <v>33</v>
      </c>
      <c r="D132" s="1" t="e">
        <f t="shared" si="58"/>
        <v>#DIV/0!</v>
      </c>
      <c r="E132" s="1">
        <f t="shared" si="58"/>
        <v>7.2954083807589151E-2</v>
      </c>
      <c r="F132" s="1">
        <f t="shared" si="58"/>
        <v>0.36862801299267972</v>
      </c>
      <c r="G132" s="1">
        <f t="shared" si="58"/>
        <v>0.13438750358137791</v>
      </c>
      <c r="H132" s="1">
        <f t="shared" si="58"/>
        <v>6.6007492423207692E-2</v>
      </c>
      <c r="I132" s="1">
        <f t="shared" si="58"/>
        <v>0.17900841275961374</v>
      </c>
      <c r="J132" s="1" t="e">
        <f t="shared" si="58"/>
        <v>#DIV/0!</v>
      </c>
      <c r="K132" s="1">
        <f t="shared" si="58"/>
        <v>0</v>
      </c>
      <c r="L132" s="1">
        <f t="shared" si="58"/>
        <v>0</v>
      </c>
      <c r="M132" s="1"/>
    </row>
    <row r="133" spans="3:13" x14ac:dyDescent="0.25">
      <c r="C133" s="1" t="s">
        <v>34</v>
      </c>
      <c r="D133" s="1">
        <f t="shared" si="58"/>
        <v>0.81213993853379496</v>
      </c>
      <c r="E133" s="1">
        <f t="shared" si="58"/>
        <v>0.55763377579834306</v>
      </c>
      <c r="F133" s="1">
        <f t="shared" si="58"/>
        <v>0.49295900846944679</v>
      </c>
      <c r="G133" s="1">
        <f t="shared" si="58"/>
        <v>0.15035173608336955</v>
      </c>
      <c r="H133" s="1">
        <f t="shared" si="58"/>
        <v>0</v>
      </c>
      <c r="I133" s="1">
        <f t="shared" si="58"/>
        <v>0</v>
      </c>
      <c r="J133" s="1">
        <f t="shared" si="58"/>
        <v>0</v>
      </c>
      <c r="K133" s="1">
        <f t="shared" si="58"/>
        <v>0</v>
      </c>
      <c r="L133" s="1">
        <f t="shared" si="58"/>
        <v>0</v>
      </c>
      <c r="M133" s="1"/>
    </row>
    <row r="134" spans="3:13" x14ac:dyDescent="0.25">
      <c r="C134" s="1" t="s">
        <v>35</v>
      </c>
      <c r="D134" s="1">
        <f t="shared" si="58"/>
        <v>0.73779165241383204</v>
      </c>
      <c r="E134" s="1">
        <f t="shared" si="58"/>
        <v>0.35904934908906311</v>
      </c>
      <c r="F134" s="1">
        <f t="shared" si="58"/>
        <v>0.28247985108577245</v>
      </c>
      <c r="G134" s="1">
        <f t="shared" si="58"/>
        <v>5.1983249917640945E-2</v>
      </c>
      <c r="H134" s="1">
        <f t="shared" si="58"/>
        <v>4.7761602054069596E-2</v>
      </c>
      <c r="I134" s="1">
        <f t="shared" si="58"/>
        <v>0.16418787921159217</v>
      </c>
      <c r="J134" s="1">
        <f t="shared" si="58"/>
        <v>0</v>
      </c>
      <c r="K134" s="1">
        <f t="shared" si="58"/>
        <v>0</v>
      </c>
      <c r="L134" s="1">
        <f t="shared" si="58"/>
        <v>0</v>
      </c>
      <c r="M134" s="1"/>
    </row>
    <row r="135" spans="3:13" x14ac:dyDescent="0.25">
      <c r="C135" s="1" t="s">
        <v>36</v>
      </c>
      <c r="D135" s="1">
        <f t="shared" si="58"/>
        <v>0.73453786873091642</v>
      </c>
      <c r="E135" s="1">
        <f t="shared" si="58"/>
        <v>0.37466620454638977</v>
      </c>
      <c r="F135" s="1">
        <f t="shared" si="58"/>
        <v>0.73348029023323247</v>
      </c>
      <c r="G135" s="1">
        <f t="shared" si="58"/>
        <v>6.6317346545229569E-2</v>
      </c>
      <c r="H135" s="1">
        <f t="shared" si="58"/>
        <v>0.63284143431265494</v>
      </c>
      <c r="I135" s="1">
        <f t="shared" si="58"/>
        <v>3.0455428076271169</v>
      </c>
      <c r="J135" s="1">
        <f t="shared" si="58"/>
        <v>0</v>
      </c>
      <c r="K135" s="1">
        <f t="shared" si="58"/>
        <v>0</v>
      </c>
      <c r="L135" s="1">
        <f t="shared" si="58"/>
        <v>0</v>
      </c>
      <c r="M135" s="1"/>
    </row>
    <row r="136" spans="3:13" x14ac:dyDescent="0.25">
      <c r="C136" s="1" t="s">
        <v>38</v>
      </c>
      <c r="D136" s="1">
        <f t="shared" si="58"/>
        <v>0.79592950599629531</v>
      </c>
      <c r="E136" s="1">
        <f t="shared" si="58"/>
        <v>0.46596967248937937</v>
      </c>
      <c r="F136" s="1">
        <f t="shared" si="58"/>
        <v>0.37347320205787155</v>
      </c>
      <c r="G136" s="1">
        <f t="shared" si="58"/>
        <v>0.4925828535100289</v>
      </c>
      <c r="H136" s="1">
        <f t="shared" si="58"/>
        <v>0</v>
      </c>
      <c r="I136" s="1">
        <f t="shared" si="58"/>
        <v>0</v>
      </c>
      <c r="J136" s="1">
        <f t="shared" si="58"/>
        <v>0</v>
      </c>
      <c r="K136" s="1">
        <f t="shared" si="58"/>
        <v>0</v>
      </c>
      <c r="L136" s="1">
        <f t="shared" si="58"/>
        <v>0</v>
      </c>
      <c r="M136" s="1"/>
    </row>
    <row r="137" spans="3:13" x14ac:dyDescent="0.25">
      <c r="C137" s="1" t="s">
        <v>39</v>
      </c>
      <c r="D137" s="1">
        <f t="shared" si="58"/>
        <v>0.75032677850925944</v>
      </c>
      <c r="E137" s="1">
        <f t="shared" si="58"/>
        <v>0.37015993249923723</v>
      </c>
      <c r="F137" s="1">
        <f t="shared" si="58"/>
        <v>0.43306880960475513</v>
      </c>
      <c r="G137" s="1">
        <f t="shared" si="58"/>
        <v>9.4255537987324445E-2</v>
      </c>
      <c r="H137" s="1">
        <f t="shared" si="58"/>
        <v>5.3065792749333318E-2</v>
      </c>
      <c r="I137" s="1">
        <f t="shared" si="58"/>
        <v>2.8180119305799392</v>
      </c>
      <c r="J137" s="1">
        <f t="shared" si="58"/>
        <v>0</v>
      </c>
      <c r="K137" s="1">
        <f t="shared" si="58"/>
        <v>0</v>
      </c>
      <c r="L137" s="1">
        <f t="shared" si="58"/>
        <v>0</v>
      </c>
      <c r="M137" s="1"/>
    </row>
    <row r="138" spans="3:13" x14ac:dyDescent="0.25">
      <c r="C138" s="1" t="s">
        <v>40</v>
      </c>
      <c r="D138" s="1">
        <f t="shared" si="58"/>
        <v>0.70045540086547431</v>
      </c>
      <c r="E138" s="1">
        <f t="shared" si="58"/>
        <v>0.37201140121437765</v>
      </c>
      <c r="F138" s="1">
        <f t="shared" si="58"/>
        <v>0.63155749958449514</v>
      </c>
      <c r="G138" s="1">
        <f t="shared" si="58"/>
        <v>7.2451733594255233E-2</v>
      </c>
      <c r="H138" s="1">
        <f t="shared" si="58"/>
        <v>0.71482433921940947</v>
      </c>
      <c r="I138" s="1">
        <f t="shared" si="58"/>
        <v>3.9265956136602624</v>
      </c>
      <c r="J138" s="1">
        <f t="shared" si="58"/>
        <v>0</v>
      </c>
      <c r="K138" s="1">
        <f t="shared" si="58"/>
        <v>0</v>
      </c>
      <c r="L138" s="1">
        <f t="shared" si="58"/>
        <v>0</v>
      </c>
      <c r="M138" s="1"/>
    </row>
    <row r="139" spans="3:13" x14ac:dyDescent="0.25">
      <c r="C139" s="1" t="s">
        <v>41</v>
      </c>
      <c r="D139" s="1">
        <f t="shared" si="58"/>
        <v>0.41604565621404971</v>
      </c>
      <c r="E139" s="1">
        <f t="shared" si="58"/>
        <v>0.23813164918889071</v>
      </c>
      <c r="F139" s="1">
        <f t="shared" si="58"/>
        <v>0.17073422329188956</v>
      </c>
      <c r="G139" s="1">
        <f t="shared" si="58"/>
        <v>0.36382926927994635</v>
      </c>
      <c r="H139" s="1">
        <f t="shared" si="58"/>
        <v>0.26357833978626238</v>
      </c>
      <c r="I139" s="1">
        <f t="shared" si="58"/>
        <v>0.494513380454287</v>
      </c>
      <c r="J139" s="1">
        <f t="shared" si="58"/>
        <v>1.0349557972545194</v>
      </c>
      <c r="K139" s="1">
        <f t="shared" si="58"/>
        <v>0.47697966261919283</v>
      </c>
      <c r="L139" s="1">
        <f t="shared" si="58"/>
        <v>0.59870746598316404</v>
      </c>
      <c r="M139" s="1"/>
    </row>
    <row r="140" spans="3:13" x14ac:dyDescent="0.25">
      <c r="C140" s="1" t="s">
        <v>43</v>
      </c>
      <c r="D140" s="1">
        <f t="shared" ref="D140:L148" si="59">$D$120*SQRT(D111)/SQRT($E$120)</f>
        <v>0.49621568383720865</v>
      </c>
      <c r="E140" s="1">
        <f t="shared" si="59"/>
        <v>0.22351170723196376</v>
      </c>
      <c r="F140" s="1">
        <f t="shared" si="59"/>
        <v>9.6776424586983281E-2</v>
      </c>
      <c r="G140" s="1">
        <f t="shared" si="59"/>
        <v>0.34053506926693727</v>
      </c>
      <c r="H140" s="1">
        <f t="shared" si="59"/>
        <v>0.27370858731490216</v>
      </c>
      <c r="I140" s="1">
        <f t="shared" si="59"/>
        <v>0.49129220971637</v>
      </c>
      <c r="J140" s="1">
        <f t="shared" si="59"/>
        <v>0.41914012270839052</v>
      </c>
      <c r="K140" s="1">
        <f t="shared" si="59"/>
        <v>8.0843826103531367</v>
      </c>
      <c r="L140" s="1">
        <f t="shared" si="59"/>
        <v>0.40631003279760286</v>
      </c>
      <c r="M140" s="1"/>
    </row>
    <row r="141" spans="3:13" x14ac:dyDescent="0.25">
      <c r="C141" s="1" t="s">
        <v>8</v>
      </c>
      <c r="D141" s="1">
        <f t="shared" si="59"/>
        <v>9.7928509333112466</v>
      </c>
      <c r="E141" s="1">
        <f t="shared" si="59"/>
        <v>16.259553312807689</v>
      </c>
      <c r="F141" s="1">
        <f t="shared" si="59"/>
        <v>20.368686022951184</v>
      </c>
      <c r="G141" s="1">
        <f t="shared" si="59"/>
        <v>59.535014003696652</v>
      </c>
      <c r="H141" s="1">
        <f t="shared" si="59"/>
        <v>84.642873714844129</v>
      </c>
      <c r="I141" s="1">
        <f t="shared" si="59"/>
        <v>104.65573861163199</v>
      </c>
      <c r="J141" s="1">
        <f t="shared" si="59"/>
        <v>78.190356074081251</v>
      </c>
      <c r="K141" s="1">
        <f t="shared" si="59"/>
        <v>404.31574954414174</v>
      </c>
      <c r="L141" s="1">
        <f t="shared" si="59"/>
        <v>183.23109805506238</v>
      </c>
      <c r="M141" s="1"/>
    </row>
    <row r="142" spans="3:13" x14ac:dyDescent="0.25">
      <c r="C142" s="1" t="s">
        <v>37</v>
      </c>
      <c r="D142" s="1">
        <f t="shared" si="59"/>
        <v>8.2464589383504681</v>
      </c>
      <c r="E142" s="1">
        <f t="shared" si="59"/>
        <v>12.442448244371008</v>
      </c>
      <c r="F142" s="1">
        <f t="shared" si="59"/>
        <v>25.032540070633441</v>
      </c>
      <c r="G142" s="1">
        <f t="shared" si="59"/>
        <v>27.831672704797807</v>
      </c>
      <c r="H142" s="1">
        <f t="shared" si="59"/>
        <v>20.789484388001743</v>
      </c>
      <c r="I142" s="1">
        <f t="shared" si="59"/>
        <v>80.659654680889574</v>
      </c>
      <c r="J142" s="1">
        <f t="shared" si="59"/>
        <v>0</v>
      </c>
      <c r="K142" s="1">
        <f t="shared" si="59"/>
        <v>0</v>
      </c>
      <c r="L142" s="1">
        <f t="shared" si="59"/>
        <v>0</v>
      </c>
      <c r="M142" s="1"/>
    </row>
    <row r="143" spans="3:13" x14ac:dyDescent="0.25">
      <c r="C143" s="1" t="s">
        <v>42</v>
      </c>
      <c r="D143" s="1">
        <f t="shared" si="59"/>
        <v>6.7280757320340054</v>
      </c>
      <c r="E143" s="1">
        <f t="shared" si="59"/>
        <v>8.3290068888861999</v>
      </c>
      <c r="F143" s="1">
        <f t="shared" si="59"/>
        <v>14.594524056078839</v>
      </c>
      <c r="G143" s="1">
        <f t="shared" si="59"/>
        <v>37.090507167252049</v>
      </c>
      <c r="H143" s="1">
        <f t="shared" si="59"/>
        <v>59.472808293223025</v>
      </c>
      <c r="I143" s="1">
        <f t="shared" si="59"/>
        <v>74.259338667130407</v>
      </c>
      <c r="J143" s="1">
        <f t="shared" si="59"/>
        <v>46.12143581064511</v>
      </c>
      <c r="K143" s="1">
        <f t="shared" si="59"/>
        <v>152.39891215434261</v>
      </c>
      <c r="L143" s="1">
        <f t="shared" si="59"/>
        <v>402.48750719546774</v>
      </c>
      <c r="M143" s="1"/>
    </row>
    <row r="144" spans="3:13" x14ac:dyDescent="0.25">
      <c r="C144" s="1" t="s">
        <v>10</v>
      </c>
      <c r="D144" s="1">
        <f t="shared" si="59"/>
        <v>0</v>
      </c>
      <c r="E144" s="1">
        <f t="shared" si="59"/>
        <v>0</v>
      </c>
      <c r="F144" s="1">
        <f t="shared" si="59"/>
        <v>0</v>
      </c>
      <c r="G144" s="1">
        <f t="shared" si="59"/>
        <v>0</v>
      </c>
      <c r="H144" s="1">
        <f t="shared" si="59"/>
        <v>0</v>
      </c>
      <c r="I144" s="1">
        <f t="shared" si="59"/>
        <v>0</v>
      </c>
      <c r="J144" s="1">
        <f t="shared" si="59"/>
        <v>0</v>
      </c>
      <c r="K144" s="1">
        <f t="shared" si="59"/>
        <v>0</v>
      </c>
      <c r="L144" s="1">
        <f t="shared" si="59"/>
        <v>0</v>
      </c>
      <c r="M144" s="1"/>
    </row>
    <row r="145" spans="3:13" x14ac:dyDescent="0.25">
      <c r="C145" s="1" t="s">
        <v>9</v>
      </c>
      <c r="D145" s="1">
        <f t="shared" si="59"/>
        <v>185.53275498153172</v>
      </c>
      <c r="E145" s="1">
        <f t="shared" si="59"/>
        <v>41.229512174710479</v>
      </c>
      <c r="F145" s="1">
        <f t="shared" si="59"/>
        <v>299.94990415620282</v>
      </c>
      <c r="G145" s="1">
        <f t="shared" si="59"/>
        <v>230.55181361082091</v>
      </c>
      <c r="H145" s="1">
        <f t="shared" si="59"/>
        <v>140.61215380520417</v>
      </c>
      <c r="I145" s="1">
        <f t="shared" si="59"/>
        <v>2550.04907694345</v>
      </c>
      <c r="J145" s="1">
        <f t="shared" si="59"/>
        <v>818.15433553401203</v>
      </c>
      <c r="K145" s="1">
        <f t="shared" si="59"/>
        <v>1208.9617728538863</v>
      </c>
      <c r="L145" s="1">
        <f t="shared" si="59"/>
        <v>0</v>
      </c>
      <c r="M145" s="1"/>
    </row>
    <row r="146" spans="3:13" x14ac:dyDescent="0.25">
      <c r="C146" s="1" t="s">
        <v>13</v>
      </c>
      <c r="D146" s="1">
        <f t="shared" si="59"/>
        <v>0</v>
      </c>
      <c r="E146" s="1">
        <f t="shared" si="59"/>
        <v>0</v>
      </c>
      <c r="F146" s="1">
        <f t="shared" si="59"/>
        <v>0</v>
      </c>
      <c r="G146" s="1">
        <f t="shared" si="59"/>
        <v>0</v>
      </c>
      <c r="H146" s="1">
        <f t="shared" si="59"/>
        <v>0</v>
      </c>
      <c r="I146" s="1">
        <f t="shared" si="59"/>
        <v>0</v>
      </c>
      <c r="J146" s="1">
        <f t="shared" si="59"/>
        <v>0</v>
      </c>
      <c r="K146" s="1">
        <f t="shared" si="59"/>
        <v>0</v>
      </c>
      <c r="L146" s="1">
        <f t="shared" si="59"/>
        <v>0</v>
      </c>
      <c r="M146" s="1"/>
    </row>
    <row r="147" spans="3:13" x14ac:dyDescent="0.25">
      <c r="C147" s="1" t="s">
        <v>14</v>
      </c>
      <c r="D147" s="1">
        <f t="shared" si="59"/>
        <v>0</v>
      </c>
      <c r="E147" s="1">
        <f t="shared" si="59"/>
        <v>0</v>
      </c>
      <c r="F147" s="1">
        <f t="shared" si="59"/>
        <v>0</v>
      </c>
      <c r="G147" s="1">
        <f t="shared" si="59"/>
        <v>0</v>
      </c>
      <c r="H147" s="1">
        <f t="shared" si="59"/>
        <v>0</v>
      </c>
      <c r="I147" s="1">
        <f t="shared" si="59"/>
        <v>0</v>
      </c>
      <c r="J147" s="1">
        <f t="shared" si="59"/>
        <v>0</v>
      </c>
      <c r="K147" s="1">
        <f t="shared" si="59"/>
        <v>0</v>
      </c>
      <c r="L147" s="1">
        <f t="shared" si="59"/>
        <v>0</v>
      </c>
      <c r="M147" s="1"/>
    </row>
    <row r="148" spans="3:13" x14ac:dyDescent="0.25">
      <c r="C148" t="s">
        <v>2</v>
      </c>
      <c r="D148" s="1">
        <f>$D$120*SQRT(D119)/SQRT($E$120)</f>
        <v>69.145110183332676</v>
      </c>
      <c r="E148" s="1">
        <f t="shared" si="59"/>
        <v>155.36947078739033</v>
      </c>
      <c r="F148" s="1">
        <f t="shared" si="59"/>
        <v>126.61501557366064</v>
      </c>
      <c r="G148" s="1">
        <f t="shared" si="59"/>
        <v>280.06968210245435</v>
      </c>
      <c r="H148" s="1">
        <f t="shared" si="59"/>
        <v>118.25496405284599</v>
      </c>
      <c r="I148" s="1">
        <f t="shared" si="59"/>
        <v>234.20155556387428</v>
      </c>
      <c r="J148" s="1">
        <f t="shared" si="59"/>
        <v>823.35435964843168</v>
      </c>
      <c r="K148" s="1">
        <f t="shared" si="59"/>
        <v>0</v>
      </c>
      <c r="L148" s="1">
        <f t="shared" si="59"/>
        <v>0</v>
      </c>
      <c r="M148" s="22"/>
    </row>
    <row r="149" spans="3:13" x14ac:dyDescent="0.25">
      <c r="C149" t="s">
        <v>3</v>
      </c>
    </row>
    <row r="150" spans="3:13" x14ac:dyDescent="0.25">
      <c r="C150" s="1">
        <v>50</v>
      </c>
      <c r="D150" s="2">
        <v>2</v>
      </c>
      <c r="E150" s="3">
        <v>4</v>
      </c>
      <c r="F150" s="2">
        <v>8</v>
      </c>
      <c r="G150" s="2">
        <v>16</v>
      </c>
      <c r="H150" s="2">
        <v>32</v>
      </c>
      <c r="I150" s="2">
        <v>64</v>
      </c>
      <c r="J150" s="2">
        <v>128</v>
      </c>
      <c r="K150" s="2">
        <v>256</v>
      </c>
      <c r="L150" s="2">
        <v>512</v>
      </c>
      <c r="M150" s="7">
        <f>L150*2</f>
        <v>1024</v>
      </c>
    </row>
    <row r="151" spans="3:13" x14ac:dyDescent="0.25">
      <c r="C151" s="1"/>
      <c r="D151" s="4">
        <v>42</v>
      </c>
      <c r="E151" s="4">
        <v>84</v>
      </c>
      <c r="F151" s="4">
        <v>168</v>
      </c>
      <c r="G151" s="4">
        <v>336</v>
      </c>
      <c r="H151" s="4">
        <v>672</v>
      </c>
      <c r="I151" s="4">
        <v>1344</v>
      </c>
      <c r="J151" s="4">
        <v>2688</v>
      </c>
      <c r="K151" s="4">
        <v>5376</v>
      </c>
      <c r="L151" s="4">
        <v>10752</v>
      </c>
      <c r="M151" s="9">
        <f>L151*2</f>
        <v>21504</v>
      </c>
    </row>
    <row r="152" spans="3:13" x14ac:dyDescent="0.25">
      <c r="C152" s="1" t="s">
        <v>1</v>
      </c>
      <c r="D152" s="1">
        <v>23629.636893159994</v>
      </c>
      <c r="E152" s="1">
        <v>11483.894614000004</v>
      </c>
      <c r="F152" s="1">
        <v>84715.602051999944</v>
      </c>
      <c r="G152" s="1">
        <v>314291.08298999979</v>
      </c>
      <c r="H152" s="1">
        <v>430893.51435500017</v>
      </c>
      <c r="I152" s="1">
        <v>26330464.759716999</v>
      </c>
      <c r="J152" s="1">
        <v>1999689.5713940002</v>
      </c>
      <c r="K152" s="1"/>
      <c r="L152" s="1"/>
      <c r="M152" s="1"/>
    </row>
    <row r="153" spans="3:13" x14ac:dyDescent="0.25">
      <c r="C153" s="1" t="s">
        <v>2</v>
      </c>
      <c r="D153" s="1">
        <v>200.59344174759991</v>
      </c>
      <c r="E153" s="1">
        <v>114.85141815999992</v>
      </c>
      <c r="F153" s="1">
        <v>20708.382007959994</v>
      </c>
      <c r="G153" s="1">
        <v>747.40648815999907</v>
      </c>
      <c r="H153" s="1">
        <v>8256.2152589999951</v>
      </c>
      <c r="I153" s="1">
        <v>97128.660752000054</v>
      </c>
      <c r="J153" s="1">
        <v>50621.516555999813</v>
      </c>
      <c r="K153" s="1"/>
      <c r="L153" s="1"/>
      <c r="M153" s="1"/>
    </row>
    <row r="154" spans="3:13" x14ac:dyDescent="0.25">
      <c r="C154" s="1" t="s">
        <v>4</v>
      </c>
      <c r="D154" s="1">
        <v>100.54556059359997</v>
      </c>
      <c r="E154" s="1">
        <v>295.83530016000003</v>
      </c>
      <c r="F154" s="1">
        <v>477.97355299999947</v>
      </c>
      <c r="G154" s="1">
        <v>356.81963084000006</v>
      </c>
      <c r="H154" s="6">
        <v>1064.637682</v>
      </c>
      <c r="I154" s="1">
        <v>3172.4941859999835</v>
      </c>
      <c r="J154" s="1">
        <v>22078.655910000027</v>
      </c>
      <c r="K154" s="1"/>
      <c r="L154" s="1"/>
      <c r="M154" s="1"/>
    </row>
    <row r="155" spans="3:13" x14ac:dyDescent="0.25">
      <c r="C155" s="1" t="s">
        <v>5</v>
      </c>
      <c r="D155" s="1">
        <v>537.44660129760007</v>
      </c>
      <c r="E155" s="1">
        <v>554.36812099999975</v>
      </c>
      <c r="F155" s="1">
        <v>231.65841955999957</v>
      </c>
      <c r="G155" s="1">
        <v>1151.4716547599992</v>
      </c>
      <c r="H155" s="1">
        <v>5983.0203029999975</v>
      </c>
      <c r="I155" s="1">
        <v>4644.85130200002</v>
      </c>
      <c r="J155" s="1">
        <v>302669.26456299983</v>
      </c>
      <c r="K155" s="1"/>
      <c r="L155" s="1"/>
      <c r="M155" s="1"/>
    </row>
    <row r="156" spans="3:13" x14ac:dyDescent="0.25">
      <c r="C156" s="1" t="s">
        <v>6</v>
      </c>
      <c r="D156" s="1"/>
      <c r="E156" s="1">
        <v>113.63022800000029</v>
      </c>
      <c r="F156" s="1">
        <v>1100.3339749600004</v>
      </c>
      <c r="G156" s="1">
        <v>975.64002803999745</v>
      </c>
      <c r="H156" s="1">
        <v>64976.078103000058</v>
      </c>
      <c r="I156" s="1">
        <v>12178.919693999991</v>
      </c>
      <c r="J156" s="1">
        <v>19055707.890131999</v>
      </c>
      <c r="K156" s="1"/>
      <c r="L156" s="1"/>
      <c r="M156" s="1"/>
    </row>
    <row r="157" spans="3:13" x14ac:dyDescent="0.25">
      <c r="C157" s="1" t="s">
        <v>7</v>
      </c>
      <c r="D157" s="1"/>
      <c r="E157" s="1">
        <v>259.53062775999996</v>
      </c>
      <c r="F157" s="1">
        <v>616.71730855999976</v>
      </c>
      <c r="G157" s="1">
        <v>3560.706592000005</v>
      </c>
      <c r="H157" s="1">
        <v>57100.635880999995</v>
      </c>
      <c r="I157" s="1">
        <v>13831.197151999995</v>
      </c>
      <c r="J157" s="1">
        <v>19720658.197508004</v>
      </c>
      <c r="K157" s="1"/>
      <c r="L157" s="1"/>
      <c r="M157" s="1"/>
    </row>
    <row r="158" spans="3:13" x14ac:dyDescent="0.25">
      <c r="C158" s="1" t="s">
        <v>8</v>
      </c>
      <c r="D158" s="1">
        <v>240.99721352960003</v>
      </c>
      <c r="E158" s="1">
        <v>297.49951431999995</v>
      </c>
      <c r="F158" s="1">
        <v>281.85651201440004</v>
      </c>
      <c r="G158" s="1">
        <v>271.78190344000006</v>
      </c>
      <c r="H158" s="1">
        <v>1286.8453298399997</v>
      </c>
      <c r="I158" s="1">
        <v>38248.231785999997</v>
      </c>
      <c r="J158" s="1">
        <v>869.25825200000077</v>
      </c>
      <c r="K158" s="1"/>
      <c r="L158" s="4"/>
      <c r="M158" s="4"/>
    </row>
    <row r="159" spans="3:13" x14ac:dyDescent="0.25">
      <c r="C159" s="1" t="s">
        <v>9</v>
      </c>
      <c r="D159" s="1">
        <v>1524.0940021599999</v>
      </c>
      <c r="E159" s="1">
        <v>43621.361746639996</v>
      </c>
      <c r="F159" s="1">
        <v>1601730.4977677662</v>
      </c>
      <c r="G159" s="1">
        <v>1002406.82703404</v>
      </c>
      <c r="H159" s="1">
        <v>2435076.7215710003</v>
      </c>
      <c r="I159" s="1">
        <v>2657196.5847010007</v>
      </c>
      <c r="J159" s="1">
        <v>65421.180141000026</v>
      </c>
      <c r="K159" s="1"/>
      <c r="L159" s="1"/>
      <c r="M159" s="1"/>
    </row>
    <row r="160" spans="3:13" x14ac:dyDescent="0.25">
      <c r="C160" s="1" t="s">
        <v>10</v>
      </c>
      <c r="D160" s="1"/>
      <c r="E160" s="1">
        <v>373.81924788000003</v>
      </c>
      <c r="F160" s="1">
        <v>525.57633796360005</v>
      </c>
      <c r="G160" s="1">
        <v>340.5378199999999</v>
      </c>
      <c r="H160" s="1">
        <v>712.14340724000022</v>
      </c>
      <c r="I160" s="1">
        <v>4457.6383580000029</v>
      </c>
      <c r="J160" s="1">
        <v>1922.1838250000001</v>
      </c>
      <c r="K160" s="1"/>
      <c r="L160" s="1"/>
      <c r="M160" s="1"/>
    </row>
    <row r="161" spans="3:13" x14ac:dyDescent="0.25">
      <c r="C161" s="1" t="s">
        <v>13</v>
      </c>
      <c r="D161" s="1">
        <v>287.53107919999997</v>
      </c>
      <c r="E161" s="1">
        <v>138.54438975999955</v>
      </c>
      <c r="F161" s="1">
        <v>455.55770944000017</v>
      </c>
      <c r="G161" s="1">
        <v>4887.4578929199943</v>
      </c>
      <c r="H161" s="1">
        <v>61519.251590000029</v>
      </c>
      <c r="I161" s="1">
        <v>339551.91815299995</v>
      </c>
      <c r="J161" s="1">
        <v>348666.42938699987</v>
      </c>
      <c r="K161" s="1"/>
      <c r="L161" s="1"/>
      <c r="M161" s="1"/>
    </row>
    <row r="162" spans="3:13" x14ac:dyDescent="0.25">
      <c r="C162" s="1" t="s">
        <v>14</v>
      </c>
      <c r="D162" s="1">
        <v>6.771681791999999</v>
      </c>
      <c r="E162" s="1">
        <v>51.45089689199996</v>
      </c>
      <c r="F162" s="1">
        <v>62.694121706000075</v>
      </c>
      <c r="G162" s="1">
        <v>241.7645110000002</v>
      </c>
      <c r="H162" s="1">
        <v>9752.842702400003</v>
      </c>
      <c r="I162" s="1">
        <v>8465.0133265600016</v>
      </c>
      <c r="J162" s="1">
        <v>7016.1266239999923</v>
      </c>
      <c r="K162" s="1"/>
      <c r="L162" s="1"/>
      <c r="M162" s="1"/>
    </row>
    <row r="163" spans="3:13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3:13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3:13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3:13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3:13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3:13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3:13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3:13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2" spans="3:13" x14ac:dyDescent="0.25">
      <c r="C172" t="s">
        <v>15</v>
      </c>
    </row>
    <row r="173" spans="3:13" x14ac:dyDescent="0.25">
      <c r="C173" s="1">
        <v>50</v>
      </c>
      <c r="D173" s="2">
        <v>2</v>
      </c>
      <c r="E173" s="3">
        <v>4</v>
      </c>
      <c r="F173" s="2">
        <v>8</v>
      </c>
      <c r="G173" s="2">
        <v>16</v>
      </c>
      <c r="H173" s="2">
        <v>32</v>
      </c>
      <c r="I173" s="2">
        <v>64</v>
      </c>
      <c r="J173" s="2">
        <v>128</v>
      </c>
      <c r="K173" s="2">
        <v>256</v>
      </c>
      <c r="L173" s="2">
        <v>512</v>
      </c>
      <c r="M173" s="7">
        <f>L173*2</f>
        <v>1024</v>
      </c>
    </row>
    <row r="174" spans="3:13" x14ac:dyDescent="0.25">
      <c r="C174" s="1"/>
      <c r="D174" s="4">
        <v>42</v>
      </c>
      <c r="E174" s="4">
        <v>84</v>
      </c>
      <c r="F174" s="4">
        <v>168</v>
      </c>
      <c r="G174" s="4">
        <v>336</v>
      </c>
      <c r="H174" s="4">
        <v>672</v>
      </c>
      <c r="I174" s="4">
        <v>1344</v>
      </c>
      <c r="J174" s="4">
        <v>2688</v>
      </c>
      <c r="K174" s="4">
        <v>5376</v>
      </c>
      <c r="L174" s="4">
        <v>10752</v>
      </c>
      <c r="M174" s="9">
        <f>L174*2</f>
        <v>21504</v>
      </c>
    </row>
    <row r="175" spans="3:13" x14ac:dyDescent="0.25">
      <c r="C175" s="1" t="s">
        <v>1</v>
      </c>
      <c r="D175" s="1">
        <v>42.608828448753066</v>
      </c>
      <c r="E175" s="1">
        <v>29.704050077099726</v>
      </c>
      <c r="F175" s="1">
        <v>80.677562784576352</v>
      </c>
      <c r="G175" s="1">
        <v>155.3950207963166</v>
      </c>
      <c r="H175" s="1">
        <v>181.95167076705664</v>
      </c>
      <c r="I175" s="1">
        <v>1422.3298732778471</v>
      </c>
      <c r="J175" s="1">
        <v>391.96957681603783</v>
      </c>
      <c r="K175" s="1"/>
      <c r="L175" s="1"/>
      <c r="M175" s="1"/>
    </row>
    <row r="176" spans="3:13" x14ac:dyDescent="0.25">
      <c r="C176" s="1" t="s">
        <v>2</v>
      </c>
      <c r="D176" s="1">
        <v>3.9258114213945112</v>
      </c>
      <c r="E176" s="1">
        <v>2.970566302924261</v>
      </c>
      <c r="F176" s="1">
        <v>39.88817376661386</v>
      </c>
      <c r="G176" s="1">
        <v>7.5779110115063402</v>
      </c>
      <c r="H176" s="1">
        <v>25.186137670938898</v>
      </c>
      <c r="I176" s="1">
        <v>86.386279367140645</v>
      </c>
      <c r="J176" s="1">
        <v>62.364672371708785</v>
      </c>
      <c r="K176" s="1"/>
      <c r="L176" s="1"/>
      <c r="M176" s="1"/>
    </row>
    <row r="177" spans="3:13" x14ac:dyDescent="0.25">
      <c r="C177" s="1" t="s">
        <v>4</v>
      </c>
      <c r="D177" s="1">
        <v>2.779409381780142</v>
      </c>
      <c r="E177" s="1">
        <v>4.7675588912873561</v>
      </c>
      <c r="F177" s="1">
        <v>6.0600052825138659</v>
      </c>
      <c r="G177" s="1">
        <v>5.2359493768273655</v>
      </c>
      <c r="H177" s="6">
        <v>9.0442380764453549</v>
      </c>
      <c r="I177" s="1">
        <v>15.612465317775751</v>
      </c>
      <c r="J177" s="1">
        <v>41.186736832105574</v>
      </c>
      <c r="K177" s="1"/>
      <c r="L177" s="1"/>
      <c r="M177" s="1"/>
    </row>
    <row r="178" spans="3:13" x14ac:dyDescent="0.25">
      <c r="C178" s="1" t="s">
        <v>5</v>
      </c>
      <c r="D178" s="1">
        <v>6.4259705314370379</v>
      </c>
      <c r="E178" s="1">
        <v>6.5263474832920121</v>
      </c>
      <c r="F178" s="1">
        <v>4.2188599990558924</v>
      </c>
      <c r="G178" s="1">
        <v>9.4058423428484197</v>
      </c>
      <c r="H178" s="1">
        <v>21.440322197208129</v>
      </c>
      <c r="I178" s="1">
        <v>18.891088249099507</v>
      </c>
      <c r="J178" s="1">
        <v>152.49486855269717</v>
      </c>
      <c r="K178" s="1"/>
      <c r="L178" s="1"/>
      <c r="M178" s="1"/>
    </row>
    <row r="179" spans="3:13" x14ac:dyDescent="0.25">
      <c r="C179" s="1" t="s">
        <v>6</v>
      </c>
      <c r="D179" s="1"/>
      <c r="E179" s="1">
        <v>2.9547314053389049</v>
      </c>
      <c r="F179" s="1">
        <v>9.1946103758738325</v>
      </c>
      <c r="G179" s="1">
        <v>8.6579659640338793</v>
      </c>
      <c r="H179" s="1">
        <v>70.655799711061931</v>
      </c>
      <c r="I179" s="1">
        <v>30.58971653888619</v>
      </c>
      <c r="J179" s="1">
        <v>1209.995102723404</v>
      </c>
      <c r="K179" s="1"/>
      <c r="L179" s="1"/>
      <c r="M179" s="1"/>
    </row>
    <row r="180" spans="3:13" x14ac:dyDescent="0.25">
      <c r="C180" s="1" t="s">
        <v>7</v>
      </c>
      <c r="D180" s="1"/>
      <c r="E180" s="1">
        <v>4.4654515104361296</v>
      </c>
      <c r="F180" s="1">
        <v>6.883576414283632</v>
      </c>
      <c r="G180" s="1">
        <v>16.540139324580807</v>
      </c>
      <c r="H180" s="1">
        <v>66.235610180695019</v>
      </c>
      <c r="I180" s="1">
        <v>32.598750583150625</v>
      </c>
      <c r="J180" s="1">
        <v>1230.9255097815362</v>
      </c>
      <c r="K180" s="1"/>
      <c r="L180" s="1"/>
      <c r="M180" s="1"/>
    </row>
    <row r="181" spans="3:13" x14ac:dyDescent="0.25">
      <c r="C181" s="1" t="s">
        <v>8</v>
      </c>
      <c r="D181" s="1">
        <v>4.3030568099789512</v>
      </c>
      <c r="E181" s="1">
        <v>4.780949977173389</v>
      </c>
      <c r="F181" s="1">
        <v>4.653557728350469</v>
      </c>
      <c r="G181" s="1">
        <v>4.5696331587012633</v>
      </c>
      <c r="H181" s="1">
        <v>9.9433847548139696</v>
      </c>
      <c r="I181" s="1">
        <v>54.209668368123701</v>
      </c>
      <c r="J181" s="1">
        <v>8.1723221924777327</v>
      </c>
      <c r="K181" s="1"/>
      <c r="L181" s="4"/>
      <c r="M181" s="4"/>
    </row>
    <row r="182" spans="3:13" x14ac:dyDescent="0.25">
      <c r="C182" s="1" t="s">
        <v>9</v>
      </c>
      <c r="D182" s="1">
        <v>10.821237931676629</v>
      </c>
      <c r="E182" s="1">
        <v>57.892283300262427</v>
      </c>
      <c r="F182" s="1">
        <v>350.80501365358646</v>
      </c>
      <c r="G182" s="1">
        <v>277.51922696396974</v>
      </c>
      <c r="H182" s="1">
        <v>432.54111327334311</v>
      </c>
      <c r="I182" s="1">
        <v>451.83816571395039</v>
      </c>
      <c r="J182" s="1">
        <v>70.897391437155946</v>
      </c>
      <c r="K182" s="1"/>
      <c r="L182" s="1"/>
      <c r="M182" s="1"/>
    </row>
    <row r="183" spans="3:13" x14ac:dyDescent="0.25">
      <c r="C183" s="1" t="s">
        <v>10</v>
      </c>
      <c r="D183" s="1"/>
      <c r="E183" s="1">
        <v>5.3592238666728749</v>
      </c>
      <c r="F183" s="1">
        <v>6.3546110186556124</v>
      </c>
      <c r="G183" s="1">
        <v>5.115095481634726</v>
      </c>
      <c r="H183" s="1">
        <v>7.3969860257447895</v>
      </c>
      <c r="I183" s="1">
        <v>18.506465635605739</v>
      </c>
      <c r="J183" s="1">
        <v>12.152581110299161</v>
      </c>
      <c r="K183" s="1"/>
      <c r="L183" s="1"/>
      <c r="M183" s="1"/>
    </row>
    <row r="184" spans="3:13" x14ac:dyDescent="0.25">
      <c r="C184" s="1" t="s">
        <v>13</v>
      </c>
      <c r="D184" s="1">
        <v>4.7001689200596175</v>
      </c>
      <c r="E184" s="1">
        <v>3.2626128415796258</v>
      </c>
      <c r="F184" s="1">
        <v>5.9161989428765906</v>
      </c>
      <c r="G184" s="1">
        <v>19.378162060134315</v>
      </c>
      <c r="H184" s="1">
        <v>68.750615547519871</v>
      </c>
      <c r="I184" s="1">
        <v>161.51920311693988</v>
      </c>
      <c r="J184" s="1">
        <v>163.67265838453889</v>
      </c>
      <c r="K184" s="1"/>
      <c r="L184" s="1"/>
      <c r="M184" s="1"/>
    </row>
    <row r="185" spans="3:13" x14ac:dyDescent="0.25">
      <c r="C185" s="1" t="s">
        <v>14</v>
      </c>
      <c r="D185" s="1">
        <v>0.72130566020442677</v>
      </c>
      <c r="E185" s="1">
        <v>1.9882342191014972</v>
      </c>
      <c r="F185" s="1">
        <v>2.1947470831317668</v>
      </c>
      <c r="G185" s="1">
        <v>4.309901496455808</v>
      </c>
      <c r="H185" s="1">
        <v>27.373900169884397</v>
      </c>
      <c r="I185" s="1">
        <v>25.502625431634641</v>
      </c>
      <c r="J185" s="1">
        <v>23.217731171997997</v>
      </c>
      <c r="K185" s="1"/>
      <c r="L185" s="1"/>
      <c r="M185" s="1"/>
    </row>
    <row r="186" spans="3:13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3:13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3:13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3:13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3:13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3:13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3:13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3:13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</sheetData>
  <conditionalFormatting sqref="E56:M56 D56:L5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6:M56 D56:L5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2:D8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E8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2:F8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:G8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2:H8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:I8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J8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:M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"/>
  <sheetViews>
    <sheetView zoomScale="115" zoomScaleNormal="115" workbookViewId="0">
      <selection activeCell="E4" sqref="E4"/>
    </sheetView>
  </sheetViews>
  <sheetFormatPr defaultRowHeight="15" x14ac:dyDescent="0.25"/>
  <cols>
    <col min="2" max="2" width="27" bestFit="1" customWidth="1"/>
    <col min="3" max="3" width="18.42578125" customWidth="1"/>
    <col min="15" max="15" width="18.42578125" customWidth="1"/>
    <col min="17" max="23" width="8.7109375" bestFit="1" customWidth="1"/>
    <col min="24" max="24" width="10" bestFit="1" customWidth="1"/>
    <col min="25" max="25" width="9.140625" style="76"/>
  </cols>
  <sheetData>
    <row r="1" spans="1:23" x14ac:dyDescent="0.25">
      <c r="A1">
        <v>29</v>
      </c>
      <c r="B1">
        <v>120</v>
      </c>
      <c r="E1" s="7">
        <v>2</v>
      </c>
      <c r="F1" s="8">
        <v>4</v>
      </c>
      <c r="G1" s="7">
        <v>8</v>
      </c>
      <c r="H1" s="7">
        <v>16</v>
      </c>
      <c r="I1" s="7">
        <v>32</v>
      </c>
      <c r="J1" s="7">
        <v>64</v>
      </c>
      <c r="K1" s="7">
        <v>128</v>
      </c>
      <c r="Q1" s="7">
        <v>2</v>
      </c>
      <c r="R1" s="8">
        <v>4</v>
      </c>
      <c r="S1" s="7">
        <v>8</v>
      </c>
      <c r="T1" s="7">
        <v>16</v>
      </c>
      <c r="U1" s="7">
        <v>32</v>
      </c>
      <c r="V1" s="7">
        <v>64</v>
      </c>
      <c r="W1" s="7">
        <v>128</v>
      </c>
    </row>
    <row r="2" spans="1:23" x14ac:dyDescent="0.25">
      <c r="B2">
        <v>3060</v>
      </c>
      <c r="E2" s="16">
        <v>42</v>
      </c>
      <c r="F2" s="16">
        <v>84</v>
      </c>
      <c r="G2" s="16">
        <v>168</v>
      </c>
      <c r="H2" s="16">
        <v>336</v>
      </c>
      <c r="I2" s="16">
        <v>672</v>
      </c>
      <c r="J2" s="16">
        <v>1344</v>
      </c>
      <c r="K2" s="16">
        <v>2688</v>
      </c>
      <c r="Q2" s="16">
        <v>42</v>
      </c>
      <c r="R2" s="16">
        <v>84</v>
      </c>
      <c r="S2" s="16">
        <v>168</v>
      </c>
      <c r="T2" s="16">
        <v>336</v>
      </c>
      <c r="U2" s="16">
        <v>672</v>
      </c>
      <c r="V2" s="16">
        <v>1344</v>
      </c>
      <c r="W2" s="16">
        <v>2688</v>
      </c>
    </row>
    <row r="3" spans="1:23" ht="15" customHeight="1" x14ac:dyDescent="0.25">
      <c r="A3" s="19">
        <v>10</v>
      </c>
      <c r="B3" s="76" t="str">
        <f ca="1">OFFSET('1050LAPTOP'!$C$1,A3-1,0)</f>
        <v>CUDA opt_one_GPU</v>
      </c>
      <c r="C3" s="185" t="s">
        <v>107</v>
      </c>
      <c r="D3" s="20" t="s">
        <v>0</v>
      </c>
      <c r="E3" s="12">
        <f ca="1">OFFSET(REA!D$1,$A3-1+$A$1,0)</f>
        <v>49.128633333333333</v>
      </c>
      <c r="F3" s="12">
        <f ca="1">OFFSET(REA!E$1,$A3-1+$A$1,0)</f>
        <v>29.456671428571433</v>
      </c>
      <c r="G3" s="12">
        <f ca="1">OFFSET(REA!F$1,$A3-1+$A$1,0)</f>
        <v>12.088770238095233</v>
      </c>
      <c r="H3" s="12">
        <f ca="1">OFFSET(REA!G$1,$A3-1+$A$1,0)</f>
        <v>11.775817857142858</v>
      </c>
      <c r="I3" s="12">
        <f ca="1">OFFSET(REA!H$1,$A3-1+$A$1,0)</f>
        <v>6.5064645833333357</v>
      </c>
      <c r="J3" s="12">
        <f ca="1">OFFSET(REA!I$1,$A3-1+$A$1,0)</f>
        <v>0</v>
      </c>
      <c r="K3" s="12">
        <f ca="1">OFFSET(REA!J$1,$A3-1+$A$1,0)</f>
        <v>0</v>
      </c>
      <c r="O3" s="185" t="s">
        <v>107</v>
      </c>
      <c r="P3" s="4" t="s">
        <v>0</v>
      </c>
      <c r="Q3" s="12">
        <v>49.128633333333333</v>
      </c>
      <c r="R3" s="12">
        <v>29.456671428571433</v>
      </c>
      <c r="S3" s="12">
        <v>12.088770238095233</v>
      </c>
      <c r="T3" s="12">
        <v>11.775817857142858</v>
      </c>
      <c r="U3" s="12"/>
      <c r="V3" s="12"/>
      <c r="W3" s="12"/>
    </row>
    <row r="4" spans="1:23" x14ac:dyDescent="0.25">
      <c r="B4" s="76"/>
      <c r="C4" s="186"/>
      <c r="D4" s="1" t="s">
        <v>16</v>
      </c>
      <c r="E4" s="12">
        <f ca="1">OFFSET(REA!D$1,$A3-1+$B$1,0)/SQRT(E$2)</f>
        <v>1.0541382745764614</v>
      </c>
      <c r="F4" s="12">
        <f ca="1">OFFSET(REA!E$1,$A3-1+$B$1,0)/SQRT(F$2)</f>
        <v>0.47292227155878297</v>
      </c>
      <c r="G4" s="12">
        <f ca="1">OFFSET(REA!F$1,$A3-1+$B$1,0)/SQRT(G$2)</f>
        <v>3.9358582704402889</v>
      </c>
      <c r="H4" s="12">
        <f ca="1">OFFSET(REA!G$1,$A3-1+$B$1,0)/SQRT(H$2)</f>
        <v>0.8327073569625284</v>
      </c>
      <c r="I4" s="12">
        <f ca="1">OFFSET(REA!H$1,$A3-1+$B$1,0)/SQRT(I$2)</f>
        <v>0</v>
      </c>
      <c r="J4" s="12">
        <f ca="1">OFFSET(REA!I$1,$A3-1+$B$1,0)/SQRT(J$2)</f>
        <v>0</v>
      </c>
      <c r="K4" s="12">
        <f ca="1">OFFSET(REA!J$1,$A3-1+$B$1,0)/SQRT(K$2)</f>
        <v>0</v>
      </c>
      <c r="O4" s="186"/>
      <c r="P4" s="1" t="s">
        <v>16</v>
      </c>
      <c r="Q4" s="12">
        <v>1.0541382745764614</v>
      </c>
      <c r="R4" s="12">
        <v>0.47292227155878297</v>
      </c>
      <c r="S4" s="12">
        <v>3.9358582704402889</v>
      </c>
      <c r="T4" s="12">
        <v>0.8327073569625284</v>
      </c>
      <c r="U4" s="12"/>
      <c r="V4" s="12"/>
      <c r="W4" s="12"/>
    </row>
    <row r="5" spans="1:23" ht="15" customHeight="1" x14ac:dyDescent="0.25">
      <c r="A5">
        <v>11</v>
      </c>
      <c r="B5" s="76" t="str">
        <f ca="1">OFFSET('1050LAPTOP'!$C$1,A5-1,0)</f>
        <v>CUDA opt_one_GPU ant</v>
      </c>
      <c r="C5" s="185" t="s">
        <v>108</v>
      </c>
      <c r="D5" s="1" t="s">
        <v>0</v>
      </c>
      <c r="E5" s="12">
        <f ca="1">OFFSET(REA!D$1,$A5-1+$A$1,0)</f>
        <v>83.655395238095224</v>
      </c>
      <c r="F5" s="12">
        <f ca="1">OFFSET(REA!E$1,$A5-1+$A$1,0)</f>
        <v>86.115240476190493</v>
      </c>
      <c r="G5" s="12">
        <f ca="1">OFFSET(REA!F$1,$A5-1+$A$1,0)</f>
        <v>87.072809523809525</v>
      </c>
      <c r="H5" s="12">
        <f ca="1">OFFSET(REA!G$1,$A5-1+$A$1,0)</f>
        <v>88.016184523809528</v>
      </c>
      <c r="I5" s="12">
        <f ca="1">OFFSET(REA!H$1,$A5-1+$A$1,0)</f>
        <v>89.758202380952426</v>
      </c>
      <c r="J5" s="12">
        <f ca="1">OFFSET(REA!I$1,$A5-1+$A$1,0)</f>
        <v>91.661205357142862</v>
      </c>
      <c r="K5" s="12">
        <f ca="1">OFFSET(REA!J$1,$A5-1+$A$1,0)</f>
        <v>92.953444940476189</v>
      </c>
      <c r="O5" s="185" t="s">
        <v>108</v>
      </c>
      <c r="P5" s="1" t="s">
        <v>0</v>
      </c>
      <c r="Q5" s="12">
        <v>83.655395238095224</v>
      </c>
      <c r="R5" s="12">
        <v>86.115240476190493</v>
      </c>
      <c r="S5" s="12">
        <v>87.072809523809525</v>
      </c>
      <c r="T5" s="12">
        <v>88.016184523809528</v>
      </c>
      <c r="U5" s="12">
        <v>89.758202380952426</v>
      </c>
      <c r="V5" s="12">
        <v>91.661205357142862</v>
      </c>
      <c r="W5" s="12">
        <v>92.953444940476189</v>
      </c>
    </row>
    <row r="6" spans="1:23" x14ac:dyDescent="0.25">
      <c r="B6" s="76"/>
      <c r="C6" s="186"/>
      <c r="D6" s="1" t="s">
        <v>16</v>
      </c>
      <c r="E6" s="12">
        <f ca="1">OFFSET(REA!D$1,$A5-1+$B$1,0)/SQRT(E$2)</f>
        <v>0.66230726447843535</v>
      </c>
      <c r="F6" s="12">
        <f ca="1">OFFSET(REA!E$1,$A5-1+$B$1,0)/SQRT(F$2)</f>
        <v>1.9933564083767716</v>
      </c>
      <c r="G6" s="12">
        <f ca="1">OFFSET(REA!F$1,$A5-1+$B$1,0)/SQRT(G$2)</f>
        <v>1.9112545887167047</v>
      </c>
      <c r="H6" s="12">
        <f ca="1">OFFSET(REA!G$1,$A5-1+$B$1,0)/SQRT(H$2)</f>
        <v>1.2054612679822323</v>
      </c>
      <c r="I6" s="12">
        <f ca="1">OFFSET(REA!H$1,$A5-1+$B$1,0)/SQRT(I$2)</f>
        <v>0.65293688378178394</v>
      </c>
      <c r="J6" s="12">
        <f ca="1">OFFSET(REA!I$1,$A5-1+$B$1,0)/SQRT(J$2)</f>
        <v>8.5451573522590358</v>
      </c>
      <c r="K6" s="12">
        <f ca="1">OFFSET(REA!J$1,$A5-1+$B$1,0)/SQRT(K$2)</f>
        <v>3.663259046454856</v>
      </c>
      <c r="O6" s="186"/>
      <c r="P6" s="1" t="s">
        <v>16</v>
      </c>
      <c r="Q6" s="12">
        <v>0.66230726447843535</v>
      </c>
      <c r="R6" s="12">
        <v>1.9933564083767716</v>
      </c>
      <c r="S6" s="12">
        <v>1.9112545887167047</v>
      </c>
      <c r="T6" s="12">
        <v>1.2054612679822323</v>
      </c>
      <c r="U6" s="12">
        <v>0.65293688378178394</v>
      </c>
      <c r="V6" s="12">
        <v>8.5451573522590358</v>
      </c>
      <c r="W6" s="12">
        <v>3.663259046454856</v>
      </c>
    </row>
    <row r="7" spans="1:23" ht="15" customHeight="1" x14ac:dyDescent="0.25">
      <c r="A7">
        <v>12</v>
      </c>
      <c r="B7" s="76" t="str">
        <f ca="1">OFFSET('1050LAPTOP'!$C$1,A7-1,0)</f>
        <v>CUDA opt_one_GPU ant local</v>
      </c>
      <c r="C7" s="185" t="s">
        <v>109</v>
      </c>
      <c r="D7" s="1" t="s">
        <v>0</v>
      </c>
      <c r="E7" s="12" t="e">
        <f ca="1">OFFSET(REA!D$1,$A7-1+$A$1,0)</f>
        <v>#DIV/0!</v>
      </c>
      <c r="F7" s="12">
        <f ca="1">OFFSET(REA!E$1,$A7-1+$A$1,0)</f>
        <v>2.1433459523809515</v>
      </c>
      <c r="G7" s="12">
        <f ca="1">OFFSET(REA!F$1,$A7-1+$A$1,0)</f>
        <v>2.162555238095238</v>
      </c>
      <c r="H7" s="12">
        <f ca="1">OFFSET(REA!G$1,$A7-1+$A$1,0)</f>
        <v>2.4949898214285713</v>
      </c>
      <c r="I7" s="12">
        <f ca="1">OFFSET(REA!H$1,$A7-1+$A$1,0)</f>
        <v>2.5703541666666676</v>
      </c>
      <c r="J7" s="12">
        <f ca="1">OFFSET(REA!I$1,$A7-1+$A$1,0)</f>
        <v>2.6002382440476191</v>
      </c>
      <c r="K7" s="12" t="e">
        <f ca="1">OFFSET(REA!J$1,$A7-1+$A$1,0)</f>
        <v>#DIV/0!</v>
      </c>
      <c r="O7" s="185" t="s">
        <v>109</v>
      </c>
      <c r="P7" s="1" t="s">
        <v>0</v>
      </c>
      <c r="Q7" s="12"/>
      <c r="R7" s="12">
        <v>2.1433459523809515</v>
      </c>
      <c r="S7" s="12">
        <v>2.162555238095238</v>
      </c>
      <c r="T7" s="12">
        <v>2.4949898214285713</v>
      </c>
      <c r="U7" s="12">
        <v>2.5703541666666676</v>
      </c>
      <c r="V7" s="12">
        <v>2.6002382440476191</v>
      </c>
      <c r="W7" s="12"/>
    </row>
    <row r="8" spans="1:23" x14ac:dyDescent="0.25">
      <c r="B8" s="76"/>
      <c r="C8" s="186"/>
      <c r="D8" s="1" t="s">
        <v>16</v>
      </c>
      <c r="E8" s="12" t="e">
        <f ca="1">OFFSET(REA!D$1,$A7-1+$B$1,0)/SQRT(E$2)</f>
        <v>#DIV/0!</v>
      </c>
      <c r="F8" s="12">
        <f ca="1">OFFSET(REA!E$1,$A7-1+$B$1,0)/SQRT(F$2)</f>
        <v>7.9599431262959396E-3</v>
      </c>
      <c r="G8" s="12">
        <f ca="1">OFFSET(REA!F$1,$A7-1+$B$1,0)/SQRT(G$2)</f>
        <v>2.8440268647320011E-2</v>
      </c>
      <c r="H8" s="12">
        <f ca="1">OFFSET(REA!G$1,$A7-1+$B$1,0)/SQRT(H$2)</f>
        <v>7.3314393764025397E-3</v>
      </c>
      <c r="I8" s="12">
        <f ca="1">OFFSET(REA!H$1,$A7-1+$B$1,0)/SQRT(I$2)</f>
        <v>2.5462943008745867E-3</v>
      </c>
      <c r="J8" s="12">
        <f ca="1">OFFSET(REA!I$1,$A7-1+$B$1,0)/SQRT(J$2)</f>
        <v>4.8828547708620763E-3</v>
      </c>
      <c r="K8" s="12" t="e">
        <f ca="1">OFFSET(REA!J$1,$A7-1+$B$1,0)/SQRT(K$2)</f>
        <v>#DIV/0!</v>
      </c>
      <c r="O8" s="186"/>
      <c r="P8" s="1" t="s">
        <v>16</v>
      </c>
      <c r="Q8" s="12"/>
      <c r="R8" s="12">
        <v>7.9599431262959396E-3</v>
      </c>
      <c r="S8" s="12">
        <v>2.8440268647320011E-2</v>
      </c>
      <c r="T8" s="12">
        <v>7.3314393764025397E-3</v>
      </c>
      <c r="U8" s="12">
        <v>2.5462943008745867E-3</v>
      </c>
      <c r="V8" s="12">
        <v>4.8828547708620763E-3</v>
      </c>
      <c r="W8" s="12"/>
    </row>
    <row r="9" spans="1:23" ht="15" customHeight="1" x14ac:dyDescent="0.25">
      <c r="A9">
        <v>4</v>
      </c>
      <c r="B9" s="76" t="str">
        <f ca="1">OFFSET('1050LAPTOP'!$C$1,A9-1,0)</f>
        <v>CUDA Time</v>
      </c>
      <c r="C9" s="185" t="s">
        <v>111</v>
      </c>
      <c r="D9" s="1" t="s">
        <v>0</v>
      </c>
      <c r="E9" s="12">
        <f ca="1">OFFSET(REA!D$1,$A9-1+$A$1,0)</f>
        <v>3.4666723809523821</v>
      </c>
      <c r="F9" s="12">
        <f ca="1">OFFSET(REA!E$1,$A9-1+$A$1,0)</f>
        <v>2.2190766666666666</v>
      </c>
      <c r="G9" s="12">
        <f ca="1">OFFSET(REA!F$1,$A9-1+$A$1,0)</f>
        <v>1.5829224999999996</v>
      </c>
      <c r="H9" s="12">
        <f ca="1">OFFSET(REA!G$1,$A9-1+$A$1,0)</f>
        <v>1.5274549999999996</v>
      </c>
      <c r="I9" s="12">
        <f ca="1">OFFSET(REA!H$1,$A9-1+$A$1,0)</f>
        <v>0</v>
      </c>
      <c r="J9" s="12">
        <f ca="1">OFFSET(REA!I$1,$A9-1+$A$1,0)</f>
        <v>0</v>
      </c>
      <c r="K9" s="12">
        <f ca="1">OFFSET(REA!J$1,$A9-1+$A$1,0)</f>
        <v>0</v>
      </c>
      <c r="O9" s="185" t="s">
        <v>111</v>
      </c>
      <c r="P9" s="1" t="s">
        <v>0</v>
      </c>
      <c r="Q9" s="12">
        <v>3.4666723809523821</v>
      </c>
      <c r="R9" s="12">
        <v>2.2190766666666666</v>
      </c>
      <c r="S9" s="12">
        <v>1.5829224999999996</v>
      </c>
      <c r="T9" s="12">
        <v>1.5274549999999996</v>
      </c>
      <c r="U9" s="12"/>
      <c r="V9" s="12"/>
      <c r="W9" s="12"/>
    </row>
    <row r="10" spans="1:23" x14ac:dyDescent="0.25">
      <c r="B10" s="76"/>
      <c r="C10" s="186"/>
      <c r="D10" s="1" t="s">
        <v>16</v>
      </c>
      <c r="E10" s="12">
        <f ca="1">OFFSET(REA!D$1,$A9-1+$B$1,0)/SQRT(E$2)</f>
        <v>0.2108026403746493</v>
      </c>
      <c r="F10" s="12">
        <f ca="1">OFFSET(REA!E$1,$A9-1+$B$1,0)/SQRT(F$2)</f>
        <v>0.11507446620219676</v>
      </c>
      <c r="G10" s="12">
        <f ca="1">OFFSET(REA!F$1,$A9-1+$B$1,0)/SQRT(G$2)</f>
        <v>8.3665571290488044E-2</v>
      </c>
      <c r="H10" s="12">
        <f ca="1">OFFSET(REA!G$1,$A9-1+$B$1,0)/SQRT(H$2)</f>
        <v>1.4738702495149698E-2</v>
      </c>
      <c r="I10" s="12">
        <f ca="1">OFFSET(REA!H$1,$A9-1+$B$1,0)/SQRT(I$2)</f>
        <v>0</v>
      </c>
      <c r="J10" s="12">
        <f ca="1">OFFSET(REA!I$1,$A9-1+$B$1,0)/SQRT(J$2)</f>
        <v>0</v>
      </c>
      <c r="K10" s="12">
        <f ca="1">OFFSET(REA!J$1,$A9-1+$B$1,0)/SQRT(K$2)</f>
        <v>0</v>
      </c>
      <c r="O10" s="186"/>
      <c r="P10" s="1" t="s">
        <v>16</v>
      </c>
      <c r="Q10" s="12">
        <v>0.2108026403746493</v>
      </c>
      <c r="R10" s="12">
        <v>0.11507446620219676</v>
      </c>
      <c r="S10" s="12">
        <v>8.3665571290488044E-2</v>
      </c>
      <c r="T10" s="12">
        <v>1.4738702495149698E-2</v>
      </c>
      <c r="U10" s="12"/>
      <c r="V10" s="12"/>
      <c r="W10" s="12"/>
    </row>
    <row r="11" spans="1:23" ht="15" customHeight="1" x14ac:dyDescent="0.25">
      <c r="A11">
        <v>6</v>
      </c>
      <c r="B11" s="76" t="str">
        <f ca="1">OFFSET('1050LAPTOP'!$C$1,A11-1,0)</f>
        <v>CUDA ant par</v>
      </c>
      <c r="C11" s="185" t="s">
        <v>113</v>
      </c>
      <c r="D11" s="1" t="s">
        <v>0</v>
      </c>
      <c r="E11" s="12">
        <f ca="1">OFFSET(REA!D$1,$A11-1+$A$1,0)</f>
        <v>3.6442819047619048</v>
      </c>
      <c r="F11" s="12">
        <f ca="1">OFFSET(REA!E$1,$A11-1+$A$1,0)</f>
        <v>2.3596057142857143</v>
      </c>
      <c r="G11" s="12">
        <f ca="1">OFFSET(REA!F$1,$A11-1+$A$1,0)</f>
        <v>1.6643389285714287</v>
      </c>
      <c r="H11" s="12">
        <f ca="1">OFFSET(REA!G$1,$A11-1+$A$1,0)</f>
        <v>1.4653357738095234</v>
      </c>
      <c r="I11" s="12">
        <f ca="1">OFFSET(REA!H$1,$A11-1+$A$1,0)</f>
        <v>1.440568184523809</v>
      </c>
      <c r="J11" s="12">
        <f ca="1">OFFSET(REA!I$1,$A11-1+$A$1,0)</f>
        <v>1.3444639880952378</v>
      </c>
      <c r="K11" s="12">
        <f ca="1">OFFSET(REA!J$1,$A11-1+$A$1,0)</f>
        <v>1.1408949404761946</v>
      </c>
      <c r="O11" s="185" t="s">
        <v>113</v>
      </c>
      <c r="P11" s="1" t="s">
        <v>0</v>
      </c>
      <c r="Q11" s="12">
        <v>3.6442819047619048</v>
      </c>
      <c r="R11" s="12">
        <v>2.3596057142857143</v>
      </c>
      <c r="S11" s="12">
        <v>1.6643389285714287</v>
      </c>
      <c r="T11" s="12">
        <v>1.4653357738095234</v>
      </c>
      <c r="U11" s="12">
        <v>1.440568184523809</v>
      </c>
      <c r="V11" s="12">
        <v>1.3444639880952378</v>
      </c>
      <c r="W11" s="12">
        <v>1.1408949404761946</v>
      </c>
    </row>
    <row r="12" spans="1:23" x14ac:dyDescent="0.25">
      <c r="B12" s="76"/>
      <c r="C12" s="186"/>
      <c r="D12" s="1" t="s">
        <v>16</v>
      </c>
      <c r="E12" s="12">
        <f ca="1">OFFSET(REA!D$1,$A11-1+$B$1,0)/SQRT(E$2)</f>
        <v>0.21642399460145142</v>
      </c>
      <c r="F12" s="12">
        <f ca="1">OFFSET(REA!E$1,$A11-1+$B$1,0)/SQRT(F$2)</f>
        <v>0.24551559876092488</v>
      </c>
      <c r="G12" s="12">
        <f ca="1">OFFSET(REA!F$1,$A11-1+$B$1,0)/SQRT(G$2)</f>
        <v>0.16055467008486632</v>
      </c>
      <c r="H12" s="12">
        <f ca="1">OFFSET(REA!G$1,$A11-1+$B$1,0)/SQRT(H$2)</f>
        <v>1.5673634742603026E-2</v>
      </c>
      <c r="I12" s="12">
        <f ca="1">OFFSET(REA!H$1,$A11-1+$B$1,0)/SQRT(I$2)</f>
        <v>0.159287239934682</v>
      </c>
      <c r="J12" s="12">
        <f ca="1">OFFSET(REA!I$1,$A11-1+$B$1,0)/SQRT(J$2)</f>
        <v>1.0222153663489905E-2</v>
      </c>
      <c r="K12" s="12">
        <f ca="1">OFFSET(REA!J$1,$A11-1+$B$1,0)/SQRT(K$2)</f>
        <v>0.1146533622273823</v>
      </c>
      <c r="O12" s="186"/>
      <c r="P12" s="1" t="s">
        <v>16</v>
      </c>
      <c r="Q12" s="12">
        <v>0.21642399460145142</v>
      </c>
      <c r="R12" s="12">
        <v>0.24551559876092488</v>
      </c>
      <c r="S12" s="12">
        <v>0.16055467008486632</v>
      </c>
      <c r="T12" s="12">
        <v>1.5673634742603026E-2</v>
      </c>
      <c r="U12" s="12">
        <v>0.159287239934682</v>
      </c>
      <c r="V12" s="12">
        <v>1.0222153663489905E-2</v>
      </c>
      <c r="W12" s="12">
        <v>0.1146533622273823</v>
      </c>
    </row>
    <row r="13" spans="1:23" ht="15" customHeight="1" x14ac:dyDescent="0.25">
      <c r="A13">
        <v>7</v>
      </c>
      <c r="B13" s="76" t="str">
        <f ca="1">OFFSET('1050LAPTOP'!$C$1,A13-1,0)</f>
        <v>CUDA opt</v>
      </c>
      <c r="C13" s="185" t="s">
        <v>110</v>
      </c>
      <c r="D13" s="1" t="s">
        <v>0</v>
      </c>
      <c r="E13" s="12">
        <f ca="1">OFFSET(REA!D$1,$A13-1+$A$1,0)</f>
        <v>3.4288209523809519</v>
      </c>
      <c r="F13" s="12">
        <f ca="1">OFFSET(REA!E$1,$A13-1+$A$1,0)</f>
        <v>2.1811107142857136</v>
      </c>
      <c r="G13" s="12">
        <f ca="1">OFFSET(REA!F$1,$A13-1+$A$1,0)</f>
        <v>1.5834041666666667</v>
      </c>
      <c r="H13" s="12">
        <f ca="1">OFFSET(REA!G$1,$A13-1+$A$1,0)</f>
        <v>1.5214767857142855</v>
      </c>
      <c r="I13" s="12">
        <f ca="1">OFFSET(REA!H$1,$A13-1+$A$1,0)</f>
        <v>0</v>
      </c>
      <c r="J13" s="12">
        <f ca="1">OFFSET(REA!I$1,$A13-1+$A$1,0)</f>
        <v>0</v>
      </c>
      <c r="K13" s="12">
        <f ca="1">OFFSET(REA!J$1,$A13-1+$A$1,0)</f>
        <v>0</v>
      </c>
      <c r="O13" s="185" t="s">
        <v>110</v>
      </c>
      <c r="P13" s="1" t="s">
        <v>0</v>
      </c>
      <c r="Q13" s="12">
        <v>3.4288209523809519</v>
      </c>
      <c r="R13" s="12">
        <v>2.1811107142857136</v>
      </c>
      <c r="S13" s="12">
        <v>1.5834041666666667</v>
      </c>
      <c r="T13" s="12">
        <v>1.5214767857142855</v>
      </c>
      <c r="U13" s="12"/>
      <c r="V13" s="12"/>
      <c r="W13" s="12"/>
    </row>
    <row r="14" spans="1:23" x14ac:dyDescent="0.25">
      <c r="B14" s="76"/>
      <c r="C14" s="186"/>
      <c r="D14" s="1" t="s">
        <v>16</v>
      </c>
      <c r="E14" s="12">
        <f ca="1">OFFSET(REA!D$1,$A13-1+$B$1,0)/SQRT(E$2)</f>
        <v>0.18184080225798685</v>
      </c>
      <c r="F14" s="12">
        <f ca="1">OFFSET(REA!E$1,$A13-1+$B$1,0)/SQRT(F$2)</f>
        <v>0.13744552594314108</v>
      </c>
      <c r="G14" s="12">
        <f ca="1">OFFSET(REA!F$1,$A13-1+$B$1,0)/SQRT(G$2)</f>
        <v>8.57593115211015E-2</v>
      </c>
      <c r="H14" s="12">
        <f ca="1">OFFSET(REA!G$1,$A13-1+$B$1,0)/SQRT(H$2)</f>
        <v>4.3533846707743677E-2</v>
      </c>
      <c r="I14" s="12">
        <f ca="1">OFFSET(REA!H$1,$A13-1+$B$1,0)/SQRT(I$2)</f>
        <v>0</v>
      </c>
      <c r="J14" s="12">
        <f ca="1">OFFSET(REA!I$1,$A13-1+$B$1,0)/SQRT(J$2)</f>
        <v>0</v>
      </c>
      <c r="K14" s="12">
        <f ca="1">OFFSET(REA!J$1,$A13-1+$B$1,0)/SQRT(K$2)</f>
        <v>0</v>
      </c>
      <c r="O14" s="186"/>
      <c r="P14" s="1" t="s">
        <v>16</v>
      </c>
      <c r="Q14" s="12">
        <v>0.18184080225798685</v>
      </c>
      <c r="R14" s="12">
        <v>0.13744552594314108</v>
      </c>
      <c r="S14" s="12">
        <v>8.57593115211015E-2</v>
      </c>
      <c r="T14" s="12">
        <v>4.3533846707743677E-2</v>
      </c>
      <c r="U14" s="12"/>
      <c r="V14" s="12"/>
      <c r="W14" s="12"/>
    </row>
    <row r="15" spans="1:23" ht="15" customHeight="1" x14ac:dyDescent="0.25">
      <c r="A15">
        <v>9</v>
      </c>
      <c r="B15" s="76" t="str">
        <f ca="1">OFFSET('1050LAPTOP'!$C$1,A15-1,0)</f>
        <v>CUDA opt ant par</v>
      </c>
      <c r="C15" s="185" t="s">
        <v>112</v>
      </c>
      <c r="D15" s="1" t="s">
        <v>0</v>
      </c>
      <c r="E15" s="12">
        <f ca="1">OFFSET(REA!D$1,$A15-1+$A$1,0)</f>
        <v>3.598992857142858</v>
      </c>
      <c r="F15" s="12">
        <f ca="1">OFFSET(REA!E$1,$A15-1+$A$1,0)</f>
        <v>2.3101809523809518</v>
      </c>
      <c r="G15" s="12">
        <f ca="1">OFFSET(REA!F$1,$A15-1+$A$1,0)</f>
        <v>1.6616407142857144</v>
      </c>
      <c r="H15" s="12">
        <f ca="1">OFFSET(REA!G$1,$A15-1+$A$1,0)</f>
        <v>1.456121666666667</v>
      </c>
      <c r="I15" s="12">
        <f ca="1">OFFSET(REA!H$1,$A15-1+$A$1,0)</f>
        <v>1.4368479166666666</v>
      </c>
      <c r="J15" s="12">
        <f ca="1">OFFSET(REA!I$1,$A15-1+$A$1,0)</f>
        <v>1.356829910714286</v>
      </c>
      <c r="K15" s="12">
        <f ca="1">OFFSET(REA!J$1,$A15-1+$A$1,0)</f>
        <v>1.1398545386904775</v>
      </c>
      <c r="O15" s="185" t="s">
        <v>112</v>
      </c>
      <c r="P15" s="1" t="s">
        <v>0</v>
      </c>
      <c r="Q15" s="12">
        <v>3.598992857142858</v>
      </c>
      <c r="R15" s="12">
        <v>2.3101809523809518</v>
      </c>
      <c r="S15" s="12">
        <v>1.6616407142857144</v>
      </c>
      <c r="T15" s="12">
        <v>1.456121666666667</v>
      </c>
      <c r="U15" s="12">
        <v>1.4368479166666666</v>
      </c>
      <c r="V15" s="12">
        <v>1.356829910714286</v>
      </c>
      <c r="W15" s="12">
        <v>1.1398545386904775</v>
      </c>
    </row>
    <row r="16" spans="1:23" x14ac:dyDescent="0.25">
      <c r="B16" s="76"/>
      <c r="C16" s="186"/>
      <c r="D16" s="1" t="s">
        <v>16</v>
      </c>
      <c r="E16" s="12">
        <f ca="1">OFFSET(REA!D$1,$A15-1+$B$1,0)/SQRT(E$2)</f>
        <v>0.17196520632686141</v>
      </c>
      <c r="F16" s="12">
        <f ca="1">OFFSET(REA!E$1,$A15-1+$B$1,0)/SQRT(F$2)</f>
        <v>0.1991963243406531</v>
      </c>
      <c r="G16" s="12">
        <f ca="1">OFFSET(REA!F$1,$A15-1+$B$1,0)/SQRT(G$2)</f>
        <v>0.17830378820678378</v>
      </c>
      <c r="H16" s="12">
        <f ca="1">OFFSET(REA!G$1,$A15-1+$B$1,0)/SQRT(H$2)</f>
        <v>4.4359152658429706E-2</v>
      </c>
      <c r="I16" s="12">
        <f ca="1">OFFSET(REA!H$1,$A15-1+$B$1,0)/SQRT(I$2)</f>
        <v>0.16929469275611292</v>
      </c>
      <c r="J16" s="12">
        <f ca="1">OFFSET(REA!I$1,$A15-1+$B$1,0)/SQRT(J$2)</f>
        <v>0.10063817258916544</v>
      </c>
      <c r="K16" s="12">
        <f ca="1">OFFSET(REA!J$1,$A15-1+$B$1,0)/SQRT(K$2)</f>
        <v>0.14089426582754647</v>
      </c>
      <c r="O16" s="186"/>
      <c r="P16" s="1" t="s">
        <v>16</v>
      </c>
      <c r="Q16" s="12">
        <v>0.17196520632686141</v>
      </c>
      <c r="R16" s="12">
        <v>0.1991963243406531</v>
      </c>
      <c r="S16" s="12">
        <v>0.17830378820678378</v>
      </c>
      <c r="T16" s="12">
        <v>4.4359152658429706E-2</v>
      </c>
      <c r="U16" s="12">
        <v>0.16929469275611292</v>
      </c>
      <c r="V16" s="12">
        <v>0.10063817258916544</v>
      </c>
      <c r="W16" s="12">
        <v>0.14089426582754647</v>
      </c>
    </row>
    <row r="17" spans="1:23" x14ac:dyDescent="0.25">
      <c r="A17">
        <v>10</v>
      </c>
      <c r="B17" s="76" t="str">
        <f ca="1">OFFSET('1050LAPTOP'!$C$1,A17-1,0)</f>
        <v>CUDA opt_one_GPU</v>
      </c>
      <c r="C17" s="185" t="s">
        <v>17</v>
      </c>
      <c r="D17" s="1" t="s">
        <v>0</v>
      </c>
      <c r="E17" s="12">
        <f ca="1">OFFSET(REA!D$1,$A17-1+$A$1,0)</f>
        <v>49.128633333333333</v>
      </c>
      <c r="F17" s="12">
        <f ca="1">OFFSET(REA!E$1,$A17-1+$A$1,0)</f>
        <v>29.456671428571433</v>
      </c>
      <c r="G17" s="12">
        <f ca="1">OFFSET(REA!F$1,$A17-1+$A$1,0)</f>
        <v>12.088770238095233</v>
      </c>
      <c r="H17" s="12">
        <f ca="1">OFFSET(REA!G$1,$A17-1+$A$1,0)</f>
        <v>11.775817857142858</v>
      </c>
      <c r="I17" s="12">
        <f ca="1">OFFSET(REA!H$1,$A17-1+$A$1,0)</f>
        <v>6.5064645833333357</v>
      </c>
      <c r="J17" s="12">
        <f ca="1">OFFSET(REA!I$1,$A17-1+$A$1,0)</f>
        <v>0</v>
      </c>
      <c r="K17" s="12">
        <f ca="1">OFFSET(REA!J$1,$A17-1+$A$1,0)</f>
        <v>0</v>
      </c>
      <c r="O17" s="185"/>
      <c r="P17" s="1"/>
      <c r="Q17" s="12"/>
      <c r="R17" s="12"/>
      <c r="S17" s="12"/>
      <c r="T17" s="12"/>
      <c r="U17" s="12"/>
      <c r="V17" s="12"/>
      <c r="W17" s="12"/>
    </row>
    <row r="18" spans="1:23" x14ac:dyDescent="0.25">
      <c r="B18" s="76"/>
      <c r="C18" s="186"/>
      <c r="D18" s="1" t="s">
        <v>16</v>
      </c>
      <c r="E18" s="12">
        <f ca="1">OFFSET(REA!D$1,$A17-1+$B$1,0)/SQRT(E$2)</f>
        <v>1.0541382745764614</v>
      </c>
      <c r="F18" s="12">
        <f ca="1">OFFSET(REA!E$1,$A17-1+$B$1,0)/SQRT(F$2)</f>
        <v>0.47292227155878297</v>
      </c>
      <c r="G18" s="12">
        <f ca="1">OFFSET(REA!F$1,$A17-1+$B$1,0)/SQRT(G$2)</f>
        <v>3.9358582704402889</v>
      </c>
      <c r="H18" s="12">
        <f ca="1">OFFSET(REA!G$1,$A17-1+$B$1,0)/SQRT(H$2)</f>
        <v>0.8327073569625284</v>
      </c>
      <c r="I18" s="12">
        <f ca="1">OFFSET(REA!H$1,$A17-1+$B$1,0)/SQRT(I$2)</f>
        <v>0</v>
      </c>
      <c r="J18" s="12">
        <f ca="1">OFFSET(REA!I$1,$A17-1+$B$1,0)/SQRT(J$2)</f>
        <v>0</v>
      </c>
      <c r="K18" s="12">
        <f ca="1">OFFSET(REA!J$1,$A17-1+$B$1,0)/SQRT(K$2)</f>
        <v>0</v>
      </c>
      <c r="O18" s="186"/>
      <c r="P18" s="1"/>
      <c r="Q18" s="12"/>
      <c r="R18" s="12"/>
      <c r="S18" s="12"/>
      <c r="T18" s="12"/>
      <c r="U18" s="12"/>
      <c r="V18" s="12"/>
      <c r="W18" s="12"/>
    </row>
    <row r="19" spans="1:23" x14ac:dyDescent="0.25">
      <c r="A19">
        <v>11</v>
      </c>
      <c r="B19" s="76" t="str">
        <f ca="1">OFFSET('1050LAPTOP'!$C$1,A19-1,0)</f>
        <v>CUDA opt_one_GPU ant</v>
      </c>
      <c r="C19" s="185" t="s">
        <v>17</v>
      </c>
      <c r="D19" s="1" t="s">
        <v>0</v>
      </c>
      <c r="E19" s="12">
        <f ca="1">OFFSET(REA!D$1,$A19-1+$A$1,0)</f>
        <v>83.655395238095224</v>
      </c>
      <c r="F19" s="12">
        <f ca="1">OFFSET(REA!E$1,$A19-1+$A$1,0)</f>
        <v>86.115240476190493</v>
      </c>
      <c r="G19" s="12">
        <f ca="1">OFFSET(REA!F$1,$A19-1+$A$1,0)</f>
        <v>87.072809523809525</v>
      </c>
      <c r="H19" s="12">
        <f ca="1">OFFSET(REA!G$1,$A19-1+$A$1,0)</f>
        <v>88.016184523809528</v>
      </c>
      <c r="I19" s="12">
        <f ca="1">OFFSET(REA!H$1,$A19-1+$A$1,0)</f>
        <v>89.758202380952426</v>
      </c>
      <c r="J19" s="12">
        <f ca="1">OFFSET(REA!I$1,$A19-1+$A$1,0)</f>
        <v>91.661205357142862</v>
      </c>
      <c r="K19" s="12">
        <f ca="1">OFFSET(REA!J$1,$A19-1+$A$1,0)</f>
        <v>92.953444940476189</v>
      </c>
      <c r="O19" s="185"/>
      <c r="P19" s="1"/>
      <c r="Q19" s="12"/>
      <c r="R19" s="12"/>
      <c r="S19" s="12"/>
      <c r="T19" s="12"/>
      <c r="U19" s="12"/>
      <c r="V19" s="12"/>
      <c r="W19" s="12"/>
    </row>
    <row r="20" spans="1:23" x14ac:dyDescent="0.25">
      <c r="C20" s="186"/>
      <c r="D20" s="1" t="s">
        <v>16</v>
      </c>
      <c r="E20" s="12">
        <f ca="1">OFFSET(REA!D$1,$A19-1+$B$1,0)/SQRT(E$2)</f>
        <v>0.66230726447843535</v>
      </c>
      <c r="F20" s="12">
        <f ca="1">OFFSET(REA!E$1,$A19-1+$B$1,0)/SQRT(F$2)</f>
        <v>1.9933564083767716</v>
      </c>
      <c r="G20" s="12">
        <f ca="1">OFFSET(REA!F$1,$A19-1+$B$1,0)/SQRT(G$2)</f>
        <v>1.9112545887167047</v>
      </c>
      <c r="H20" s="12">
        <f ca="1">OFFSET(REA!G$1,$A19-1+$B$1,0)/SQRT(H$2)</f>
        <v>1.2054612679822323</v>
      </c>
      <c r="I20" s="12">
        <f ca="1">OFFSET(REA!H$1,$A19-1+$B$1,0)/SQRT(I$2)</f>
        <v>0.65293688378178394</v>
      </c>
      <c r="J20" s="12">
        <f ca="1">OFFSET(REA!I$1,$A19-1+$B$1,0)/SQRT(J$2)</f>
        <v>8.5451573522590358</v>
      </c>
      <c r="K20" s="12">
        <f ca="1">OFFSET(REA!J$1,$A19-1+$B$1,0)/SQRT(K$2)</f>
        <v>3.663259046454856</v>
      </c>
      <c r="O20" s="186"/>
      <c r="P20" s="1"/>
      <c r="Q20" s="12"/>
      <c r="R20" s="12"/>
      <c r="S20" s="12"/>
      <c r="T20" s="12"/>
      <c r="U20" s="12"/>
      <c r="V20" s="12"/>
      <c r="W20" s="12"/>
    </row>
    <row r="22" spans="1:23" x14ac:dyDescent="0.25">
      <c r="A22">
        <v>29</v>
      </c>
      <c r="B22">
        <v>120</v>
      </c>
      <c r="E22" s="7">
        <v>2</v>
      </c>
      <c r="F22" s="8">
        <v>4</v>
      </c>
      <c r="G22" s="7">
        <v>8</v>
      </c>
      <c r="H22" s="7">
        <v>16</v>
      </c>
      <c r="I22" s="7">
        <v>32</v>
      </c>
      <c r="J22" s="7">
        <v>64</v>
      </c>
      <c r="K22" s="7">
        <v>128</v>
      </c>
    </row>
    <row r="23" spans="1:23" x14ac:dyDescent="0.25">
      <c r="B23">
        <v>3060</v>
      </c>
      <c r="E23" s="16">
        <v>42</v>
      </c>
      <c r="F23" s="16">
        <v>84</v>
      </c>
      <c r="G23" s="16">
        <v>168</v>
      </c>
      <c r="H23" s="16">
        <v>336</v>
      </c>
      <c r="I23" s="16">
        <v>672</v>
      </c>
      <c r="J23" s="16">
        <v>1344</v>
      </c>
      <c r="K23" s="16">
        <v>2688</v>
      </c>
    </row>
    <row r="24" spans="1:23" x14ac:dyDescent="0.25">
      <c r="A24" s="19">
        <v>10</v>
      </c>
      <c r="B24" s="19" t="str">
        <f ca="1">OFFSET('1050LAPTOP'!$C$1,A24-1,0)</f>
        <v>CUDA opt_one_GPU</v>
      </c>
      <c r="C24" s="185" t="s">
        <v>107</v>
      </c>
      <c r="D24" s="20" t="s">
        <v>0</v>
      </c>
      <c r="E24" s="12">
        <f ca="1">OFFSET(REA!D$1,$A24-1+$A$1,0)</f>
        <v>49.128633333333333</v>
      </c>
      <c r="F24" s="12">
        <f ca="1">OFFSET(REA!E$1,$A24-1+$A$1,0)</f>
        <v>29.456671428571433</v>
      </c>
      <c r="G24" s="12">
        <f ca="1">OFFSET(REA!F$1,$A24-1+$A$1,0)</f>
        <v>12.088770238095233</v>
      </c>
      <c r="H24" s="12">
        <f ca="1">OFFSET(REA!G$1,$A24-1+$A$1,0)</f>
        <v>11.775817857142858</v>
      </c>
      <c r="I24" s="12">
        <f ca="1">OFFSET(REA!H$1,$A24-1+$A$1,0)</f>
        <v>6.5064645833333357</v>
      </c>
      <c r="J24" s="12">
        <f ca="1">OFFSET(REA!I$1,$A24-1+$A$1,0)</f>
        <v>0</v>
      </c>
      <c r="K24" s="12">
        <f ca="1">OFFSET(REA!J$1,$A24-1+$A$1,0)</f>
        <v>0</v>
      </c>
    </row>
    <row r="25" spans="1:23" x14ac:dyDescent="0.25">
      <c r="C25" s="186"/>
      <c r="D25" s="1" t="s">
        <v>16</v>
      </c>
      <c r="E25" s="12">
        <f ca="1">OFFSET(REA!D$1,$A24-1+$B$1,0)</f>
        <v>6.8315968177971129</v>
      </c>
      <c r="F25" s="12">
        <f ca="1">OFFSET(REA!E$1,$A24-1+$B$1,0)</f>
        <v>4.3344042144971686</v>
      </c>
      <c r="G25" s="12">
        <f ca="1">OFFSET(REA!F$1,$A24-1+$B$1,0)</f>
        <v>51.014553752815104</v>
      </c>
      <c r="H25" s="12">
        <f ca="1">OFFSET(REA!G$1,$A24-1+$B$1,0)</f>
        <v>15.263777980109596</v>
      </c>
      <c r="I25" s="12">
        <f ca="1">OFFSET(REA!H$1,$A24-1+$B$1,0)</f>
        <v>0</v>
      </c>
      <c r="J25" s="12">
        <f ca="1">OFFSET(REA!I$1,$A24-1+$B$1,0)</f>
        <v>0</v>
      </c>
      <c r="K25" s="12">
        <f ca="1">OFFSET(REA!J$1,$A24-1+$B$1,0)</f>
        <v>0</v>
      </c>
    </row>
    <row r="26" spans="1:23" ht="15" customHeight="1" x14ac:dyDescent="0.25">
      <c r="A26">
        <v>11</v>
      </c>
      <c r="B26" t="str">
        <f ca="1">OFFSET('1050LAPTOP'!$C$1,A26-1,0)</f>
        <v>CUDA opt_one_GPU ant</v>
      </c>
      <c r="C26" s="185" t="s">
        <v>108</v>
      </c>
      <c r="D26" s="1" t="s">
        <v>0</v>
      </c>
      <c r="E26" s="12">
        <f ca="1">OFFSET(REA!D$1,$A26-1+$A$1,0)</f>
        <v>83.655395238095224</v>
      </c>
      <c r="F26" s="12">
        <f ca="1">OFFSET(REA!E$1,$A26-1+$A$1,0)</f>
        <v>86.115240476190493</v>
      </c>
      <c r="G26" s="12">
        <f ca="1">OFFSET(REA!F$1,$A26-1+$A$1,0)</f>
        <v>87.072809523809525</v>
      </c>
      <c r="H26" s="12">
        <f ca="1">OFFSET(REA!G$1,$A26-1+$A$1,0)</f>
        <v>88.016184523809528</v>
      </c>
      <c r="I26" s="12">
        <f ca="1">OFFSET(REA!H$1,$A26-1+$A$1,0)</f>
        <v>89.758202380952426</v>
      </c>
      <c r="J26" s="12">
        <f ca="1">OFFSET(REA!I$1,$A26-1+$A$1,0)</f>
        <v>91.661205357142862</v>
      </c>
      <c r="K26" s="12">
        <f ca="1">OFFSET(REA!J$1,$A26-1+$A$1,0)</f>
        <v>92.953444940476189</v>
      </c>
    </row>
    <row r="27" spans="1:23" x14ac:dyDescent="0.25">
      <c r="C27" s="186"/>
      <c r="D27" s="1" t="s">
        <v>16</v>
      </c>
      <c r="E27" s="12">
        <f ca="1">OFFSET(REA!D$1,$A26-1+$B$1,0)</f>
        <v>4.2922416437565749</v>
      </c>
      <c r="F27" s="12">
        <f ca="1">OFFSET(REA!E$1,$A26-1+$B$1,0)</f>
        <v>18.269413256823722</v>
      </c>
      <c r="G27" s="12">
        <f ca="1">OFFSET(REA!F$1,$A26-1+$B$1,0)</f>
        <v>24.77269079623025</v>
      </c>
      <c r="H27" s="12">
        <f ca="1">OFFSET(REA!G$1,$A26-1+$B$1,0)</f>
        <v>22.096470031464104</v>
      </c>
      <c r="I27" s="12">
        <f ca="1">OFFSET(REA!H$1,$A26-1+$B$1,0)</f>
        <v>16.926058544864841</v>
      </c>
      <c r="J27" s="12">
        <f ca="1">OFFSET(REA!I$1,$A26-1+$B$1,0)</f>
        <v>313.27064313628364</v>
      </c>
      <c r="K27" s="12">
        <f ca="1">OFFSET(REA!J$1,$A26-1+$B$1,0)</f>
        <v>189.92505592936604</v>
      </c>
    </row>
    <row r="28" spans="1:23" ht="15" customHeight="1" x14ac:dyDescent="0.25">
      <c r="A28">
        <v>12</v>
      </c>
      <c r="B28" t="str">
        <f ca="1">OFFSET('1050LAPTOP'!$C$1,A28-1,0)</f>
        <v>CUDA opt_one_GPU ant local</v>
      </c>
      <c r="C28" s="185" t="s">
        <v>109</v>
      </c>
      <c r="D28" s="1" t="s">
        <v>0</v>
      </c>
      <c r="E28" s="12" t="e">
        <f ca="1">OFFSET(REA!D$1,$A28-1+$A$1,0)</f>
        <v>#DIV/0!</v>
      </c>
      <c r="F28" s="12">
        <f ca="1">OFFSET(REA!E$1,$A28-1+$A$1,0)</f>
        <v>2.1433459523809515</v>
      </c>
      <c r="G28" s="12">
        <f ca="1">OFFSET(REA!F$1,$A28-1+$A$1,0)</f>
        <v>2.162555238095238</v>
      </c>
      <c r="H28" s="12">
        <f ca="1">OFFSET(REA!G$1,$A28-1+$A$1,0)</f>
        <v>2.4949898214285713</v>
      </c>
      <c r="I28" s="12">
        <f ca="1">OFFSET(REA!H$1,$A28-1+$A$1,0)</f>
        <v>2.5703541666666676</v>
      </c>
      <c r="J28" s="12">
        <f ca="1">OFFSET(REA!I$1,$A28-1+$A$1,0)</f>
        <v>2.6002382440476191</v>
      </c>
      <c r="K28" s="12" t="e">
        <f ca="1">OFFSET(REA!J$1,$A28-1+$A$1,0)</f>
        <v>#DIV/0!</v>
      </c>
    </row>
    <row r="29" spans="1:23" x14ac:dyDescent="0.25">
      <c r="C29" s="186"/>
      <c r="D29" s="1" t="s">
        <v>16</v>
      </c>
      <c r="E29" s="12" t="e">
        <f ca="1">OFFSET(REA!D$1,$A28-1+$B$1,0)</f>
        <v>#DIV/0!</v>
      </c>
      <c r="F29" s="12">
        <f ca="1">OFFSET(REA!E$1,$A28-1+$B$1,0)</f>
        <v>7.2954083807589151E-2</v>
      </c>
      <c r="G29" s="12">
        <f ca="1">OFFSET(REA!F$1,$A28-1+$B$1,0)</f>
        <v>0.36862801299267972</v>
      </c>
      <c r="H29" s="12">
        <f ca="1">OFFSET(REA!G$1,$A28-1+$B$1,0)</f>
        <v>0.13438750358137791</v>
      </c>
      <c r="I29" s="12">
        <f ca="1">OFFSET(REA!H$1,$A28-1+$B$1,0)</f>
        <v>6.6007492423207692E-2</v>
      </c>
      <c r="J29" s="12">
        <f ca="1">OFFSET(REA!I$1,$A28-1+$B$1,0)</f>
        <v>0.17900841275961374</v>
      </c>
      <c r="K29" s="12" t="e">
        <f ca="1">OFFSET(REA!J$1,$A28-1+$B$1,0)</f>
        <v>#DIV/0!</v>
      </c>
    </row>
    <row r="30" spans="1:23" ht="15" customHeight="1" x14ac:dyDescent="0.25">
      <c r="A30">
        <v>4</v>
      </c>
      <c r="B30" t="str">
        <f ca="1">OFFSET('1050LAPTOP'!$C$1,A30-1,0)</f>
        <v>CUDA Time</v>
      </c>
      <c r="C30" s="185" t="s">
        <v>111</v>
      </c>
      <c r="D30" s="1" t="s">
        <v>0</v>
      </c>
      <c r="E30" s="12">
        <f ca="1">OFFSET(REA!D$1,$A30-1+$A$1,0)</f>
        <v>3.4666723809523821</v>
      </c>
      <c r="F30" s="12">
        <f ca="1">OFFSET(REA!E$1,$A30-1+$A$1,0)</f>
        <v>2.2190766666666666</v>
      </c>
      <c r="G30" s="12">
        <f ca="1">OFFSET(REA!F$1,$A30-1+$A$1,0)</f>
        <v>1.5829224999999996</v>
      </c>
      <c r="H30" s="12">
        <f ca="1">OFFSET(REA!G$1,$A30-1+$A$1,0)</f>
        <v>1.5274549999999996</v>
      </c>
      <c r="I30" s="12">
        <f ca="1">OFFSET(REA!H$1,$A30-1+$A$1,0)</f>
        <v>0</v>
      </c>
      <c r="J30" s="12">
        <f ca="1">OFFSET(REA!I$1,$A30-1+$A$1,0)</f>
        <v>0</v>
      </c>
      <c r="K30" s="12">
        <f ca="1">OFFSET(REA!J$1,$A30-1+$A$1,0)</f>
        <v>0</v>
      </c>
    </row>
    <row r="31" spans="1:23" x14ac:dyDescent="0.25">
      <c r="C31" s="186"/>
      <c r="D31" s="1" t="s">
        <v>16</v>
      </c>
      <c r="E31" s="12">
        <f ca="1">OFFSET(REA!D$1,$A30-1+$B$1,0)</f>
        <v>1.3661572508078257</v>
      </c>
      <c r="F31" s="12">
        <f ca="1">OFFSET(REA!E$1,$A30-1+$B$1,0)</f>
        <v>1.0546749038564083</v>
      </c>
      <c r="G31" s="12">
        <f ca="1">OFFSET(REA!F$1,$A30-1+$B$1,0)</f>
        <v>1.0844297458356202</v>
      </c>
      <c r="H31" s="12">
        <f ca="1">OFFSET(REA!G$1,$A30-1+$B$1,0)</f>
        <v>0.27016487931783201</v>
      </c>
      <c r="I31" s="12">
        <f ca="1">OFFSET(REA!H$1,$A30-1+$B$1,0)</f>
        <v>0</v>
      </c>
      <c r="J31" s="12">
        <f ca="1">OFFSET(REA!I$1,$A30-1+$B$1,0)</f>
        <v>0</v>
      </c>
      <c r="K31" s="12">
        <f ca="1">OFFSET(REA!J$1,$A30-1+$B$1,0)</f>
        <v>0</v>
      </c>
    </row>
    <row r="32" spans="1:23" ht="15" customHeight="1" x14ac:dyDescent="0.25">
      <c r="A32">
        <v>6</v>
      </c>
      <c r="B32" t="str">
        <f ca="1">OFFSET('1050LAPTOP'!$C$1,A32-1,0)</f>
        <v>CUDA ant par</v>
      </c>
      <c r="C32" s="185" t="s">
        <v>113</v>
      </c>
      <c r="D32" s="1" t="s">
        <v>0</v>
      </c>
      <c r="E32" s="12">
        <f ca="1">OFFSET(REA!D$1,$A32-1+$A$1,0)</f>
        <v>3.6442819047619048</v>
      </c>
      <c r="F32" s="12">
        <f ca="1">OFFSET(REA!E$1,$A32-1+$A$1,0)</f>
        <v>2.3596057142857143</v>
      </c>
      <c r="G32" s="12">
        <f ca="1">OFFSET(REA!F$1,$A32-1+$A$1,0)</f>
        <v>1.6643389285714287</v>
      </c>
      <c r="H32" s="12">
        <f ca="1">OFFSET(REA!G$1,$A32-1+$A$1,0)</f>
        <v>1.4653357738095234</v>
      </c>
      <c r="I32" s="12">
        <f ca="1">OFFSET(REA!H$1,$A32-1+$A$1,0)</f>
        <v>1.440568184523809</v>
      </c>
      <c r="J32" s="12">
        <f ca="1">OFFSET(REA!I$1,$A32-1+$A$1,0)</f>
        <v>1.3444639880952378</v>
      </c>
      <c r="K32" s="12">
        <f ca="1">OFFSET(REA!J$1,$A32-1+$A$1,0)</f>
        <v>1.1408949404761946</v>
      </c>
    </row>
    <row r="33" spans="1:24" x14ac:dyDescent="0.25">
      <c r="C33" s="186"/>
      <c r="D33" s="1" t="s">
        <v>16</v>
      </c>
      <c r="E33" s="12">
        <f ca="1">OFFSET(REA!D$1,$A32-1+$B$1,0)</f>
        <v>1.4025877899256294</v>
      </c>
      <c r="F33" s="12">
        <f ca="1">OFFSET(REA!E$1,$A32-1+$B$1,0)</f>
        <v>2.2501876312286888</v>
      </c>
      <c r="G33" s="12">
        <f ca="1">OFFSET(REA!F$1,$A32-1+$B$1,0)</f>
        <v>2.0810263694768802</v>
      </c>
      <c r="H33" s="12">
        <f ca="1">OFFSET(REA!G$1,$A32-1+$B$1,0)</f>
        <v>0.28730247049227225</v>
      </c>
      <c r="I33" s="12">
        <f ca="1">OFFSET(REA!H$1,$A32-1+$B$1,0)</f>
        <v>4.1291971943270056</v>
      </c>
      <c r="J33" s="12">
        <f ca="1">OFFSET(REA!I$1,$A32-1+$B$1,0)</f>
        <v>0.37475034342730107</v>
      </c>
      <c r="K33" s="12">
        <f ca="1">OFFSET(REA!J$1,$A32-1+$B$1,0)</f>
        <v>5.9443096863703602</v>
      </c>
    </row>
    <row r="34" spans="1:24" ht="15" customHeight="1" x14ac:dyDescent="0.25">
      <c r="A34">
        <v>7</v>
      </c>
      <c r="B34" t="str">
        <f ca="1">OFFSET('1050LAPTOP'!$C$1,A34-1,0)</f>
        <v>CUDA opt</v>
      </c>
      <c r="C34" s="185" t="s">
        <v>110</v>
      </c>
      <c r="D34" s="1" t="s">
        <v>0</v>
      </c>
      <c r="E34" s="12">
        <f ca="1">OFFSET(REA!D$1,$A34-1+$A$1,0)</f>
        <v>3.4288209523809519</v>
      </c>
      <c r="F34" s="12">
        <f ca="1">OFFSET(REA!E$1,$A34-1+$A$1,0)</f>
        <v>2.1811107142857136</v>
      </c>
      <c r="G34" s="12">
        <f ca="1">OFFSET(REA!F$1,$A34-1+$A$1,0)</f>
        <v>1.5834041666666667</v>
      </c>
      <c r="H34" s="12">
        <f ca="1">OFFSET(REA!G$1,$A34-1+$A$1,0)</f>
        <v>1.5214767857142855</v>
      </c>
      <c r="I34" s="12">
        <f ca="1">OFFSET(REA!H$1,$A34-1+$A$1,0)</f>
        <v>0</v>
      </c>
      <c r="J34" s="12">
        <f ca="1">OFFSET(REA!I$1,$A34-1+$A$1,0)</f>
        <v>0</v>
      </c>
      <c r="K34" s="12">
        <f ca="1">OFFSET(REA!J$1,$A34-1+$A$1,0)</f>
        <v>0</v>
      </c>
    </row>
    <row r="35" spans="1:24" x14ac:dyDescent="0.25">
      <c r="C35" s="186"/>
      <c r="D35" s="1" t="s">
        <v>16</v>
      </c>
      <c r="E35" s="12">
        <f ca="1">OFFSET(REA!D$1,$A34-1+$B$1,0)</f>
        <v>1.1784630878244713</v>
      </c>
      <c r="F35" s="12">
        <f ca="1">OFFSET(REA!E$1,$A34-1+$B$1,0)</f>
        <v>1.2597090531349213</v>
      </c>
      <c r="G35" s="12">
        <f ca="1">OFFSET(REA!F$1,$A34-1+$B$1,0)</f>
        <v>1.1115677208844812</v>
      </c>
      <c r="H35" s="12">
        <f ca="1">OFFSET(REA!G$1,$A34-1+$B$1,0)</f>
        <v>0.79798859132335787</v>
      </c>
      <c r="I35" s="12">
        <f ca="1">OFFSET(REA!H$1,$A34-1+$B$1,0)</f>
        <v>0</v>
      </c>
      <c r="J35" s="12">
        <f ca="1">OFFSET(REA!I$1,$A34-1+$B$1,0)</f>
        <v>0</v>
      </c>
      <c r="K35" s="12">
        <f ca="1">OFFSET(REA!J$1,$A34-1+$B$1,0)</f>
        <v>0</v>
      </c>
    </row>
    <row r="36" spans="1:24" ht="15" customHeight="1" x14ac:dyDescent="0.25">
      <c r="A36">
        <v>9</v>
      </c>
      <c r="B36" t="str">
        <f ca="1">OFFSET('1050LAPTOP'!$C$1,A36-1,0)</f>
        <v>CUDA opt ant par</v>
      </c>
      <c r="C36" s="185" t="s">
        <v>112</v>
      </c>
      <c r="D36" s="1" t="s">
        <v>0</v>
      </c>
      <c r="E36" s="12">
        <f ca="1">OFFSET(REA!D$1,$A36-1+$A$1,0)</f>
        <v>3.598992857142858</v>
      </c>
      <c r="F36" s="12">
        <f ca="1">OFFSET(REA!E$1,$A36-1+$A$1,0)</f>
        <v>2.3101809523809518</v>
      </c>
      <c r="G36" s="12">
        <f ca="1">OFFSET(REA!F$1,$A36-1+$A$1,0)</f>
        <v>1.6616407142857144</v>
      </c>
      <c r="H36" s="12">
        <f ca="1">OFFSET(REA!G$1,$A36-1+$A$1,0)</f>
        <v>1.456121666666667</v>
      </c>
      <c r="I36" s="12">
        <f ca="1">OFFSET(REA!H$1,$A36-1+$A$1,0)</f>
        <v>1.4368479166666666</v>
      </c>
      <c r="J36" s="12">
        <f ca="1">OFFSET(REA!I$1,$A36-1+$A$1,0)</f>
        <v>1.356829910714286</v>
      </c>
      <c r="K36" s="12">
        <f ca="1">OFFSET(REA!J$1,$A36-1+$A$1,0)</f>
        <v>1.1398545386904775</v>
      </c>
    </row>
    <row r="37" spans="1:24" x14ac:dyDescent="0.25">
      <c r="C37" s="186"/>
      <c r="D37" s="1" t="s">
        <v>16</v>
      </c>
      <c r="E37" s="12">
        <f ca="1">OFFSET(REA!D$1,$A36-1+$B$1,0)</f>
        <v>1.1144619113525955</v>
      </c>
      <c r="F37" s="12">
        <f ca="1">OFFSET(REA!E$1,$A36-1+$B$1,0)</f>
        <v>1.8256644688960344</v>
      </c>
      <c r="G37" s="12">
        <f ca="1">OFFSET(REA!F$1,$A36-1+$B$1,0)</f>
        <v>2.3110812338239981</v>
      </c>
      <c r="H37" s="12">
        <f ca="1">OFFSET(REA!G$1,$A36-1+$B$1,0)</f>
        <v>0.81311669928542285</v>
      </c>
      <c r="I37" s="12">
        <f ca="1">OFFSET(REA!H$1,$A36-1+$B$1,0)</f>
        <v>4.3886200214759814</v>
      </c>
      <c r="J37" s="12">
        <f ca="1">OFFSET(REA!I$1,$A36-1+$B$1,0)</f>
        <v>3.6894563495350443</v>
      </c>
      <c r="K37" s="12">
        <f ca="1">OFFSET(REA!J$1,$A36-1+$B$1,0)</f>
        <v>7.3047936217670095</v>
      </c>
    </row>
    <row r="38" spans="1:24" x14ac:dyDescent="0.25">
      <c r="A38">
        <v>10</v>
      </c>
      <c r="B38" t="str">
        <f ca="1">OFFSET('1050LAPTOP'!$C$1,A38-1,0)</f>
        <v>CUDA opt_one_GPU</v>
      </c>
      <c r="C38" s="185" t="s">
        <v>17</v>
      </c>
      <c r="D38" s="1" t="s">
        <v>0</v>
      </c>
      <c r="E38" s="12">
        <f ca="1">OFFSET(REA!D$1,$A38-1+$A$1,0)</f>
        <v>49.128633333333333</v>
      </c>
      <c r="F38" s="12">
        <f ca="1">OFFSET(REA!E$1,$A38-1+$A$1,0)</f>
        <v>29.456671428571433</v>
      </c>
      <c r="G38" s="12">
        <f ca="1">OFFSET(REA!F$1,$A38-1+$A$1,0)</f>
        <v>12.088770238095233</v>
      </c>
      <c r="H38" s="12">
        <f ca="1">OFFSET(REA!G$1,$A38-1+$A$1,0)</f>
        <v>11.775817857142858</v>
      </c>
      <c r="I38" s="12">
        <f ca="1">OFFSET(REA!H$1,$A38-1+$A$1,0)</f>
        <v>6.5064645833333357</v>
      </c>
      <c r="J38" s="12">
        <f ca="1">OFFSET(REA!I$1,$A38-1+$A$1,0)</f>
        <v>0</v>
      </c>
      <c r="K38" s="12">
        <f ca="1">OFFSET(REA!J$1,$A38-1+$A$1,0)</f>
        <v>0</v>
      </c>
    </row>
    <row r="39" spans="1:24" x14ac:dyDescent="0.25">
      <c r="C39" s="186"/>
      <c r="D39" s="1" t="s">
        <v>16</v>
      </c>
      <c r="E39" s="12">
        <f ca="1">OFFSET(REA!D$1,$A38-1+$B$1,0)</f>
        <v>6.8315968177971129</v>
      </c>
      <c r="F39" s="12">
        <f ca="1">OFFSET(REA!E$1,$A38-1+$B$1,0)</f>
        <v>4.3344042144971686</v>
      </c>
      <c r="G39" s="12">
        <f ca="1">OFFSET(REA!F$1,$A38-1+$B$1,0)</f>
        <v>51.014553752815104</v>
      </c>
      <c r="H39" s="12">
        <f ca="1">OFFSET(REA!G$1,$A38-1+$B$1,0)</f>
        <v>15.263777980109596</v>
      </c>
      <c r="I39" s="12">
        <f ca="1">OFFSET(REA!H$1,$A38-1+$B$1,0)</f>
        <v>0</v>
      </c>
      <c r="J39" s="12">
        <f ca="1">OFFSET(REA!I$1,$A38-1+$B$1,0)</f>
        <v>0</v>
      </c>
      <c r="K39" s="12">
        <f ca="1">OFFSET(REA!J$1,$A38-1+$B$1,0)</f>
        <v>0</v>
      </c>
    </row>
    <row r="40" spans="1:24" x14ac:dyDescent="0.25">
      <c r="A40">
        <v>11</v>
      </c>
      <c r="B40" t="str">
        <f ca="1">OFFSET('1050LAPTOP'!$C$1,A40-1,0)</f>
        <v>CUDA opt_one_GPU ant</v>
      </c>
      <c r="C40" s="185" t="s">
        <v>17</v>
      </c>
      <c r="D40" s="1" t="s">
        <v>0</v>
      </c>
      <c r="E40" s="12">
        <f ca="1">OFFSET(REA!D$1,$A40-1+$A$1,0)</f>
        <v>83.655395238095224</v>
      </c>
      <c r="F40" s="12">
        <f ca="1">OFFSET(REA!E$1,$A40-1+$A$1,0)</f>
        <v>86.115240476190493</v>
      </c>
      <c r="G40" s="12">
        <f ca="1">OFFSET(REA!F$1,$A40-1+$A$1,0)</f>
        <v>87.072809523809525</v>
      </c>
      <c r="H40" s="12">
        <f ca="1">OFFSET(REA!G$1,$A40-1+$A$1,0)</f>
        <v>88.016184523809528</v>
      </c>
      <c r="I40" s="12">
        <f ca="1">OFFSET(REA!H$1,$A40-1+$A$1,0)</f>
        <v>89.758202380952426</v>
      </c>
      <c r="J40" s="12">
        <f ca="1">OFFSET(REA!I$1,$A40-1+$A$1,0)</f>
        <v>91.661205357142862</v>
      </c>
      <c r="K40" s="12">
        <f ca="1">OFFSET(REA!J$1,$A40-1+$A$1,0)</f>
        <v>92.953444940476189</v>
      </c>
    </row>
    <row r="41" spans="1:24" x14ac:dyDescent="0.25">
      <c r="C41" s="186"/>
      <c r="D41" s="1" t="s">
        <v>16</v>
      </c>
      <c r="E41" s="12">
        <f ca="1">OFFSET(REA!D$1,$A40-1+$B$1,0)</f>
        <v>4.2922416437565749</v>
      </c>
      <c r="F41" s="12">
        <f ca="1">OFFSET(REA!E$1,$A40-1+$B$1,0)</f>
        <v>18.269413256823722</v>
      </c>
      <c r="G41" s="12">
        <f ca="1">OFFSET(REA!F$1,$A40-1+$B$1,0)</f>
        <v>24.77269079623025</v>
      </c>
      <c r="H41" s="12">
        <f ca="1">OFFSET(REA!G$1,$A40-1+$B$1,0)</f>
        <v>22.096470031464104</v>
      </c>
      <c r="I41" s="12">
        <f ca="1">OFFSET(REA!H$1,$A40-1+$B$1,0)</f>
        <v>16.926058544864841</v>
      </c>
      <c r="J41" s="12">
        <f ca="1">OFFSET(REA!I$1,$A40-1+$B$1,0)</f>
        <v>313.27064313628364</v>
      </c>
      <c r="K41" s="12">
        <f ca="1">OFFSET(REA!J$1,$A40-1+$B$1,0)</f>
        <v>189.92505592936604</v>
      </c>
    </row>
    <row r="43" spans="1:24" x14ac:dyDescent="0.25">
      <c r="A43">
        <v>29</v>
      </c>
      <c r="B43">
        <v>120</v>
      </c>
      <c r="E43" s="7">
        <v>2</v>
      </c>
      <c r="F43" s="8">
        <v>4</v>
      </c>
      <c r="G43" s="7">
        <v>8</v>
      </c>
      <c r="H43" s="7">
        <v>16</v>
      </c>
      <c r="I43" s="7">
        <v>32</v>
      </c>
      <c r="J43" s="7">
        <v>64</v>
      </c>
      <c r="K43" s="7">
        <v>128</v>
      </c>
      <c r="Q43" s="24">
        <v>2</v>
      </c>
      <c r="R43" s="107">
        <v>4</v>
      </c>
      <c r="S43" s="24">
        <v>8</v>
      </c>
      <c r="T43" s="24">
        <v>16</v>
      </c>
      <c r="U43" s="24">
        <v>32</v>
      </c>
      <c r="V43" s="24">
        <v>64</v>
      </c>
      <c r="W43" s="24">
        <v>128</v>
      </c>
      <c r="X43" s="24">
        <f>W43*2</f>
        <v>256</v>
      </c>
    </row>
    <row r="44" spans="1:24" x14ac:dyDescent="0.25">
      <c r="B44">
        <v>3060</v>
      </c>
      <c r="E44" s="16">
        <v>42</v>
      </c>
      <c r="F44" s="16">
        <v>84</v>
      </c>
      <c r="G44" s="16">
        <v>168</v>
      </c>
      <c r="H44" s="16">
        <v>336</v>
      </c>
      <c r="I44" s="16">
        <v>672</v>
      </c>
      <c r="J44" s="16">
        <v>1344</v>
      </c>
      <c r="K44" s="16">
        <v>2688</v>
      </c>
      <c r="Q44" s="127">
        <v>42</v>
      </c>
      <c r="R44" s="127">
        <v>84</v>
      </c>
      <c r="S44" s="127">
        <v>168</v>
      </c>
      <c r="T44" s="127">
        <v>336</v>
      </c>
      <c r="U44" s="127">
        <v>672</v>
      </c>
      <c r="V44" s="127">
        <v>1344</v>
      </c>
      <c r="W44" s="127">
        <v>2688</v>
      </c>
      <c r="X44" s="127">
        <f>W44*2</f>
        <v>5376</v>
      </c>
    </row>
    <row r="45" spans="1:24" x14ac:dyDescent="0.25">
      <c r="A45" s="19">
        <v>18</v>
      </c>
      <c r="B45" s="76" t="str">
        <f ca="1">OFFSET('1050LAPTOP'!$C$1,A45-1,0)</f>
        <v>CUDA opt ant par Const</v>
      </c>
      <c r="C45" s="185" t="s">
        <v>107</v>
      </c>
      <c r="D45" s="20" t="s">
        <v>0</v>
      </c>
      <c r="E45" s="12">
        <f ca="1">OFFSET(REA!D$1,$A45-1+$A$1,0)</f>
        <v>3.3409728571428552</v>
      </c>
      <c r="F45" s="12">
        <f ca="1">OFFSET(REA!E$1,$A45-1+$A$1,0)</f>
        <v>2.1189650000000002</v>
      </c>
      <c r="G45" s="12">
        <f ca="1">OFFSET(REA!F$1,$A45-1+$A$1,0)</f>
        <v>1.5079782142857145</v>
      </c>
      <c r="H45" s="12">
        <f ca="1">OFFSET(REA!G$1,$A45-1+$A$1,0)</f>
        <v>1.2961796428571428</v>
      </c>
      <c r="I45" s="12">
        <f ca="1">OFFSET(REA!H$1,$A45-1+$A$1,0)</f>
        <v>1.3406398511904765</v>
      </c>
      <c r="J45" s="12">
        <f ca="1">OFFSET(REA!I$1,$A45-1+$A$1,0)</f>
        <v>1.2379494047619051</v>
      </c>
      <c r="K45" s="12">
        <f ca="1">OFFSET(REA!J$1,$A45-1+$A$1,0)</f>
        <v>0</v>
      </c>
      <c r="O45" s="185" t="s">
        <v>109</v>
      </c>
      <c r="P45" s="4" t="s">
        <v>0</v>
      </c>
      <c r="Q45" s="128">
        <v>3.3409728571428552</v>
      </c>
      <c r="R45" s="128">
        <v>2.1189650000000002</v>
      </c>
      <c r="S45" s="128">
        <v>1.5079782142857145</v>
      </c>
      <c r="T45" s="128">
        <v>1.2961796428571428</v>
      </c>
      <c r="U45" s="128">
        <v>1.3406398511904765</v>
      </c>
      <c r="V45" s="128">
        <v>1.2379494047619051</v>
      </c>
      <c r="W45" s="197" t="s">
        <v>140</v>
      </c>
      <c r="X45" s="198"/>
    </row>
    <row r="46" spans="1:24" x14ac:dyDescent="0.25">
      <c r="B46" s="76"/>
      <c r="C46" s="186"/>
      <c r="D46" s="1" t="s">
        <v>16</v>
      </c>
      <c r="E46" s="12">
        <f ca="1">OFFSET(REA!D$1,$A45-1+$B$1,0)/SQRT(E$2)</f>
        <v>0.10808261485258265</v>
      </c>
      <c r="F46" s="12">
        <f ca="1">OFFSET(REA!E$1,$A45-1+$B$1,0)/SQRT(F$2)</f>
        <v>4.0589771558368397E-2</v>
      </c>
      <c r="G46" s="12">
        <f ca="1">OFFSET(REA!F$1,$A45-1+$B$1,0)/SQRT(G$2)</f>
        <v>4.8725718939785036E-2</v>
      </c>
      <c r="H46" s="12">
        <f ca="1">OFFSET(REA!G$1,$A45-1+$B$1,0)/SQRT(H$2)</f>
        <v>3.9525661122196375E-3</v>
      </c>
      <c r="I46" s="12">
        <f ca="1">OFFSET(REA!H$1,$A45-1+$B$1,0)/SQRT(I$2)</f>
        <v>2.7574947543998408E-2</v>
      </c>
      <c r="J46" s="12">
        <f ca="1">OFFSET(REA!I$1,$A45-1+$B$1,0)/SQRT(J$2)</f>
        <v>0.10710667632785555</v>
      </c>
      <c r="K46" s="12">
        <f ca="1">OFFSET(REA!J$1,$A45-1+$B$1,0)/SQRT(K$2)</f>
        <v>0</v>
      </c>
      <c r="O46" s="186"/>
      <c r="P46" s="1" t="s">
        <v>16</v>
      </c>
      <c r="Q46" s="128">
        <v>0.10808261485258265</v>
      </c>
      <c r="R46" s="128">
        <v>4.0589771558368397E-2</v>
      </c>
      <c r="S46" s="128">
        <v>4.8725718939785036E-2</v>
      </c>
      <c r="T46" s="128">
        <v>3.9525661122196375E-3</v>
      </c>
      <c r="U46" s="128">
        <v>2.7574947543998408E-2</v>
      </c>
      <c r="V46" s="128">
        <v>0.10710667632785555</v>
      </c>
      <c r="W46" s="199"/>
      <c r="X46" s="200"/>
    </row>
    <row r="47" spans="1:24" x14ac:dyDescent="0.25">
      <c r="A47">
        <v>6</v>
      </c>
      <c r="B47" s="76" t="str">
        <f ca="1">OFFSET('1050LAPTOP'!$C$1,A47-1,0)</f>
        <v>CUDA ant par</v>
      </c>
      <c r="C47" s="185" t="s">
        <v>108</v>
      </c>
      <c r="D47" s="1" t="s">
        <v>0</v>
      </c>
      <c r="E47" s="12">
        <f ca="1">OFFSET(REA!D$1,$A47-1+$A$1,0)</f>
        <v>3.6442819047619048</v>
      </c>
      <c r="F47" s="12">
        <f ca="1">OFFSET(REA!E$1,$A47-1+$A$1,0)</f>
        <v>2.3596057142857143</v>
      </c>
      <c r="G47" s="12">
        <f ca="1">OFFSET(REA!F$1,$A47-1+$A$1,0)</f>
        <v>1.6643389285714287</v>
      </c>
      <c r="H47" s="12">
        <f ca="1">OFFSET(REA!G$1,$A47-1+$A$1,0)</f>
        <v>1.4653357738095234</v>
      </c>
      <c r="I47" s="12">
        <f ca="1">OFFSET(REA!H$1,$A47-1+$A$1,0)</f>
        <v>1.440568184523809</v>
      </c>
      <c r="J47" s="12">
        <f ca="1">OFFSET(REA!I$1,$A47-1+$A$1,0)</f>
        <v>1.3444639880952378</v>
      </c>
      <c r="K47" s="12">
        <f ca="1">OFFSET(REA!J$1,$A47-1+$A$1,0)</f>
        <v>1.1408949404761946</v>
      </c>
      <c r="O47" s="185" t="s">
        <v>132</v>
      </c>
      <c r="P47" s="1" t="s">
        <v>0</v>
      </c>
      <c r="Q47" s="128">
        <v>3.598992857142858</v>
      </c>
      <c r="R47" s="128">
        <v>2.3101809523809518</v>
      </c>
      <c r="S47" s="128">
        <v>1.6616407142857144</v>
      </c>
      <c r="T47" s="128">
        <v>1.456121666666667</v>
      </c>
      <c r="U47" s="128">
        <v>1.4368479166666666</v>
      </c>
      <c r="V47" s="128">
        <v>1.356829910714286</v>
      </c>
      <c r="W47" s="128">
        <v>1.1398545386904775</v>
      </c>
      <c r="X47" s="128">
        <v>1.0918664062499996</v>
      </c>
    </row>
    <row r="48" spans="1:24" x14ac:dyDescent="0.25">
      <c r="B48" s="76"/>
      <c r="C48" s="186"/>
      <c r="D48" s="1" t="s">
        <v>16</v>
      </c>
      <c r="E48" s="12">
        <f ca="1">OFFSET(REA!D$1,$A47-1+$B$1,0)/SQRT(E$2)</f>
        <v>0.21642399460145142</v>
      </c>
      <c r="F48" s="12">
        <f ca="1">OFFSET(REA!E$1,$A47-1+$B$1,0)/SQRT(F$2)</f>
        <v>0.24551559876092488</v>
      </c>
      <c r="G48" s="12">
        <f ca="1">OFFSET(REA!F$1,$A47-1+$B$1,0)/SQRT(G$2)</f>
        <v>0.16055467008486632</v>
      </c>
      <c r="H48" s="12">
        <f ca="1">OFFSET(REA!G$1,$A47-1+$B$1,0)/SQRT(H$2)</f>
        <v>1.5673634742603026E-2</v>
      </c>
      <c r="I48" s="12">
        <f ca="1">OFFSET(REA!H$1,$A47-1+$B$1,0)/SQRT(I$2)</f>
        <v>0.159287239934682</v>
      </c>
      <c r="J48" s="12">
        <f ca="1">OFFSET(REA!I$1,$A47-1+$B$1,0)/SQRT(J$2)</f>
        <v>1.0222153663489905E-2</v>
      </c>
      <c r="K48" s="12">
        <f ca="1">OFFSET(REA!J$1,$A47-1+$B$1,0)/SQRT(K$2)</f>
        <v>0.1146533622273823</v>
      </c>
      <c r="O48" s="186"/>
      <c r="P48" s="1" t="s">
        <v>16</v>
      </c>
      <c r="Q48" s="128">
        <v>0.21642399460145142</v>
      </c>
      <c r="R48" s="128">
        <v>0.24551559876092488</v>
      </c>
      <c r="S48" s="128">
        <v>0.16055467008486632</v>
      </c>
      <c r="T48" s="128">
        <v>1.5673634742603026E-2</v>
      </c>
      <c r="U48" s="128">
        <v>0.159287239934682</v>
      </c>
      <c r="V48" s="128">
        <v>1.0222153663489905E-2</v>
      </c>
      <c r="W48" s="128">
        <v>0.1146533622273823</v>
      </c>
      <c r="X48" s="128">
        <f>0.355326232846833/SQRT(X43)</f>
        <v>2.2207889552927063E-2</v>
      </c>
    </row>
    <row r="49" spans="1:24" ht="15" customHeight="1" x14ac:dyDescent="0.25">
      <c r="A49">
        <v>20</v>
      </c>
      <c r="B49" s="76" t="str">
        <f ca="1">OFFSET('1050LAPTOP'!$C$1,A49-1,0)</f>
        <v>CUDA opt ant par global</v>
      </c>
      <c r="C49" s="185" t="s">
        <v>109</v>
      </c>
      <c r="D49" s="1" t="s">
        <v>0</v>
      </c>
      <c r="E49" s="12">
        <f ca="1">OFFSET(REA!D$1,$A49-1+$A$1,0)</f>
        <v>3.7209633333333336</v>
      </c>
      <c r="F49" s="12">
        <f ca="1">OFFSET(REA!E$1,$A49-1+$A$1,0)</f>
        <v>2.5209164285714287</v>
      </c>
      <c r="G49" s="12">
        <f ca="1">OFFSET(REA!F$1,$A49-1+$A$1,0)</f>
        <v>1.9098333333333333</v>
      </c>
      <c r="H49" s="12">
        <f ca="1">OFFSET(REA!G$1,$A49-1+$A$1,0)</f>
        <v>1.748125892857143</v>
      </c>
      <c r="I49" s="12">
        <f ca="1">OFFSET(REA!H$1,$A49-1+$A$1,0)</f>
        <v>1.6857794642857147</v>
      </c>
      <c r="J49" s="12">
        <f ca="1">OFFSET(REA!I$1,$A49-1+$A$1,0)</f>
        <v>1.5525580357142863</v>
      </c>
      <c r="K49" s="12">
        <f ca="1">OFFSET(REA!J$1,$A49-1+$A$1,0)</f>
        <v>1.4708705357142859</v>
      </c>
      <c r="O49" s="185" t="s">
        <v>108</v>
      </c>
      <c r="P49" s="1" t="s">
        <v>0</v>
      </c>
      <c r="Q49" s="128">
        <v>3.7209633333333336</v>
      </c>
      <c r="R49" s="128">
        <v>2.5209164285714287</v>
      </c>
      <c r="S49" s="128">
        <v>1.9098333333333333</v>
      </c>
      <c r="T49" s="128">
        <v>1.748125892857143</v>
      </c>
      <c r="U49" s="128">
        <v>1.6857794642857147</v>
      </c>
      <c r="V49" s="128">
        <v>1.5525580357142863</v>
      </c>
      <c r="W49" s="128">
        <v>1.4708705357142859</v>
      </c>
      <c r="X49" s="128">
        <v>1.4375252232142863</v>
      </c>
    </row>
    <row r="50" spans="1:24" x14ac:dyDescent="0.25">
      <c r="B50" s="76"/>
      <c r="C50" s="186"/>
      <c r="D50" s="1" t="s">
        <v>16</v>
      </c>
      <c r="E50" s="12">
        <f ca="1">OFFSET(REA!D$1,$A49-1+$B$1,0)/SQRT(E$2)</f>
        <v>7.656774231981156E-2</v>
      </c>
      <c r="F50" s="12">
        <f ca="1">OFFSET(REA!E$1,$A49-1+$B$1,0)/SQRT(F$2)</f>
        <v>2.4387126597601966E-2</v>
      </c>
      <c r="G50" s="12">
        <f ca="1">OFFSET(REA!F$1,$A49-1+$B$1,0)/SQRT(G$2)</f>
        <v>7.4664632555626383E-3</v>
      </c>
      <c r="H50" s="12">
        <f ca="1">OFFSET(REA!G$1,$A49-1+$B$1,0)/SQRT(H$2)</f>
        <v>1.8577711091699645E-2</v>
      </c>
      <c r="I50" s="12">
        <f ca="1">OFFSET(REA!H$1,$A49-1+$B$1,0)/SQRT(I$2)</f>
        <v>1.0558537984020285E-2</v>
      </c>
      <c r="J50" s="12">
        <f ca="1">OFFSET(REA!I$1,$A49-1+$B$1,0)/SQRT(J$2)</f>
        <v>1.3401093686710623E-2</v>
      </c>
      <c r="K50" s="12">
        <f ca="1">OFFSET(REA!J$1,$A49-1+$B$1,0)/SQRT(K$2)</f>
        <v>8.0843406296783656E-3</v>
      </c>
      <c r="O50" s="186"/>
      <c r="P50" s="1" t="s">
        <v>16</v>
      </c>
      <c r="Q50" s="128">
        <v>7.656774231981156E-2</v>
      </c>
      <c r="R50" s="128">
        <v>2.4387126597601966E-2</v>
      </c>
      <c r="S50" s="128">
        <v>7.4664632555626383E-3</v>
      </c>
      <c r="T50" s="128">
        <v>1.8577711091699645E-2</v>
      </c>
      <c r="U50" s="128">
        <v>1.0558537984020285E-2</v>
      </c>
      <c r="V50" s="128">
        <v>1.3401093686710623E-2</v>
      </c>
      <c r="W50" s="128">
        <v>8.0843406296783656E-3</v>
      </c>
      <c r="X50" s="128">
        <f>8.08438261035314/SQRT(X44)</f>
        <v>0.11025980731823795</v>
      </c>
    </row>
    <row r="51" spans="1:24" ht="15" customHeight="1" x14ac:dyDescent="0.25">
      <c r="A51">
        <v>4</v>
      </c>
      <c r="B51" s="76" t="str">
        <f ca="1">OFFSET('1050LAPTOP'!$C$1,A51-1,0)</f>
        <v>CUDA Time</v>
      </c>
      <c r="C51" s="185" t="s">
        <v>111</v>
      </c>
      <c r="D51" s="1" t="s">
        <v>0</v>
      </c>
      <c r="E51" s="12">
        <f ca="1">OFFSET(REA!D$1,$A51-1+$A$1,0)</f>
        <v>3.4666723809523821</v>
      </c>
      <c r="F51" s="12">
        <f ca="1">OFFSET(REA!E$1,$A51-1+$A$1,0)</f>
        <v>2.2190766666666666</v>
      </c>
      <c r="G51" s="12">
        <f ca="1">OFFSET(REA!F$1,$A51-1+$A$1,0)</f>
        <v>1.5829224999999996</v>
      </c>
      <c r="H51" s="12">
        <f ca="1">OFFSET(REA!G$1,$A51-1+$A$1,0)</f>
        <v>1.5274549999999996</v>
      </c>
      <c r="I51" s="12">
        <f ca="1">OFFSET(REA!H$1,$A51-1+$A$1,0)</f>
        <v>0</v>
      </c>
      <c r="J51" s="12">
        <f ca="1">OFFSET(REA!I$1,$A51-1+$A$1,0)</f>
        <v>0</v>
      </c>
      <c r="K51" s="12">
        <f ca="1">OFFSET(REA!J$1,$A51-1+$A$1,0)</f>
        <v>0</v>
      </c>
      <c r="Q51" s="142">
        <f>X43*2</f>
        <v>512</v>
      </c>
      <c r="R51" s="142">
        <f>Q51*2</f>
        <v>1024</v>
      </c>
      <c r="S51" s="142">
        <f>R51*2</f>
        <v>2048</v>
      </c>
      <c r="T51" s="142">
        <f t="shared" ref="T51:V51" si="0">S51*2</f>
        <v>4096</v>
      </c>
      <c r="U51" s="142">
        <f t="shared" si="0"/>
        <v>8192</v>
      </c>
      <c r="V51" s="142">
        <f t="shared" si="0"/>
        <v>16384</v>
      </c>
      <c r="W51" s="142">
        <f t="shared" ref="W51:X51" si="1">V51*2</f>
        <v>32768</v>
      </c>
      <c r="X51" s="142">
        <f t="shared" si="1"/>
        <v>65536</v>
      </c>
    </row>
    <row r="52" spans="1:24" x14ac:dyDescent="0.25">
      <c r="B52" s="76"/>
      <c r="C52" s="186"/>
      <c r="D52" s="1" t="s">
        <v>16</v>
      </c>
      <c r="E52" s="12">
        <f ca="1">OFFSET(REA!D$1,$A51-1+$B$1,0)/SQRT(E$2)</f>
        <v>0.2108026403746493</v>
      </c>
      <c r="F52" s="12">
        <f ca="1">OFFSET(REA!E$1,$A51-1+$B$1,0)/SQRT(F$2)</f>
        <v>0.11507446620219676</v>
      </c>
      <c r="G52" s="12">
        <f ca="1">OFFSET(REA!F$1,$A51-1+$B$1,0)/SQRT(G$2)</f>
        <v>8.3665571290488044E-2</v>
      </c>
      <c r="H52" s="12">
        <f ca="1">OFFSET(REA!G$1,$A51-1+$B$1,0)/SQRT(H$2)</f>
        <v>1.4738702495149698E-2</v>
      </c>
      <c r="I52" s="12">
        <f ca="1">OFFSET(REA!H$1,$A51-1+$B$1,0)/SQRT(I$2)</f>
        <v>0</v>
      </c>
      <c r="J52" s="12">
        <f ca="1">OFFSET(REA!I$1,$A51-1+$B$1,0)/SQRT(J$2)</f>
        <v>0</v>
      </c>
      <c r="K52" s="12">
        <f ca="1">OFFSET(REA!J$1,$A51-1+$B$1,0)/SQRT(K$2)</f>
        <v>0</v>
      </c>
      <c r="Q52" s="127">
        <f>X44*2</f>
        <v>10752</v>
      </c>
      <c r="R52" s="127">
        <f>Q52*2</f>
        <v>21504</v>
      </c>
      <c r="S52" s="127">
        <f>R52*2</f>
        <v>43008</v>
      </c>
      <c r="T52" s="127">
        <f t="shared" ref="T52:V52" si="2">S52*2</f>
        <v>86016</v>
      </c>
      <c r="U52" s="127">
        <f t="shared" si="2"/>
        <v>172032</v>
      </c>
      <c r="V52" s="127">
        <f t="shared" si="2"/>
        <v>344064</v>
      </c>
      <c r="W52" s="127">
        <f t="shared" ref="W52:X52" si="3">V52*2</f>
        <v>688128</v>
      </c>
      <c r="X52" s="127">
        <f t="shared" si="3"/>
        <v>1376256</v>
      </c>
    </row>
    <row r="53" spans="1:24" x14ac:dyDescent="0.25">
      <c r="A53">
        <v>6</v>
      </c>
      <c r="B53" s="76" t="str">
        <f ca="1">OFFSET('1050LAPTOP'!$C$1,A53-1,0)</f>
        <v>CUDA ant par</v>
      </c>
      <c r="C53" s="185" t="s">
        <v>113</v>
      </c>
      <c r="D53" s="1" t="s">
        <v>0</v>
      </c>
      <c r="E53" s="12">
        <f ca="1">OFFSET(REA!D$1,$A53-1+$A$1,0)</f>
        <v>3.6442819047619048</v>
      </c>
      <c r="F53" s="12">
        <f ca="1">OFFSET(REA!E$1,$A53-1+$A$1,0)</f>
        <v>2.3596057142857143</v>
      </c>
      <c r="G53" s="12">
        <f ca="1">OFFSET(REA!F$1,$A53-1+$A$1,0)</f>
        <v>1.6643389285714287</v>
      </c>
      <c r="H53" s="12">
        <f ca="1">OFFSET(REA!G$1,$A53-1+$A$1,0)</f>
        <v>1.4653357738095234</v>
      </c>
      <c r="I53" s="12">
        <f ca="1">OFFSET(REA!H$1,$A53-1+$A$1,0)</f>
        <v>1.440568184523809</v>
      </c>
      <c r="J53" s="12">
        <f ca="1">OFFSET(REA!I$1,$A53-1+$A$1,0)</f>
        <v>1.3444639880952378</v>
      </c>
      <c r="K53" s="12">
        <f ca="1">OFFSET(REA!J$1,$A53-1+$A$1,0)</f>
        <v>1.1408949404761946</v>
      </c>
      <c r="O53" s="185" t="s">
        <v>109</v>
      </c>
      <c r="P53" s="4" t="s">
        <v>0</v>
      </c>
      <c r="Q53" s="193" t="s">
        <v>140</v>
      </c>
      <c r="R53" s="194"/>
      <c r="S53" s="194"/>
      <c r="T53" s="194"/>
      <c r="U53" s="194"/>
      <c r="V53" s="194"/>
      <c r="W53" s="194"/>
      <c r="X53" s="194"/>
    </row>
    <row r="54" spans="1:24" x14ac:dyDescent="0.25">
      <c r="B54" s="76"/>
      <c r="C54" s="186"/>
      <c r="D54" s="1" t="s">
        <v>16</v>
      </c>
      <c r="E54" s="12">
        <f ca="1">OFFSET(REA!D$1,$A53-1+$B$1,0)/SQRT(E$2)</f>
        <v>0.21642399460145142</v>
      </c>
      <c r="F54" s="12">
        <f ca="1">OFFSET(REA!E$1,$A53-1+$B$1,0)/SQRT(F$2)</f>
        <v>0.24551559876092488</v>
      </c>
      <c r="G54" s="12">
        <f ca="1">OFFSET(REA!F$1,$A53-1+$B$1,0)/SQRT(G$2)</f>
        <v>0.16055467008486632</v>
      </c>
      <c r="H54" s="12">
        <f ca="1">OFFSET(REA!G$1,$A53-1+$B$1,0)/SQRT(H$2)</f>
        <v>1.5673634742603026E-2</v>
      </c>
      <c r="I54" s="12">
        <f ca="1">OFFSET(REA!H$1,$A53-1+$B$1,0)/SQRT(I$2)</f>
        <v>0.159287239934682</v>
      </c>
      <c r="J54" s="12">
        <f ca="1">OFFSET(REA!I$1,$A53-1+$B$1,0)/SQRT(J$2)</f>
        <v>1.0222153663489905E-2</v>
      </c>
      <c r="K54" s="12">
        <f ca="1">OFFSET(REA!J$1,$A53-1+$B$1,0)/SQRT(K$2)</f>
        <v>0.1146533622273823</v>
      </c>
      <c r="O54" s="186"/>
      <c r="P54" s="1" t="s">
        <v>16</v>
      </c>
      <c r="Q54" s="195"/>
      <c r="R54" s="196"/>
      <c r="S54" s="196"/>
      <c r="T54" s="196"/>
      <c r="U54" s="196"/>
      <c r="V54" s="196"/>
      <c r="W54" s="196"/>
      <c r="X54" s="196"/>
    </row>
    <row r="55" spans="1:24" ht="15" customHeight="1" x14ac:dyDescent="0.25">
      <c r="A55">
        <v>7</v>
      </c>
      <c r="B55" s="76" t="str">
        <f ca="1">OFFSET('1050LAPTOP'!$C$1,A55-1,0)</f>
        <v>CUDA opt</v>
      </c>
      <c r="C55" s="185" t="s">
        <v>110</v>
      </c>
      <c r="D55" s="1" t="s">
        <v>0</v>
      </c>
      <c r="E55" s="12">
        <f ca="1">OFFSET(REA!D$1,$A55-1+$A$1,0)</f>
        <v>3.4288209523809519</v>
      </c>
      <c r="F55" s="12">
        <f ca="1">OFFSET(REA!E$1,$A55-1+$A$1,0)</f>
        <v>2.1811107142857136</v>
      </c>
      <c r="G55" s="12">
        <f ca="1">OFFSET(REA!F$1,$A55-1+$A$1,0)</f>
        <v>1.5834041666666667</v>
      </c>
      <c r="H55" s="12">
        <f ca="1">OFFSET(REA!G$1,$A55-1+$A$1,0)</f>
        <v>1.5214767857142855</v>
      </c>
      <c r="I55" s="12">
        <f ca="1">OFFSET(REA!H$1,$A55-1+$A$1,0)</f>
        <v>0</v>
      </c>
      <c r="J55" s="12">
        <f ca="1">OFFSET(REA!I$1,$A55-1+$A$1,0)</f>
        <v>0</v>
      </c>
      <c r="K55" s="12">
        <f ca="1">OFFSET(REA!J$1,$A55-1+$A$1,0)</f>
        <v>0</v>
      </c>
      <c r="O55" s="185" t="s">
        <v>132</v>
      </c>
      <c r="P55" s="1" t="s">
        <v>0</v>
      </c>
      <c r="Q55" s="146">
        <v>1.0335364583333333</v>
      </c>
      <c r="R55" s="201" t="s">
        <v>140</v>
      </c>
      <c r="S55" s="202"/>
      <c r="T55" s="202"/>
      <c r="U55" s="202"/>
      <c r="V55" s="202"/>
      <c r="W55" s="202"/>
      <c r="X55" s="203"/>
    </row>
    <row r="56" spans="1:24" x14ac:dyDescent="0.25">
      <c r="B56" s="76"/>
      <c r="C56" s="186"/>
      <c r="D56" s="1" t="s">
        <v>16</v>
      </c>
      <c r="E56" s="12">
        <f ca="1">OFFSET(REA!D$1,$A55-1+$B$1,0)/SQRT(E$2)</f>
        <v>0.18184080225798685</v>
      </c>
      <c r="F56" s="12">
        <f ca="1">OFFSET(REA!E$1,$A55-1+$B$1,0)/SQRT(F$2)</f>
        <v>0.13744552594314108</v>
      </c>
      <c r="G56" s="12">
        <f ca="1">OFFSET(REA!F$1,$A55-1+$B$1,0)/SQRT(G$2)</f>
        <v>8.57593115211015E-2</v>
      </c>
      <c r="H56" s="12">
        <f ca="1">OFFSET(REA!G$1,$A55-1+$B$1,0)/SQRT(H$2)</f>
        <v>4.3533846707743677E-2</v>
      </c>
      <c r="I56" s="12">
        <f ca="1">OFFSET(REA!H$1,$A55-1+$B$1,0)/SQRT(I$2)</f>
        <v>0</v>
      </c>
      <c r="J56" s="12">
        <f ca="1">OFFSET(REA!I$1,$A55-1+$B$1,0)/SQRT(J$2)</f>
        <v>0</v>
      </c>
      <c r="K56" s="12">
        <f ca="1">OFFSET(REA!J$1,$A55-1+$B$1,0)/SQRT(K$2)</f>
        <v>0</v>
      </c>
      <c r="O56" s="186"/>
      <c r="P56" s="1" t="s">
        <v>16</v>
      </c>
      <c r="Q56" s="146">
        <f>17.7193499826304/(2*SQRT(Q52))</f>
        <v>8.5442345670956432E-2</v>
      </c>
      <c r="R56" s="204"/>
      <c r="S56" s="205"/>
      <c r="T56" s="205"/>
      <c r="U56" s="205"/>
      <c r="V56" s="205"/>
      <c r="W56" s="205"/>
      <c r="X56" s="206"/>
    </row>
    <row r="57" spans="1:24" x14ac:dyDescent="0.25">
      <c r="A57">
        <v>9</v>
      </c>
      <c r="B57" s="76" t="str">
        <f ca="1">OFFSET('1050LAPTOP'!$C$1,A57-1,0)</f>
        <v>CUDA opt ant par</v>
      </c>
      <c r="C57" s="185" t="s">
        <v>112</v>
      </c>
      <c r="D57" s="1" t="s">
        <v>0</v>
      </c>
      <c r="E57" s="12">
        <f ca="1">OFFSET(REA!D$1,$A57-1+$A$1,0)</f>
        <v>3.598992857142858</v>
      </c>
      <c r="F57" s="12">
        <f ca="1">OFFSET(REA!E$1,$A57-1+$A$1,0)</f>
        <v>2.3101809523809518</v>
      </c>
      <c r="G57" s="12">
        <f ca="1">OFFSET(REA!F$1,$A57-1+$A$1,0)</f>
        <v>1.6616407142857144</v>
      </c>
      <c r="H57" s="12">
        <f ca="1">OFFSET(REA!G$1,$A57-1+$A$1,0)</f>
        <v>1.456121666666667</v>
      </c>
      <c r="I57" s="12">
        <f ca="1">OFFSET(REA!H$1,$A57-1+$A$1,0)</f>
        <v>1.4368479166666666</v>
      </c>
      <c r="J57" s="12">
        <f ca="1">OFFSET(REA!I$1,$A57-1+$A$1,0)</f>
        <v>1.356829910714286</v>
      </c>
      <c r="K57" s="12">
        <f ca="1">OFFSET(REA!J$1,$A57-1+$A$1,0)</f>
        <v>1.1398545386904775</v>
      </c>
      <c r="O57" s="185" t="s">
        <v>108</v>
      </c>
      <c r="P57" s="1" t="s">
        <v>0</v>
      </c>
      <c r="Q57" s="146">
        <v>1.4192427455357144</v>
      </c>
      <c r="R57" s="146">
        <v>1.4219015997023807</v>
      </c>
      <c r="S57" s="146">
        <v>1.4228742094494049</v>
      </c>
      <c r="T57" s="146">
        <v>1.4399527994791665</v>
      </c>
      <c r="U57" s="146">
        <v>1.4340727306547618</v>
      </c>
      <c r="V57" s="146">
        <v>1.5084835379464285</v>
      </c>
      <c r="W57" s="146">
        <v>1.4318908750721271</v>
      </c>
      <c r="X57" s="146">
        <v>1.5889802478608632</v>
      </c>
    </row>
    <row r="58" spans="1:24" x14ac:dyDescent="0.25">
      <c r="B58" s="76"/>
      <c r="C58" s="186"/>
      <c r="D58" s="1" t="s">
        <v>16</v>
      </c>
      <c r="E58" s="12">
        <f ca="1">OFFSET(REA!D$1,$A57-1+$B$1,0)/SQRT(E$2)</f>
        <v>0.17196520632686141</v>
      </c>
      <c r="F58" s="12">
        <f ca="1">OFFSET(REA!E$1,$A57-1+$B$1,0)/SQRT(F$2)</f>
        <v>0.1991963243406531</v>
      </c>
      <c r="G58" s="12">
        <f ca="1">OFFSET(REA!F$1,$A57-1+$B$1,0)/SQRT(G$2)</f>
        <v>0.17830378820678378</v>
      </c>
      <c r="H58" s="12">
        <f ca="1">OFFSET(REA!G$1,$A57-1+$B$1,0)/SQRT(H$2)</f>
        <v>4.4359152658429706E-2</v>
      </c>
      <c r="I58" s="12">
        <f ca="1">OFFSET(REA!H$1,$A57-1+$B$1,0)/SQRT(I$2)</f>
        <v>0.16929469275611292</v>
      </c>
      <c r="J58" s="12">
        <f ca="1">OFFSET(REA!I$1,$A57-1+$B$1,0)/SQRT(J$2)</f>
        <v>0.10063817258916544</v>
      </c>
      <c r="K58" s="12">
        <f ca="1">OFFSET(REA!J$1,$A57-1+$B$1,0)/SQRT(K$2)</f>
        <v>0.14089426582754647</v>
      </c>
      <c r="O58" s="186"/>
      <c r="P58" s="1" t="s">
        <v>16</v>
      </c>
      <c r="Q58" s="146">
        <f>0.598707465983164/SQRT(Q51)</f>
        <v>2.6459381821481845E-2</v>
      </c>
      <c r="R58" s="146">
        <f>23.8642325288598/SQRT(R52)</f>
        <v>0.16273757732965397</v>
      </c>
      <c r="S58" s="146">
        <f>32.5990834299607/SQRT(S52)</f>
        <v>0.15719211809177053</v>
      </c>
      <c r="T58" s="146">
        <f>30.3721597331182/SQRT(T52)</f>
        <v>0.10355857216986898</v>
      </c>
      <c r="U58" s="146">
        <f>13.5435000453041/SQRT(U52)</f>
        <v>3.2653241050033845E-2</v>
      </c>
      <c r="V58" s="146">
        <f>112.416105043659/SQRT(V52)</f>
        <v>0.19165004118105447</v>
      </c>
      <c r="W58" s="146">
        <f>60.6985591297881/SQRT(W52)</f>
        <v>7.3171804778112678E-2</v>
      </c>
      <c r="X58" s="146">
        <f>251.50312886549/SQRT(X52)</f>
        <v>0.21438469597178963</v>
      </c>
    </row>
    <row r="59" spans="1:24" x14ac:dyDescent="0.25">
      <c r="A59">
        <v>10</v>
      </c>
      <c r="B59" s="76" t="str">
        <f ca="1">OFFSET('1050LAPTOP'!$C$1,A59-1,0)</f>
        <v>CUDA opt_one_GPU</v>
      </c>
      <c r="C59" s="185" t="s">
        <v>17</v>
      </c>
      <c r="D59" s="1" t="s">
        <v>0</v>
      </c>
      <c r="E59" s="12">
        <f ca="1">OFFSET(REA!D$1,$A59-1+$A$1,0)</f>
        <v>49.128633333333333</v>
      </c>
      <c r="F59" s="12">
        <f ca="1">OFFSET(REA!E$1,$A59-1+$A$1,0)</f>
        <v>29.456671428571433</v>
      </c>
      <c r="G59" s="12">
        <f ca="1">OFFSET(REA!F$1,$A59-1+$A$1,0)</f>
        <v>12.088770238095233</v>
      </c>
      <c r="H59" s="12">
        <f ca="1">OFFSET(REA!G$1,$A59-1+$A$1,0)</f>
        <v>11.775817857142858</v>
      </c>
      <c r="I59" s="12">
        <f ca="1">OFFSET(REA!H$1,$A59-1+$A$1,0)</f>
        <v>6.5064645833333357</v>
      </c>
      <c r="J59" s="12">
        <f ca="1">OFFSET(REA!I$1,$A59-1+$A$1,0)</f>
        <v>0</v>
      </c>
      <c r="K59" s="12">
        <f ca="1">OFFSET(REA!J$1,$A59-1+$A$1,0)</f>
        <v>0</v>
      </c>
    </row>
    <row r="60" spans="1:24" x14ac:dyDescent="0.25">
      <c r="B60" s="76"/>
      <c r="C60" s="186"/>
      <c r="D60" s="1" t="s">
        <v>16</v>
      </c>
      <c r="E60" s="12">
        <f ca="1">OFFSET(REA!D$1,$A59-1+$B$1,0)/SQRT(E$2)</f>
        <v>1.0541382745764614</v>
      </c>
      <c r="F60" s="12">
        <f ca="1">OFFSET(REA!E$1,$A59-1+$B$1,0)/SQRT(F$2)</f>
        <v>0.47292227155878297</v>
      </c>
      <c r="G60" s="12">
        <f ca="1">OFFSET(REA!F$1,$A59-1+$B$1,0)/SQRT(G$2)</f>
        <v>3.9358582704402889</v>
      </c>
      <c r="H60" s="12">
        <f ca="1">OFFSET(REA!G$1,$A59-1+$B$1,0)/SQRT(H$2)</f>
        <v>0.8327073569625284</v>
      </c>
      <c r="I60" s="12">
        <f ca="1">OFFSET(REA!H$1,$A59-1+$B$1,0)/SQRT(I$2)</f>
        <v>0</v>
      </c>
      <c r="J60" s="12">
        <f ca="1">OFFSET(REA!I$1,$A59-1+$B$1,0)/SQRT(J$2)</f>
        <v>0</v>
      </c>
      <c r="K60" s="12">
        <f ca="1">OFFSET(REA!J$1,$A59-1+$B$1,0)/SQRT(K$2)</f>
        <v>0</v>
      </c>
      <c r="Q60" s="99">
        <f>Q47/Q45</f>
        <v>1.0772290021597652</v>
      </c>
      <c r="R60" s="99">
        <f t="shared" ref="R60:V60" si="4">R47/R45</f>
        <v>1.0902402599292351</v>
      </c>
      <c r="S60" s="99">
        <f t="shared" si="4"/>
        <v>1.1018996816693305</v>
      </c>
      <c r="T60" s="99">
        <f t="shared" si="4"/>
        <v>1.1233949512252539</v>
      </c>
      <c r="U60" s="99">
        <f t="shared" si="4"/>
        <v>1.0717627969888841</v>
      </c>
      <c r="V60" s="99">
        <f t="shared" si="4"/>
        <v>1.0960301814396407</v>
      </c>
    </row>
    <row r="61" spans="1:24" x14ac:dyDescent="0.25">
      <c r="A61">
        <v>11</v>
      </c>
      <c r="B61" s="76" t="str">
        <f ca="1">OFFSET('1050LAPTOP'!$C$1,A61-1,0)</f>
        <v>CUDA opt_one_GPU ant</v>
      </c>
      <c r="C61" s="185" t="s">
        <v>17</v>
      </c>
      <c r="D61" s="1" t="s">
        <v>0</v>
      </c>
      <c r="E61" s="12">
        <f ca="1">OFFSET(REA!D$1,$A61-1+$A$1,0)</f>
        <v>83.655395238095224</v>
      </c>
      <c r="F61" s="12">
        <f ca="1">OFFSET(REA!E$1,$A61-1+$A$1,0)</f>
        <v>86.115240476190493</v>
      </c>
      <c r="G61" s="12">
        <f ca="1">OFFSET(REA!F$1,$A61-1+$A$1,0)</f>
        <v>87.072809523809525</v>
      </c>
      <c r="H61" s="12">
        <f ca="1">OFFSET(REA!G$1,$A61-1+$A$1,0)</f>
        <v>88.016184523809528</v>
      </c>
      <c r="I61" s="12">
        <f ca="1">OFFSET(REA!H$1,$A61-1+$A$1,0)</f>
        <v>89.758202380952426</v>
      </c>
      <c r="J61" s="12">
        <f ca="1">OFFSET(REA!I$1,$A61-1+$A$1,0)</f>
        <v>91.661205357142862</v>
      </c>
      <c r="K61" s="12">
        <f ca="1">OFFSET(REA!J$1,$A61-1+$A$1,0)</f>
        <v>92.953444940476189</v>
      </c>
      <c r="Q61" s="99">
        <f>Q49/Q45</f>
        <v>1.1137364751042724</v>
      </c>
      <c r="R61" s="99">
        <f t="shared" ref="R61:V61" si="5">R49/R45</f>
        <v>1.189692339690098</v>
      </c>
      <c r="S61" s="99">
        <f t="shared" si="5"/>
        <v>1.2664860242944331</v>
      </c>
      <c r="T61" s="99">
        <f t="shared" si="5"/>
        <v>1.3486756272485381</v>
      </c>
      <c r="U61" s="99">
        <f t="shared" si="5"/>
        <v>1.2574439457314037</v>
      </c>
      <c r="V61" s="99">
        <f t="shared" si="5"/>
        <v>1.2541369055489711</v>
      </c>
    </row>
    <row r="62" spans="1:24" x14ac:dyDescent="0.25">
      <c r="C62" s="186"/>
      <c r="D62" s="1" t="s">
        <v>16</v>
      </c>
      <c r="E62" s="12">
        <f ca="1">OFFSET(REA!D$1,$A61-1+$B$1,0)/SQRT(E$2)</f>
        <v>0.66230726447843535</v>
      </c>
      <c r="F62" s="12">
        <f ca="1">OFFSET(REA!E$1,$A61-1+$B$1,0)/SQRT(F$2)</f>
        <v>1.9933564083767716</v>
      </c>
      <c r="G62" s="12">
        <f ca="1">OFFSET(REA!F$1,$A61-1+$B$1,0)/SQRT(G$2)</f>
        <v>1.9112545887167047</v>
      </c>
      <c r="H62" s="12">
        <f ca="1">OFFSET(REA!G$1,$A61-1+$B$1,0)/SQRT(H$2)</f>
        <v>1.2054612679822323</v>
      </c>
      <c r="I62" s="12">
        <f ca="1">OFFSET(REA!H$1,$A61-1+$B$1,0)/SQRT(I$2)</f>
        <v>0.65293688378178394</v>
      </c>
      <c r="J62" s="12">
        <f ca="1">OFFSET(REA!I$1,$A61-1+$B$1,0)/SQRT(J$2)</f>
        <v>8.5451573522590358</v>
      </c>
      <c r="K62" s="12">
        <f ca="1">OFFSET(REA!J$1,$A61-1+$B$1,0)/SQRT(K$2)</f>
        <v>3.663259046454856</v>
      </c>
    </row>
    <row r="63" spans="1:24" x14ac:dyDescent="0.25">
      <c r="Q63" s="99">
        <f>Q49/Q47</f>
        <v>1.0338901690089224</v>
      </c>
      <c r="R63" s="99">
        <f t="shared" ref="R63:X63" si="6">R49/R47</f>
        <v>1.0912203331835482</v>
      </c>
      <c r="S63" s="99">
        <f t="shared" si="6"/>
        <v>1.1493659952562663</v>
      </c>
      <c r="T63" s="99">
        <f t="shared" si="6"/>
        <v>1.2005355959429735</v>
      </c>
      <c r="U63" s="99">
        <f t="shared" si="6"/>
        <v>1.1732483617309637</v>
      </c>
      <c r="V63" s="99">
        <f t="shared" si="6"/>
        <v>1.1442539875148843</v>
      </c>
      <c r="W63" s="99">
        <f>W49/W47</f>
        <v>1.2904019642752806</v>
      </c>
      <c r="X63" s="99">
        <f t="shared" si="6"/>
        <v>1.3165761076498792</v>
      </c>
    </row>
    <row r="64" spans="1:24" x14ac:dyDescent="0.25">
      <c r="Q64" s="99">
        <f>Q57/Q55</f>
        <v>1.3731907898289004</v>
      </c>
    </row>
    <row r="65" spans="16:26" ht="15.75" thickBot="1" x14ac:dyDescent="0.3"/>
    <row r="66" spans="16:26" x14ac:dyDescent="0.25">
      <c r="P66" s="212" t="s">
        <v>142</v>
      </c>
      <c r="Q66" s="213"/>
      <c r="R66" s="216" t="s">
        <v>25</v>
      </c>
      <c r="S66" s="211"/>
      <c r="T66" s="211"/>
      <c r="U66" s="217"/>
      <c r="V66" s="218"/>
      <c r="W66" s="216" t="s">
        <v>28</v>
      </c>
      <c r="X66" s="211"/>
      <c r="Y66" s="217"/>
      <c r="Z66" s="218"/>
    </row>
    <row r="67" spans="16:26" ht="15.75" thickBot="1" x14ac:dyDescent="0.3">
      <c r="P67" s="214"/>
      <c r="Q67" s="215"/>
      <c r="R67" s="157" t="s">
        <v>98</v>
      </c>
      <c r="S67" s="158" t="s">
        <v>99</v>
      </c>
      <c r="T67" s="158" t="s">
        <v>100</v>
      </c>
      <c r="U67" s="158" t="s">
        <v>101</v>
      </c>
      <c r="V67" s="159" t="s">
        <v>143</v>
      </c>
      <c r="W67" s="157" t="s">
        <v>141</v>
      </c>
      <c r="X67" s="158" t="s">
        <v>99</v>
      </c>
      <c r="Y67" s="158" t="s">
        <v>101</v>
      </c>
      <c r="Z67" s="159" t="s">
        <v>143</v>
      </c>
    </row>
    <row r="68" spans="16:26" x14ac:dyDescent="0.25">
      <c r="P68" s="219">
        <v>42</v>
      </c>
      <c r="Q68" s="160" t="s">
        <v>0</v>
      </c>
      <c r="R68" s="161">
        <v>3.7949399999999969</v>
      </c>
      <c r="S68" s="154">
        <v>12.452685000000002</v>
      </c>
      <c r="T68" s="154">
        <v>108.463976</v>
      </c>
      <c r="U68" s="211">
        <f>SUM(R68:T68)</f>
        <v>124.711601</v>
      </c>
      <c r="V68" s="220">
        <f>U68/P68</f>
        <v>2.9693238333333332</v>
      </c>
      <c r="W68" s="161">
        <v>110.185801</v>
      </c>
      <c r="X68" s="154">
        <v>12.462383000000001</v>
      </c>
      <c r="Y68" s="211">
        <f>W68+X68</f>
        <v>122.648184</v>
      </c>
      <c r="Z68" s="220">
        <f>Y68/P68</f>
        <v>2.9201948571428571</v>
      </c>
    </row>
    <row r="69" spans="16:26" x14ac:dyDescent="0.25">
      <c r="P69" s="207"/>
      <c r="Q69" s="153" t="s">
        <v>16</v>
      </c>
      <c r="R69" s="166">
        <v>3.1497999999999998E-2</v>
      </c>
      <c r="S69" s="130">
        <v>3.0679000000000001E-2</v>
      </c>
      <c r="T69" s="130">
        <v>9.2169999999999995E-3</v>
      </c>
      <c r="U69" s="187"/>
      <c r="V69" s="210"/>
      <c r="W69" s="166">
        <v>6.3611000000000001E-2</v>
      </c>
      <c r="X69" s="130">
        <v>2.2013999999999999E-2</v>
      </c>
      <c r="Y69" s="187"/>
      <c r="Z69" s="210"/>
    </row>
    <row r="70" spans="16:26" x14ac:dyDescent="0.25">
      <c r="P70" s="207">
        <v>1000</v>
      </c>
      <c r="Q70" s="153" t="s">
        <v>0</v>
      </c>
      <c r="R70" s="155">
        <v>4.3214289999999664</v>
      </c>
      <c r="S70" s="152">
        <v>633.51590499999998</v>
      </c>
      <c r="T70" s="152">
        <v>302.04636199999999</v>
      </c>
      <c r="U70" s="208">
        <f t="shared" ref="U70:U80" si="7">SUM(R70:T70)</f>
        <v>939.88369599999987</v>
      </c>
      <c r="V70" s="209">
        <f>U70/P70</f>
        <v>0.93988369599999988</v>
      </c>
      <c r="W70" s="155">
        <v>304.07807500000001</v>
      </c>
      <c r="X70" s="152">
        <v>633.67819599999996</v>
      </c>
      <c r="Y70" s="208">
        <f>W70+X70</f>
        <v>937.75627099999997</v>
      </c>
      <c r="Z70" s="209">
        <f>Y70/P70</f>
        <v>0.93775627099999992</v>
      </c>
    </row>
    <row r="71" spans="16:26" x14ac:dyDescent="0.25">
      <c r="P71" s="207"/>
      <c r="Q71" s="153" t="s">
        <v>16</v>
      </c>
      <c r="R71" s="166">
        <v>2.5194999999999999E-2</v>
      </c>
      <c r="S71" s="130">
        <v>2.6970999999999998E-2</v>
      </c>
      <c r="T71" s="130">
        <v>1.1063E-2</v>
      </c>
      <c r="U71" s="187"/>
      <c r="V71" s="210"/>
      <c r="W71" s="166">
        <v>0.12034</v>
      </c>
      <c r="X71" s="130">
        <v>1.4385E-2</v>
      </c>
      <c r="Y71" s="187"/>
      <c r="Z71" s="210"/>
    </row>
    <row r="72" spans="16:26" x14ac:dyDescent="0.25">
      <c r="P72" s="207">
        <v>1500</v>
      </c>
      <c r="Q72" s="153" t="s">
        <v>0</v>
      </c>
      <c r="R72" s="155">
        <v>4.3281670000001213</v>
      </c>
      <c r="S72" s="152">
        <v>935.2325239999999</v>
      </c>
      <c r="T72" s="152">
        <v>451.69636000000003</v>
      </c>
      <c r="U72" s="208">
        <f t="shared" si="7"/>
        <v>1391.257051</v>
      </c>
      <c r="V72" s="209">
        <f>U72/P72</f>
        <v>0.92750470066666668</v>
      </c>
      <c r="W72" s="155">
        <v>453.71775600000001</v>
      </c>
      <c r="X72" s="152">
        <v>935.33049400000004</v>
      </c>
      <c r="Y72" s="208">
        <f t="shared" ref="Y72:Y80" si="8">W72+X72</f>
        <v>1389.0482500000001</v>
      </c>
      <c r="Z72" s="209">
        <f>Y72/P72</f>
        <v>0.92603216666666666</v>
      </c>
    </row>
    <row r="73" spans="16:26" x14ac:dyDescent="0.25">
      <c r="P73" s="207"/>
      <c r="Q73" s="153" t="s">
        <v>16</v>
      </c>
      <c r="R73" s="166">
        <v>4.2027000000000002E-2</v>
      </c>
      <c r="S73" s="130">
        <v>4.4118999999999998E-2</v>
      </c>
      <c r="T73" s="130">
        <v>2.6335999999999998E-2</v>
      </c>
      <c r="U73" s="187"/>
      <c r="V73" s="210"/>
      <c r="W73" s="166">
        <v>0.22099199999999999</v>
      </c>
      <c r="X73" s="130">
        <v>9.4565999999999997E-2</v>
      </c>
      <c r="Y73" s="187"/>
      <c r="Z73" s="210"/>
    </row>
    <row r="74" spans="16:26" x14ac:dyDescent="0.25">
      <c r="P74" s="207">
        <v>2000</v>
      </c>
      <c r="Q74" s="153" t="s">
        <v>0</v>
      </c>
      <c r="R74" s="155">
        <v>4.0978590000001986</v>
      </c>
      <c r="S74" s="152">
        <v>1237.6741299999999</v>
      </c>
      <c r="T74" s="152">
        <v>602.11373400000002</v>
      </c>
      <c r="U74" s="208">
        <f t="shared" si="7"/>
        <v>1843.8857230000001</v>
      </c>
      <c r="V74" s="209">
        <f>U74/P74</f>
        <v>0.92194286150000004</v>
      </c>
      <c r="W74" s="155">
        <v>603.93329300000005</v>
      </c>
      <c r="X74" s="152">
        <v>1237.5205619999999</v>
      </c>
      <c r="Y74" s="208">
        <f t="shared" si="8"/>
        <v>1841.453855</v>
      </c>
      <c r="Z74" s="209">
        <f>Y74/P74</f>
        <v>0.92072692749999996</v>
      </c>
    </row>
    <row r="75" spans="16:26" x14ac:dyDescent="0.25">
      <c r="P75" s="207"/>
      <c r="Q75" s="153" t="s">
        <v>16</v>
      </c>
      <c r="R75" s="166">
        <v>8.4698999999999997E-2</v>
      </c>
      <c r="S75" s="130">
        <v>9.4238000000000002E-2</v>
      </c>
      <c r="T75" s="130">
        <v>9.6852999999999995E-2</v>
      </c>
      <c r="U75" s="187"/>
      <c r="V75" s="210"/>
      <c r="W75" s="166">
        <v>0.247642</v>
      </c>
      <c r="X75" s="130">
        <v>2.4025000000000001E-2</v>
      </c>
      <c r="Y75" s="187"/>
      <c r="Z75" s="210"/>
    </row>
    <row r="76" spans="16:26" x14ac:dyDescent="0.25">
      <c r="P76" s="207">
        <v>2500</v>
      </c>
      <c r="Q76" s="153" t="s">
        <v>0</v>
      </c>
      <c r="R76" s="155">
        <v>4.1816549999998642</v>
      </c>
      <c r="S76" s="152">
        <v>1539.9342810000001</v>
      </c>
      <c r="T76" s="152">
        <v>751.12904400000002</v>
      </c>
      <c r="U76" s="208">
        <f t="shared" si="7"/>
        <v>2295.2449799999999</v>
      </c>
      <c r="V76" s="209">
        <f>U76/P76</f>
        <v>0.91809799199999997</v>
      </c>
      <c r="W76" s="155">
        <v>754.00015799999983</v>
      </c>
      <c r="X76" s="152">
        <v>1539.732078</v>
      </c>
      <c r="Y76" s="208">
        <f t="shared" si="8"/>
        <v>2293.7322359999998</v>
      </c>
      <c r="Z76" s="209">
        <f>Y76/P76</f>
        <v>0.91749289439999993</v>
      </c>
    </row>
    <row r="77" spans="16:26" x14ac:dyDescent="0.25">
      <c r="P77" s="207"/>
      <c r="Q77" s="153" t="s">
        <v>16</v>
      </c>
      <c r="R77" s="166">
        <v>0.14214199999999999</v>
      </c>
      <c r="S77" s="130">
        <v>0.135353</v>
      </c>
      <c r="T77" s="130">
        <v>0.110169</v>
      </c>
      <c r="U77" s="187"/>
      <c r="V77" s="210"/>
      <c r="W77" s="166">
        <v>0.21343799999999999</v>
      </c>
      <c r="X77" s="130">
        <v>2.7470999999999999E-2</v>
      </c>
      <c r="Y77" s="187"/>
      <c r="Z77" s="210"/>
    </row>
    <row r="78" spans="16:26" x14ac:dyDescent="0.25">
      <c r="P78" s="207">
        <v>3000</v>
      </c>
      <c r="Q78" s="153" t="s">
        <v>0</v>
      </c>
      <c r="R78" s="155">
        <v>4.2791790000001129</v>
      </c>
      <c r="S78" s="152">
        <v>1842.1504109999998</v>
      </c>
      <c r="T78" s="152">
        <v>902.63273400000003</v>
      </c>
      <c r="U78" s="208">
        <f t="shared" si="7"/>
        <v>2749.062324</v>
      </c>
      <c r="V78" s="209">
        <f>U78/P78</f>
        <v>0.91635410799999995</v>
      </c>
      <c r="W78" s="155">
        <v>904.94962900000019</v>
      </c>
      <c r="X78" s="152">
        <v>1841.907588</v>
      </c>
      <c r="Y78" s="208">
        <f t="shared" si="8"/>
        <v>2746.8572170000002</v>
      </c>
      <c r="Z78" s="209">
        <f>Y78/P78</f>
        <v>0.91561907233333339</v>
      </c>
    </row>
    <row r="79" spans="16:26" x14ac:dyDescent="0.25">
      <c r="P79" s="207"/>
      <c r="Q79" s="153" t="s">
        <v>16</v>
      </c>
      <c r="R79" s="166">
        <v>0.331623</v>
      </c>
      <c r="S79" s="130">
        <v>0.32773000000000002</v>
      </c>
      <c r="T79" s="130">
        <v>8.2810999999999996E-2</v>
      </c>
      <c r="U79" s="187"/>
      <c r="V79" s="210"/>
      <c r="W79" s="166">
        <v>0.439253</v>
      </c>
      <c r="X79" s="130">
        <v>9.0760999999999994E-2</v>
      </c>
      <c r="Y79" s="187"/>
      <c r="Z79" s="210"/>
    </row>
    <row r="80" spans="16:26" x14ac:dyDescent="0.25">
      <c r="P80" s="207">
        <v>3500</v>
      </c>
      <c r="Q80" s="153" t="s">
        <v>0</v>
      </c>
      <c r="R80" s="155">
        <v>4.4479929999997694</v>
      </c>
      <c r="S80" s="152">
        <v>2145.6467890000004</v>
      </c>
      <c r="T80" s="152">
        <v>1052.374783</v>
      </c>
      <c r="U80" s="208">
        <f t="shared" si="7"/>
        <v>3202.4695650000003</v>
      </c>
      <c r="V80" s="209">
        <f>U80/P80</f>
        <v>0.9149913042857144</v>
      </c>
      <c r="W80" s="155">
        <v>1054.7736129999998</v>
      </c>
      <c r="X80" s="152">
        <v>2145.446758</v>
      </c>
      <c r="Y80" s="208">
        <f t="shared" si="8"/>
        <v>3200.2203709999999</v>
      </c>
      <c r="Z80" s="209">
        <f>Y80/P80</f>
        <v>0.9143486774285714</v>
      </c>
    </row>
    <row r="81" spans="16:26" ht="15.75" thickBot="1" x14ac:dyDescent="0.3">
      <c r="P81" s="221"/>
      <c r="Q81" s="163" t="s">
        <v>16</v>
      </c>
      <c r="R81" s="167">
        <v>0.37524200000000002</v>
      </c>
      <c r="S81" s="168">
        <v>0.372197</v>
      </c>
      <c r="T81" s="168">
        <v>0.14357700000000001</v>
      </c>
      <c r="U81" s="222"/>
      <c r="V81" s="223"/>
      <c r="W81" s="167">
        <v>0.250222</v>
      </c>
      <c r="X81" s="168">
        <v>3.8566000000000003E-2</v>
      </c>
      <c r="Y81" s="222"/>
      <c r="Z81" s="223"/>
    </row>
    <row r="82" spans="16:26" ht="15.75" thickBot="1" x14ac:dyDescent="0.3">
      <c r="P82" s="129"/>
      <c r="Q82" s="129"/>
      <c r="R82" s="150"/>
      <c r="S82" s="150"/>
      <c r="T82" s="150"/>
      <c r="U82" s="150"/>
      <c r="V82" s="151"/>
      <c r="W82" s="150"/>
      <c r="X82" s="150"/>
      <c r="Y82" s="150"/>
      <c r="Z82" s="151"/>
    </row>
    <row r="83" spans="16:26" x14ac:dyDescent="0.25">
      <c r="P83" s="212" t="s">
        <v>142</v>
      </c>
      <c r="Q83" s="213"/>
      <c r="R83" s="216" t="s">
        <v>25</v>
      </c>
      <c r="S83" s="211"/>
      <c r="T83" s="211"/>
      <c r="U83" s="217"/>
      <c r="V83" s="218"/>
      <c r="W83" s="216" t="s">
        <v>28</v>
      </c>
      <c r="X83" s="211"/>
      <c r="Y83" s="217"/>
      <c r="Z83" s="218"/>
    </row>
    <row r="84" spans="16:26" ht="15.75" thickBot="1" x14ac:dyDescent="0.3">
      <c r="P84" s="214"/>
      <c r="Q84" s="215"/>
      <c r="R84" s="157" t="s">
        <v>98</v>
      </c>
      <c r="S84" s="158" t="s">
        <v>99</v>
      </c>
      <c r="T84" s="158" t="s">
        <v>100</v>
      </c>
      <c r="U84" s="158" t="s">
        <v>101</v>
      </c>
      <c r="V84" s="159" t="s">
        <v>143</v>
      </c>
      <c r="W84" s="157" t="s">
        <v>141</v>
      </c>
      <c r="X84" s="158" t="s">
        <v>99</v>
      </c>
      <c r="Y84" s="158" t="s">
        <v>101</v>
      </c>
      <c r="Z84" s="159" t="s">
        <v>143</v>
      </c>
    </row>
    <row r="85" spans="16:26" x14ac:dyDescent="0.25">
      <c r="P85" s="219">
        <v>500</v>
      </c>
      <c r="Q85" s="160" t="s">
        <v>0</v>
      </c>
      <c r="R85" s="161">
        <v>4.0989730000000009</v>
      </c>
      <c r="S85" s="154">
        <v>335.47283000000004</v>
      </c>
      <c r="T85" s="154">
        <v>152.327305</v>
      </c>
      <c r="U85" s="211">
        <v>491.89910800000007</v>
      </c>
      <c r="V85" s="220">
        <v>0.98379821600000017</v>
      </c>
      <c r="W85" s="161">
        <v>153.991873</v>
      </c>
      <c r="X85" s="154">
        <v>335.53663699999998</v>
      </c>
      <c r="Y85" s="211">
        <v>489.52850999999998</v>
      </c>
      <c r="Z85" s="220">
        <v>0.97905701999999994</v>
      </c>
    </row>
    <row r="86" spans="16:26" x14ac:dyDescent="0.25">
      <c r="P86" s="207"/>
      <c r="Q86" s="153" t="s">
        <v>16</v>
      </c>
      <c r="R86" s="166">
        <f>1.96*SQRT(R69)/SQRT(50)</f>
        <v>4.9194047770030065E-2</v>
      </c>
      <c r="S86" s="130">
        <f t="shared" ref="S86:X98" si="9">1.96*SQRT(S69)/SQRT(50)</f>
        <v>4.8550272172254612E-2</v>
      </c>
      <c r="T86" s="130">
        <f t="shared" si="9"/>
        <v>2.6611286026796976E-2</v>
      </c>
      <c r="U86" s="187"/>
      <c r="V86" s="210"/>
      <c r="W86" s="166">
        <f t="shared" si="9"/>
        <v>6.9909658502956509E-2</v>
      </c>
      <c r="X86" s="130">
        <f t="shared" si="9"/>
        <v>4.1126386274507508E-2</v>
      </c>
      <c r="Y86" s="187"/>
      <c r="Z86" s="210"/>
    </row>
    <row r="87" spans="16:26" x14ac:dyDescent="0.25">
      <c r="P87" s="207">
        <v>1000</v>
      </c>
      <c r="Q87" s="153" t="s">
        <v>0</v>
      </c>
      <c r="R87" s="155">
        <v>4.3214289999999664</v>
      </c>
      <c r="S87" s="152">
        <v>633.51590499999998</v>
      </c>
      <c r="T87" s="152">
        <v>302.04636199999999</v>
      </c>
      <c r="U87" s="208">
        <v>939.88369599999987</v>
      </c>
      <c r="V87" s="209">
        <v>0.93988369599999988</v>
      </c>
      <c r="W87" s="155">
        <v>304.07807500000001</v>
      </c>
      <c r="X87" s="152">
        <v>633.67819599999996</v>
      </c>
      <c r="Y87" s="208">
        <v>937.75627099999997</v>
      </c>
      <c r="Z87" s="209">
        <v>0.93775627099999992</v>
      </c>
    </row>
    <row r="88" spans="16:26" x14ac:dyDescent="0.25">
      <c r="P88" s="207"/>
      <c r="Q88" s="153" t="s">
        <v>16</v>
      </c>
      <c r="R88" s="166">
        <f>1.96*SQRT(R71)/SQRT(50)</f>
        <v>4.3997525384957735E-2</v>
      </c>
      <c r="S88" s="130">
        <f t="shared" si="9"/>
        <v>4.5521817538406784E-2</v>
      </c>
      <c r="T88" s="130">
        <f t="shared" si="9"/>
        <v>2.9154629409409407E-2</v>
      </c>
      <c r="U88" s="187"/>
      <c r="V88" s="210"/>
      <c r="W88" s="166">
        <f t="shared" si="9"/>
        <v>9.6155930030341855E-2</v>
      </c>
      <c r="X88" s="130">
        <f t="shared" si="9"/>
        <v>3.3244974357036279E-2</v>
      </c>
      <c r="Y88" s="187"/>
      <c r="Z88" s="210"/>
    </row>
    <row r="89" spans="16:26" x14ac:dyDescent="0.25">
      <c r="P89" s="207">
        <v>1500</v>
      </c>
      <c r="Q89" s="153" t="s">
        <v>0</v>
      </c>
      <c r="R89" s="155">
        <v>4.3281670000001213</v>
      </c>
      <c r="S89" s="152">
        <v>935.2325239999999</v>
      </c>
      <c r="T89" s="152">
        <v>451.69636000000003</v>
      </c>
      <c r="U89" s="208">
        <v>1391.257051</v>
      </c>
      <c r="V89" s="209">
        <v>0.92750470066666668</v>
      </c>
      <c r="W89" s="155">
        <v>453.71775600000001</v>
      </c>
      <c r="X89" s="152">
        <v>935.33049400000004</v>
      </c>
      <c r="Y89" s="208">
        <v>1389.0482500000001</v>
      </c>
      <c r="Z89" s="209">
        <v>0.92603216666666666</v>
      </c>
    </row>
    <row r="90" spans="16:26" x14ac:dyDescent="0.25">
      <c r="P90" s="207"/>
      <c r="Q90" s="153" t="s">
        <v>16</v>
      </c>
      <c r="R90" s="166">
        <f>1.96*SQRT(R73)/SQRT(50)</f>
        <v>5.6824453046201859E-2</v>
      </c>
      <c r="S90" s="130">
        <f t="shared" si="9"/>
        <v>5.8221568237209136E-2</v>
      </c>
      <c r="T90" s="130">
        <f t="shared" si="9"/>
        <v>4.4982747270481377E-2</v>
      </c>
      <c r="U90" s="187"/>
      <c r="V90" s="210"/>
      <c r="W90" s="166">
        <f t="shared" si="9"/>
        <v>0.13030447937043452</v>
      </c>
      <c r="X90" s="130">
        <f t="shared" si="9"/>
        <v>8.523904570089931E-2</v>
      </c>
      <c r="Y90" s="187"/>
      <c r="Z90" s="210"/>
    </row>
    <row r="91" spans="16:26" x14ac:dyDescent="0.25">
      <c r="P91" s="207">
        <v>2000</v>
      </c>
      <c r="Q91" s="153" t="s">
        <v>0</v>
      </c>
      <c r="R91" s="155">
        <v>4.0978590000001986</v>
      </c>
      <c r="S91" s="152">
        <v>1237.6741299999999</v>
      </c>
      <c r="T91" s="152">
        <v>602.11373400000002</v>
      </c>
      <c r="U91" s="208">
        <v>1843.8857230000001</v>
      </c>
      <c r="V91" s="209">
        <v>0.92194286150000004</v>
      </c>
      <c r="W91" s="155">
        <v>603.93329300000005</v>
      </c>
      <c r="X91" s="152">
        <v>1237.5205619999999</v>
      </c>
      <c r="Y91" s="208">
        <v>1841.453855</v>
      </c>
      <c r="Z91" s="209">
        <v>0.92072692749999996</v>
      </c>
    </row>
    <row r="92" spans="16:26" x14ac:dyDescent="0.25">
      <c r="P92" s="207"/>
      <c r="Q92" s="153" t="s">
        <v>16</v>
      </c>
      <c r="R92" s="166">
        <f>1.96*SQRT(R75)/SQRT(50)</f>
        <v>8.0669657046500448E-2</v>
      </c>
      <c r="S92" s="130">
        <f t="shared" si="9"/>
        <v>8.5091092459786882E-2</v>
      </c>
      <c r="T92" s="130">
        <f t="shared" si="9"/>
        <v>8.6263605860177214E-2</v>
      </c>
      <c r="U92" s="187"/>
      <c r="V92" s="210"/>
      <c r="W92" s="166">
        <f t="shared" si="9"/>
        <v>0.13793777634861307</v>
      </c>
      <c r="X92" s="130">
        <f t="shared" si="9"/>
        <v>4.2963808024894627E-2</v>
      </c>
      <c r="Y92" s="187"/>
      <c r="Z92" s="210"/>
    </row>
    <row r="93" spans="16:26" x14ac:dyDescent="0.25">
      <c r="P93" s="207">
        <v>2500</v>
      </c>
      <c r="Q93" s="153" t="s">
        <v>0</v>
      </c>
      <c r="R93" s="155">
        <v>4.1816549999998642</v>
      </c>
      <c r="S93" s="152">
        <v>1539.9342810000001</v>
      </c>
      <c r="T93" s="152">
        <v>751.12904400000002</v>
      </c>
      <c r="U93" s="208">
        <v>2295.2449799999999</v>
      </c>
      <c r="V93" s="209">
        <v>0.91809799199999997</v>
      </c>
      <c r="W93" s="155">
        <v>754.00015799999983</v>
      </c>
      <c r="X93" s="152">
        <v>1539.732078</v>
      </c>
      <c r="Y93" s="208">
        <v>2293.7322359999998</v>
      </c>
      <c r="Z93" s="209">
        <v>0.91749289439999993</v>
      </c>
    </row>
    <row r="94" spans="16:26" x14ac:dyDescent="0.25">
      <c r="P94" s="207"/>
      <c r="Q94" s="153" t="s">
        <v>16</v>
      </c>
      <c r="R94" s="166">
        <f>1.96*SQRT(R77)/SQRT(50)</f>
        <v>0.10450384750811809</v>
      </c>
      <c r="S94" s="130">
        <f t="shared" si="9"/>
        <v>0.10197765292455009</v>
      </c>
      <c r="T94" s="130">
        <f t="shared" si="9"/>
        <v>9.2002742393909098E-2</v>
      </c>
      <c r="U94" s="187"/>
      <c r="V94" s="210"/>
      <c r="W94" s="166">
        <f t="shared" si="9"/>
        <v>0.128058066579189</v>
      </c>
      <c r="X94" s="130">
        <f t="shared" si="9"/>
        <v>4.594183139579875E-2</v>
      </c>
      <c r="Y94" s="187"/>
      <c r="Z94" s="210"/>
    </row>
    <row r="95" spans="16:26" x14ac:dyDescent="0.25">
      <c r="P95" s="207">
        <v>3000</v>
      </c>
      <c r="Q95" s="153" t="s">
        <v>0</v>
      </c>
      <c r="R95" s="155">
        <v>4.2791790000001129</v>
      </c>
      <c r="S95" s="152">
        <v>1842.1504109999998</v>
      </c>
      <c r="T95" s="152">
        <v>902.63273400000003</v>
      </c>
      <c r="U95" s="208">
        <v>2749.062324</v>
      </c>
      <c r="V95" s="209">
        <v>0.91635410799999995</v>
      </c>
      <c r="W95" s="155">
        <v>904.94962900000019</v>
      </c>
      <c r="X95" s="152">
        <v>1841.907588</v>
      </c>
      <c r="Y95" s="208">
        <v>2746.8572170000002</v>
      </c>
      <c r="Z95" s="209">
        <v>0.91561907233333339</v>
      </c>
    </row>
    <row r="96" spans="16:26" x14ac:dyDescent="0.25">
      <c r="P96" s="207"/>
      <c r="Q96" s="153" t="s">
        <v>16</v>
      </c>
      <c r="R96" s="166">
        <f>1.96*SQRT(R79)/SQRT(50)</f>
        <v>0.15962223634569214</v>
      </c>
      <c r="S96" s="130">
        <f t="shared" si="9"/>
        <v>0.15868254900901987</v>
      </c>
      <c r="T96" s="130">
        <f t="shared" si="9"/>
        <v>7.9765498506559826E-2</v>
      </c>
      <c r="U96" s="187"/>
      <c r="V96" s="210"/>
      <c r="W96" s="166">
        <f t="shared" si="9"/>
        <v>0.18370815576887162</v>
      </c>
      <c r="X96" s="130">
        <f t="shared" si="9"/>
        <v>8.350658148912575E-2</v>
      </c>
      <c r="Y96" s="187"/>
      <c r="Z96" s="210"/>
    </row>
    <row r="97" spans="16:26" x14ac:dyDescent="0.25">
      <c r="P97" s="207">
        <v>3500</v>
      </c>
      <c r="Q97" s="153" t="s">
        <v>0</v>
      </c>
      <c r="R97" s="155">
        <v>4.4479929999997694</v>
      </c>
      <c r="S97" s="152">
        <v>2145.6467890000004</v>
      </c>
      <c r="T97" s="152">
        <v>1052.374783</v>
      </c>
      <c r="U97" s="208">
        <v>3202.4695650000003</v>
      </c>
      <c r="V97" s="209">
        <v>0.9149913042857144</v>
      </c>
      <c r="W97" s="155">
        <v>1054.7736129999998</v>
      </c>
      <c r="X97" s="152">
        <v>2145.446758</v>
      </c>
      <c r="Y97" s="208">
        <v>3200.2203709999999</v>
      </c>
      <c r="Z97" s="209">
        <v>0.9143486774285714</v>
      </c>
    </row>
    <row r="98" spans="16:26" ht="15.75" thickBot="1" x14ac:dyDescent="0.3">
      <c r="P98" s="221"/>
      <c r="Q98" s="163" t="s">
        <v>16</v>
      </c>
      <c r="R98" s="167">
        <f>1.96*SQRT(R81)/SQRT(50)</f>
        <v>0.16979574006434911</v>
      </c>
      <c r="S98" s="168">
        <f t="shared" si="9"/>
        <v>0.16910541062899198</v>
      </c>
      <c r="T98" s="168">
        <f t="shared" si="9"/>
        <v>0.10503003410453603</v>
      </c>
      <c r="U98" s="222"/>
      <c r="V98" s="223"/>
      <c r="W98" s="167">
        <f t="shared" si="9"/>
        <v>0.13865445071832352</v>
      </c>
      <c r="X98" s="168">
        <f t="shared" si="9"/>
        <v>5.443439089399274E-2</v>
      </c>
      <c r="Y98" s="222"/>
      <c r="Z98" s="223"/>
    </row>
  </sheetData>
  <mergeCells count="121">
    <mergeCell ref="P97:P98"/>
    <mergeCell ref="U97:U98"/>
    <mergeCell ref="V97:V98"/>
    <mergeCell ref="Y97:Y98"/>
    <mergeCell ref="Z97:Z98"/>
    <mergeCell ref="P95:P96"/>
    <mergeCell ref="U95:U96"/>
    <mergeCell ref="V95:V96"/>
    <mergeCell ref="Y95:Y96"/>
    <mergeCell ref="Z95:Z96"/>
    <mergeCell ref="P93:P94"/>
    <mergeCell ref="U93:U94"/>
    <mergeCell ref="V93:V94"/>
    <mergeCell ref="Y93:Y94"/>
    <mergeCell ref="Z93:Z94"/>
    <mergeCell ref="P91:P92"/>
    <mergeCell ref="U91:U92"/>
    <mergeCell ref="V91:V92"/>
    <mergeCell ref="Y91:Y92"/>
    <mergeCell ref="Z91:Z92"/>
    <mergeCell ref="P89:P90"/>
    <mergeCell ref="U89:U90"/>
    <mergeCell ref="V89:V90"/>
    <mergeCell ref="Y89:Y90"/>
    <mergeCell ref="Z89:Z90"/>
    <mergeCell ref="P87:P88"/>
    <mergeCell ref="U87:U88"/>
    <mergeCell ref="V87:V88"/>
    <mergeCell ref="Y87:Y88"/>
    <mergeCell ref="Z87:Z88"/>
    <mergeCell ref="P83:Q84"/>
    <mergeCell ref="R83:V83"/>
    <mergeCell ref="W83:Z83"/>
    <mergeCell ref="P85:P86"/>
    <mergeCell ref="U85:U86"/>
    <mergeCell ref="V85:V86"/>
    <mergeCell ref="Y85:Y86"/>
    <mergeCell ref="Z85:Z86"/>
    <mergeCell ref="P80:P81"/>
    <mergeCell ref="U80:U81"/>
    <mergeCell ref="V80:V81"/>
    <mergeCell ref="Y80:Y81"/>
    <mergeCell ref="Z80:Z81"/>
    <mergeCell ref="P78:P79"/>
    <mergeCell ref="U78:U79"/>
    <mergeCell ref="V78:V79"/>
    <mergeCell ref="Y78:Y79"/>
    <mergeCell ref="Z78:Z79"/>
    <mergeCell ref="P76:P77"/>
    <mergeCell ref="U76:U77"/>
    <mergeCell ref="V76:V77"/>
    <mergeCell ref="Y76:Y77"/>
    <mergeCell ref="Z76:Z77"/>
    <mergeCell ref="P74:P75"/>
    <mergeCell ref="U74:U75"/>
    <mergeCell ref="V74:V75"/>
    <mergeCell ref="Y74:Y75"/>
    <mergeCell ref="Z74:Z75"/>
    <mergeCell ref="P72:P73"/>
    <mergeCell ref="U72:U73"/>
    <mergeCell ref="V72:V73"/>
    <mergeCell ref="Y72:Y73"/>
    <mergeCell ref="Z72:Z73"/>
    <mergeCell ref="P70:P71"/>
    <mergeCell ref="U70:U71"/>
    <mergeCell ref="V70:V71"/>
    <mergeCell ref="Y70:Y71"/>
    <mergeCell ref="Z70:Z71"/>
    <mergeCell ref="U68:U69"/>
    <mergeCell ref="P66:Q67"/>
    <mergeCell ref="R66:V66"/>
    <mergeCell ref="W66:Z66"/>
    <mergeCell ref="P68:P69"/>
    <mergeCell ref="V68:V69"/>
    <mergeCell ref="Y68:Y69"/>
    <mergeCell ref="Z68:Z69"/>
    <mergeCell ref="Q53:X54"/>
    <mergeCell ref="O57:O58"/>
    <mergeCell ref="O53:O54"/>
    <mergeCell ref="O55:O56"/>
    <mergeCell ref="W45:X46"/>
    <mergeCell ref="R55:X56"/>
    <mergeCell ref="C55:C56"/>
    <mergeCell ref="C57:C58"/>
    <mergeCell ref="C59:C60"/>
    <mergeCell ref="C61:C62"/>
    <mergeCell ref="O45:O46"/>
    <mergeCell ref="O47:O48"/>
    <mergeCell ref="O49:O50"/>
    <mergeCell ref="C45:C46"/>
    <mergeCell ref="C47:C48"/>
    <mergeCell ref="C49:C50"/>
    <mergeCell ref="C51:C52"/>
    <mergeCell ref="C53:C54"/>
    <mergeCell ref="O13:O14"/>
    <mergeCell ref="C15:C16"/>
    <mergeCell ref="O15:O16"/>
    <mergeCell ref="C17:C18"/>
    <mergeCell ref="O17:O18"/>
    <mergeCell ref="C19:C20"/>
    <mergeCell ref="O19:O20"/>
    <mergeCell ref="C36:C37"/>
    <mergeCell ref="C3:C4"/>
    <mergeCell ref="O3:O4"/>
    <mergeCell ref="C5:C6"/>
    <mergeCell ref="O5:O6"/>
    <mergeCell ref="C7:C8"/>
    <mergeCell ref="O7:O8"/>
    <mergeCell ref="C9:C10"/>
    <mergeCell ref="O9:O10"/>
    <mergeCell ref="C11:C12"/>
    <mergeCell ref="O11:O12"/>
    <mergeCell ref="C38:C39"/>
    <mergeCell ref="C40:C41"/>
    <mergeCell ref="C24:C25"/>
    <mergeCell ref="C26:C27"/>
    <mergeCell ref="C28:C29"/>
    <mergeCell ref="C30:C31"/>
    <mergeCell ref="C32:C33"/>
    <mergeCell ref="C34:C35"/>
    <mergeCell ref="C13:C1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workbookViewId="0">
      <selection activeCell="C8" sqref="C8"/>
    </sheetView>
  </sheetViews>
  <sheetFormatPr defaultRowHeight="15" x14ac:dyDescent="0.25"/>
  <cols>
    <col min="1" max="1" width="19" bestFit="1" customWidth="1"/>
    <col min="2" max="2" width="4.85546875" bestFit="1" customWidth="1"/>
    <col min="3" max="9" width="7.28515625" bestFit="1" customWidth="1"/>
  </cols>
  <sheetData>
    <row r="2" spans="1:9" ht="15.75" thickBot="1" x14ac:dyDescent="0.3"/>
    <row r="3" spans="1:9" ht="15.75" thickBot="1" x14ac:dyDescent="0.3">
      <c r="A3" s="227" t="s">
        <v>68</v>
      </c>
      <c r="B3" s="228"/>
      <c r="C3" s="112">
        <v>2</v>
      </c>
      <c r="D3" s="112">
        <v>4</v>
      </c>
      <c r="E3" s="112">
        <v>8</v>
      </c>
      <c r="F3" s="112">
        <v>16</v>
      </c>
      <c r="G3" s="112">
        <v>32</v>
      </c>
      <c r="H3" s="112">
        <v>64</v>
      </c>
      <c r="I3" s="113">
        <v>128</v>
      </c>
    </row>
    <row r="4" spans="1:9" ht="15.75" thickBot="1" x14ac:dyDescent="0.3">
      <c r="A4" s="229" t="s">
        <v>114</v>
      </c>
      <c r="B4" s="230"/>
      <c r="C4" s="115">
        <v>42</v>
      </c>
      <c r="D4" s="115">
        <v>84</v>
      </c>
      <c r="E4" s="115">
        <v>168</v>
      </c>
      <c r="F4" s="115">
        <v>336</v>
      </c>
      <c r="G4" s="115">
        <v>672</v>
      </c>
      <c r="H4" s="115">
        <v>1344</v>
      </c>
      <c r="I4" s="116">
        <v>2688</v>
      </c>
    </row>
    <row r="5" spans="1:9" ht="15.75" thickTop="1" x14ac:dyDescent="0.25">
      <c r="A5" s="224" t="s">
        <v>107</v>
      </c>
      <c r="B5" s="111" t="s">
        <v>0</v>
      </c>
      <c r="C5" s="124">
        <v>49.128633333333333</v>
      </c>
      <c r="D5" s="125">
        <v>29.456671428571433</v>
      </c>
      <c r="E5" s="125">
        <v>12.088770238095233</v>
      </c>
      <c r="F5" s="125">
        <v>11.775817857142858</v>
      </c>
      <c r="G5" s="125"/>
      <c r="H5" s="125"/>
      <c r="I5" s="125"/>
    </row>
    <row r="6" spans="1:9" ht="15.75" thickBot="1" x14ac:dyDescent="0.3">
      <c r="A6" s="225"/>
      <c r="B6" s="117" t="s">
        <v>16</v>
      </c>
      <c r="C6" s="126">
        <v>1.0541382745764614</v>
      </c>
      <c r="D6" s="126">
        <v>0.47292227155878297</v>
      </c>
      <c r="E6" s="126">
        <v>3.9358582704402889</v>
      </c>
      <c r="F6" s="126">
        <v>0.8327073569625284</v>
      </c>
      <c r="G6" s="126"/>
      <c r="H6" s="126"/>
      <c r="I6" s="126"/>
    </row>
    <row r="7" spans="1:9" ht="29.25" customHeight="1" x14ac:dyDescent="0.25">
      <c r="A7" s="224" t="s">
        <v>108</v>
      </c>
      <c r="B7" s="111" t="s">
        <v>0</v>
      </c>
      <c r="C7" s="124">
        <v>83.655395238095224</v>
      </c>
      <c r="D7" s="125">
        <v>86.115240476190493</v>
      </c>
      <c r="E7" s="125">
        <v>87.072809523809525</v>
      </c>
      <c r="F7" s="125">
        <v>88.016184523809528</v>
      </c>
      <c r="G7" s="125">
        <v>89.758202380952426</v>
      </c>
      <c r="H7" s="125">
        <v>91.661205357142862</v>
      </c>
      <c r="I7" s="125">
        <v>92.953444940476189</v>
      </c>
    </row>
    <row r="8" spans="1:9" ht="15.75" thickBot="1" x14ac:dyDescent="0.3">
      <c r="A8" s="225"/>
      <c r="B8" s="117" t="s">
        <v>16</v>
      </c>
      <c r="C8" s="126">
        <v>0.66230726447843535</v>
      </c>
      <c r="D8" s="126">
        <v>1.9933564083767716</v>
      </c>
      <c r="E8" s="126">
        <v>1.9112545887167047</v>
      </c>
      <c r="F8" s="126">
        <v>1.2054612679822323</v>
      </c>
      <c r="G8" s="126">
        <v>0.65293688378178394</v>
      </c>
      <c r="H8" s="126">
        <v>8.5451573522590358</v>
      </c>
      <c r="I8" s="126">
        <v>3.663259046454856</v>
      </c>
    </row>
    <row r="9" spans="1:9" ht="15.75" customHeight="1" x14ac:dyDescent="0.25">
      <c r="A9" s="224" t="s">
        <v>109</v>
      </c>
      <c r="B9" s="111" t="s">
        <v>0</v>
      </c>
      <c r="C9" s="124"/>
      <c r="D9" s="125">
        <v>2.1433459523809515</v>
      </c>
      <c r="E9" s="125">
        <v>2.162555238095238</v>
      </c>
      <c r="F9" s="125">
        <v>2.4949898214285713</v>
      </c>
      <c r="G9" s="125">
        <v>2.5703541666666676</v>
      </c>
      <c r="H9" s="125">
        <v>2.6002382440476191</v>
      </c>
      <c r="I9" s="125"/>
    </row>
    <row r="10" spans="1:9" ht="15.75" thickBot="1" x14ac:dyDescent="0.3">
      <c r="A10" s="226"/>
      <c r="B10" s="114" t="s">
        <v>16</v>
      </c>
      <c r="C10" s="126"/>
      <c r="D10" s="126">
        <v>7.9599431262959396E-3</v>
      </c>
      <c r="E10" s="126">
        <v>2.8440268647320011E-2</v>
      </c>
      <c r="F10" s="126">
        <v>7.3314393764025397E-3</v>
      </c>
      <c r="G10" s="126">
        <v>2.5462943008745867E-3</v>
      </c>
      <c r="H10" s="126">
        <v>4.8828547708620763E-3</v>
      </c>
      <c r="I10" s="126"/>
    </row>
    <row r="11" spans="1:9" ht="15" customHeight="1" thickTop="1" x14ac:dyDescent="0.25">
      <c r="A11" s="224" t="s">
        <v>111</v>
      </c>
      <c r="B11" s="111" t="s">
        <v>0</v>
      </c>
      <c r="C11" s="118">
        <v>3.4666723809523821</v>
      </c>
      <c r="D11" s="120">
        <v>2.2190766666666666</v>
      </c>
      <c r="E11" s="120">
        <v>1.5829224999999996</v>
      </c>
      <c r="F11" s="120">
        <v>1.5274549999999996</v>
      </c>
      <c r="G11" s="120"/>
      <c r="H11" s="120"/>
      <c r="I11" s="120"/>
    </row>
    <row r="12" spans="1:9" ht="15.75" thickBot="1" x14ac:dyDescent="0.3">
      <c r="A12" s="225"/>
      <c r="B12" s="117" t="s">
        <v>16</v>
      </c>
      <c r="C12" s="126">
        <v>0.2108026403746493</v>
      </c>
      <c r="D12" s="126">
        <v>0.11507446620219676</v>
      </c>
      <c r="E12" s="126">
        <v>8.3665571290488044E-2</v>
      </c>
      <c r="F12" s="126">
        <v>1.4738702495149698E-2</v>
      </c>
      <c r="G12" s="126"/>
      <c r="H12" s="126"/>
      <c r="I12" s="126"/>
    </row>
    <row r="13" spans="1:9" ht="29.25" customHeight="1" x14ac:dyDescent="0.25">
      <c r="A13" s="224" t="s">
        <v>113</v>
      </c>
      <c r="B13" s="111" t="s">
        <v>0</v>
      </c>
      <c r="C13" s="124">
        <v>3.6442819047619048</v>
      </c>
      <c r="D13" s="125">
        <v>2.3596057142857143</v>
      </c>
      <c r="E13" s="125">
        <v>1.6643389285714287</v>
      </c>
      <c r="F13" s="125">
        <v>1.4653357738095234</v>
      </c>
      <c r="G13" s="125">
        <v>1.440568184523809</v>
      </c>
      <c r="H13" s="125">
        <v>1.3444639880952378</v>
      </c>
      <c r="I13" s="125">
        <v>1.1408949404761946</v>
      </c>
    </row>
    <row r="14" spans="1:9" ht="15.75" thickBot="1" x14ac:dyDescent="0.3">
      <c r="A14" s="225"/>
      <c r="B14" s="117" t="s">
        <v>16</v>
      </c>
      <c r="C14" s="126">
        <v>0.21642399460145142</v>
      </c>
      <c r="D14" s="126">
        <v>0.24551559876092488</v>
      </c>
      <c r="E14" s="126">
        <v>0.16055467008486632</v>
      </c>
      <c r="F14" s="126">
        <v>1.5673634742603026E-2</v>
      </c>
      <c r="G14" s="126">
        <v>0.159287239934682</v>
      </c>
      <c r="H14" s="126">
        <v>1.0222153663489905E-2</v>
      </c>
      <c r="I14" s="126">
        <v>0.1146533622273823</v>
      </c>
    </row>
    <row r="15" spans="1:9" ht="29.25" customHeight="1" x14ac:dyDescent="0.25">
      <c r="A15" s="224" t="s">
        <v>110</v>
      </c>
      <c r="B15" s="111" t="s">
        <v>0</v>
      </c>
      <c r="C15" s="124">
        <v>3.4288209523809519</v>
      </c>
      <c r="D15" s="125">
        <v>2.1811107142857136</v>
      </c>
      <c r="E15" s="125">
        <v>1.5834041666666667</v>
      </c>
      <c r="F15" s="125">
        <v>1.5214767857142855</v>
      </c>
      <c r="G15" s="125"/>
      <c r="H15" s="125"/>
      <c r="I15" s="125"/>
    </row>
    <row r="16" spans="1:9" ht="15.75" thickBot="1" x14ac:dyDescent="0.3">
      <c r="A16" s="226"/>
      <c r="B16" s="114" t="s">
        <v>16</v>
      </c>
      <c r="C16" s="126">
        <v>0.18184080225798685</v>
      </c>
      <c r="D16" s="126">
        <v>0.13744552594314108</v>
      </c>
      <c r="E16" s="126">
        <v>8.57593115211015E-2</v>
      </c>
      <c r="F16" s="126">
        <v>4.3533846707743677E-2</v>
      </c>
      <c r="G16" s="126"/>
      <c r="H16" s="126"/>
      <c r="I16" s="126"/>
    </row>
    <row r="17" spans="1:9" ht="41.25" customHeight="1" thickTop="1" x14ac:dyDescent="0.25">
      <c r="A17" s="224" t="s">
        <v>112</v>
      </c>
      <c r="B17" s="111" t="s">
        <v>0</v>
      </c>
      <c r="C17" s="124">
        <v>3.598992857142858</v>
      </c>
      <c r="D17" s="125">
        <v>2.3101809523809518</v>
      </c>
      <c r="E17" s="125">
        <v>1.6616407142857144</v>
      </c>
      <c r="F17" s="125">
        <v>1.456121666666667</v>
      </c>
      <c r="G17" s="125">
        <v>1.4368479166666666</v>
      </c>
      <c r="H17" s="125">
        <v>1.356829910714286</v>
      </c>
      <c r="I17" s="125">
        <v>1.1398545386904775</v>
      </c>
    </row>
    <row r="18" spans="1:9" ht="15.75" thickBot="1" x14ac:dyDescent="0.3">
      <c r="A18" s="225"/>
      <c r="B18" s="117" t="s">
        <v>16</v>
      </c>
      <c r="C18" s="126">
        <v>0.17196520632686099</v>
      </c>
      <c r="D18" s="126">
        <v>0.1991963243406531</v>
      </c>
      <c r="E18" s="126">
        <v>0.17830378820678378</v>
      </c>
      <c r="F18" s="126">
        <v>4.4359152658429706E-2</v>
      </c>
      <c r="G18" s="126">
        <v>0.16929469275611292</v>
      </c>
      <c r="H18" s="126">
        <v>0.10063817258916544</v>
      </c>
      <c r="I18" s="126">
        <v>0.14089426582754647</v>
      </c>
    </row>
    <row r="19" spans="1:9" ht="29.25" customHeight="1" x14ac:dyDescent="0.25">
      <c r="A19" s="224" t="s">
        <v>19</v>
      </c>
      <c r="B19" s="111" t="s">
        <v>0</v>
      </c>
      <c r="C19" s="118">
        <v>8.6</v>
      </c>
      <c r="D19" s="120">
        <v>7.2</v>
      </c>
      <c r="E19" s="120">
        <v>6.2</v>
      </c>
      <c r="F19" s="120">
        <v>5.7</v>
      </c>
      <c r="G19" s="120">
        <v>6.7</v>
      </c>
      <c r="H19" s="120">
        <v>5.7</v>
      </c>
      <c r="I19" s="120">
        <v>6.2</v>
      </c>
    </row>
    <row r="20" spans="1:9" ht="15.75" thickBot="1" x14ac:dyDescent="0.3">
      <c r="A20" s="225"/>
      <c r="B20" s="117" t="s">
        <v>16</v>
      </c>
      <c r="C20" s="119" t="s">
        <v>121</v>
      </c>
      <c r="D20" s="121" t="s">
        <v>122</v>
      </c>
      <c r="E20" s="121" t="s">
        <v>123</v>
      </c>
      <c r="F20" s="121" t="s">
        <v>118</v>
      </c>
      <c r="G20" s="121" t="s">
        <v>115</v>
      </c>
      <c r="H20" s="121" t="s">
        <v>124</v>
      </c>
      <c r="I20" s="121" t="s">
        <v>124</v>
      </c>
    </row>
    <row r="21" spans="1:9" ht="44.25" customHeight="1" x14ac:dyDescent="0.25">
      <c r="A21" s="224" t="s">
        <v>20</v>
      </c>
      <c r="B21" s="111" t="s">
        <v>0</v>
      </c>
      <c r="C21" s="118">
        <v>9.4</v>
      </c>
      <c r="D21" s="120">
        <v>7.5</v>
      </c>
      <c r="E21" s="120">
        <v>6.4</v>
      </c>
      <c r="F21" s="120">
        <v>6.1</v>
      </c>
      <c r="G21" s="120">
        <v>6.8</v>
      </c>
      <c r="H21" s="120">
        <v>5.8</v>
      </c>
      <c r="I21" s="120">
        <v>6.2</v>
      </c>
    </row>
    <row r="22" spans="1:9" ht="15.75" thickBot="1" x14ac:dyDescent="0.3">
      <c r="A22" s="225"/>
      <c r="B22" s="117" t="s">
        <v>16</v>
      </c>
      <c r="C22" s="119" t="s">
        <v>125</v>
      </c>
      <c r="D22" s="121" t="s">
        <v>126</v>
      </c>
      <c r="E22" s="121" t="s">
        <v>117</v>
      </c>
      <c r="F22" s="121" t="s">
        <v>127</v>
      </c>
      <c r="G22" s="121" t="s">
        <v>128</v>
      </c>
      <c r="H22" s="121" t="s">
        <v>128</v>
      </c>
      <c r="I22" s="121" t="s">
        <v>116</v>
      </c>
    </row>
    <row r="23" spans="1:9" ht="59.25" customHeight="1" x14ac:dyDescent="0.25">
      <c r="A23" s="224" t="s">
        <v>21</v>
      </c>
      <c r="B23" s="111" t="s">
        <v>0</v>
      </c>
      <c r="C23" s="118">
        <v>9.4</v>
      </c>
      <c r="D23" s="120">
        <v>7.5</v>
      </c>
      <c r="E23" s="120">
        <v>6.5</v>
      </c>
      <c r="F23" s="120">
        <v>6.1</v>
      </c>
      <c r="G23" s="120">
        <v>6.8</v>
      </c>
      <c r="H23" s="120">
        <v>5.8</v>
      </c>
      <c r="I23" s="120">
        <v>6.2</v>
      </c>
    </row>
    <row r="24" spans="1:9" ht="15.75" thickBot="1" x14ac:dyDescent="0.3">
      <c r="A24" s="226"/>
      <c r="B24" s="114" t="s">
        <v>16</v>
      </c>
      <c r="C24" s="122" t="s">
        <v>129</v>
      </c>
      <c r="D24" s="123" t="s">
        <v>130</v>
      </c>
      <c r="E24" s="123" t="s">
        <v>131</v>
      </c>
      <c r="F24" s="123" t="s">
        <v>127</v>
      </c>
      <c r="G24" s="123" t="s">
        <v>119</v>
      </c>
      <c r="H24" s="123" t="s">
        <v>116</v>
      </c>
      <c r="I24" s="123" t="s">
        <v>120</v>
      </c>
    </row>
    <row r="25" spans="1:9" ht="15.75" thickTop="1" x14ac:dyDescent="0.25"/>
  </sheetData>
  <mergeCells count="12">
    <mergeCell ref="A19:A20"/>
    <mergeCell ref="A21:A22"/>
    <mergeCell ref="A23:A24"/>
    <mergeCell ref="A3:B3"/>
    <mergeCell ref="A4:B4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3"/>
  <sheetViews>
    <sheetView zoomScale="85" zoomScaleNormal="85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E46" sqref="E46"/>
    </sheetView>
  </sheetViews>
  <sheetFormatPr defaultRowHeight="15" x14ac:dyDescent="0.25"/>
  <cols>
    <col min="1" max="1" width="2" bestFit="1" customWidth="1"/>
    <col min="2" max="2" width="5" bestFit="1" customWidth="1"/>
    <col min="3" max="3" width="34" bestFit="1" customWidth="1"/>
    <col min="10" max="10" width="9.42578125" customWidth="1"/>
    <col min="12" max="12" width="9.85546875" customWidth="1"/>
  </cols>
  <sheetData>
    <row r="1" spans="1:13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/>
      <c r="L1" s="7"/>
      <c r="M1" t="s">
        <v>11</v>
      </c>
    </row>
    <row r="2" spans="1:13" x14ac:dyDescent="0.25">
      <c r="B2" t="s">
        <v>0</v>
      </c>
      <c r="C2" s="1"/>
      <c r="D2" s="9">
        <v>500</v>
      </c>
      <c r="E2" s="9">
        <v>1000</v>
      </c>
      <c r="F2" s="9">
        <v>1500</v>
      </c>
      <c r="G2" s="9">
        <v>2000</v>
      </c>
      <c r="H2" s="9">
        <v>2500</v>
      </c>
      <c r="I2" s="9">
        <v>3000</v>
      </c>
      <c r="J2" s="9">
        <v>3500</v>
      </c>
      <c r="K2" s="9"/>
      <c r="L2" s="9"/>
      <c r="M2" t="s">
        <v>12</v>
      </c>
    </row>
    <row r="3" spans="1:13" x14ac:dyDescent="0.25">
      <c r="A3">
        <v>1</v>
      </c>
      <c r="C3" s="1" t="s">
        <v>1</v>
      </c>
      <c r="D3" s="10">
        <v>30380.583999999984</v>
      </c>
      <c r="E3" s="10">
        <v>58704.54</v>
      </c>
      <c r="F3" s="10">
        <v>88310.689999999988</v>
      </c>
      <c r="G3" s="10">
        <v>114930.22</v>
      </c>
      <c r="H3" s="10">
        <v>148324.85999999999</v>
      </c>
      <c r="I3" s="10">
        <v>175394.76</v>
      </c>
      <c r="J3" s="10">
        <v>207591.44</v>
      </c>
      <c r="K3" s="10"/>
      <c r="L3" s="10"/>
    </row>
    <row r="4" spans="1:13" x14ac:dyDescent="0.25">
      <c r="C4" s="1" t="s">
        <v>25</v>
      </c>
      <c r="D4" s="10">
        <v>513.22487999999987</v>
      </c>
      <c r="E4" s="10">
        <v>962.42931999999996</v>
      </c>
      <c r="F4" s="10">
        <v>1413.8445999999997</v>
      </c>
      <c r="G4" s="10">
        <v>1865.5783999999996</v>
      </c>
      <c r="H4" s="10">
        <v>2316.9614000000001</v>
      </c>
      <c r="I4" s="10">
        <v>2771.1449999999986</v>
      </c>
      <c r="J4" s="10">
        <v>3232.5671999999995</v>
      </c>
      <c r="K4" s="10"/>
      <c r="L4" s="10"/>
    </row>
    <row r="5" spans="1:13" x14ac:dyDescent="0.25">
      <c r="C5" s="1" t="s">
        <v>26</v>
      </c>
      <c r="D5" s="10">
        <v>431.7216600000001</v>
      </c>
      <c r="E5" s="10">
        <v>748.51799999999957</v>
      </c>
      <c r="F5" s="10">
        <v>860.35025999999993</v>
      </c>
      <c r="G5" s="10">
        <v>946.54938000000016</v>
      </c>
      <c r="H5" s="11">
        <v>1036.6421999999998</v>
      </c>
      <c r="I5" s="10">
        <v>1236.8269999999998</v>
      </c>
      <c r="J5" s="10">
        <v>1364.8106</v>
      </c>
      <c r="K5" s="10"/>
      <c r="L5" s="10"/>
    </row>
    <row r="6" spans="1:13" x14ac:dyDescent="0.25">
      <c r="C6" s="1" t="s">
        <v>27</v>
      </c>
      <c r="D6" s="10">
        <v>492.35281999999984</v>
      </c>
      <c r="E6" s="10">
        <v>866.31893999999988</v>
      </c>
      <c r="F6" s="10">
        <v>1042.0239999999999</v>
      </c>
      <c r="G6" s="10">
        <v>1205.606</v>
      </c>
      <c r="H6" s="10">
        <v>1351.1342000000002</v>
      </c>
      <c r="I6" s="10">
        <v>1597.0519999999999</v>
      </c>
      <c r="J6" s="10">
        <v>1757.5565999999997</v>
      </c>
      <c r="K6" s="10"/>
      <c r="L6" s="10"/>
    </row>
    <row r="7" spans="1:13" x14ac:dyDescent="0.25">
      <c r="C7" s="1" t="s">
        <v>28</v>
      </c>
      <c r="D7" s="10">
        <v>511.2161999999999</v>
      </c>
      <c r="E7" s="10">
        <v>960.97300000000007</v>
      </c>
      <c r="F7" s="10">
        <v>1412.6098000000002</v>
      </c>
      <c r="G7" s="10">
        <v>1865.9112000000005</v>
      </c>
      <c r="H7" s="10">
        <v>2341.2169999999996</v>
      </c>
      <c r="I7" s="10">
        <v>2792.7014000000008</v>
      </c>
      <c r="J7" s="10">
        <v>3242.8632000000007</v>
      </c>
      <c r="K7" s="10"/>
      <c r="L7" s="10"/>
    </row>
    <row r="8" spans="1:13" x14ac:dyDescent="0.25">
      <c r="C8" s="1" t="s">
        <v>29</v>
      </c>
      <c r="D8" s="10">
        <v>429.33212000000009</v>
      </c>
      <c r="E8" s="10">
        <v>743.40574000000026</v>
      </c>
      <c r="F8" s="10">
        <v>858.04178000000002</v>
      </c>
      <c r="G8" s="10">
        <v>944.38413999999966</v>
      </c>
      <c r="H8" s="10">
        <v>1043.8350000000003</v>
      </c>
      <c r="I8" s="10">
        <v>1253.8022000000001</v>
      </c>
      <c r="J8" s="10">
        <v>1363.6559999999997</v>
      </c>
      <c r="K8" s="10"/>
      <c r="L8" s="10"/>
    </row>
    <row r="9" spans="1:13" x14ac:dyDescent="0.25">
      <c r="C9" s="1" t="s">
        <v>30</v>
      </c>
      <c r="D9" s="10">
        <v>489.25688000000008</v>
      </c>
      <c r="E9" s="10">
        <v>862.89562000000035</v>
      </c>
      <c r="F9" s="10">
        <v>1038.2808000000002</v>
      </c>
      <c r="G9" s="10">
        <v>1202.9562000000001</v>
      </c>
      <c r="H9" s="10">
        <v>1365.1168</v>
      </c>
      <c r="I9" s="10">
        <v>1629.5512000000003</v>
      </c>
      <c r="J9" s="10">
        <v>1760.5199999999995</v>
      </c>
      <c r="K9" s="10"/>
      <c r="L9" s="9"/>
    </row>
    <row r="10" spans="1:13" x14ac:dyDescent="0.25">
      <c r="C10" s="1" t="s">
        <v>31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3" x14ac:dyDescent="0.25">
      <c r="C11" s="1" t="s">
        <v>32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3" x14ac:dyDescent="0.25">
      <c r="C12" s="1" t="s">
        <v>33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3" x14ac:dyDescent="0.25">
      <c r="C13" s="1" t="s">
        <v>34</v>
      </c>
      <c r="D13" s="10">
        <v>512.35036000000002</v>
      </c>
      <c r="E13" s="10">
        <v>961.76598000000013</v>
      </c>
      <c r="F13" s="10">
        <v>1411.1831999999997</v>
      </c>
      <c r="G13" s="10">
        <v>1866.4520000000007</v>
      </c>
      <c r="H13" s="10">
        <v>2318.4019999999996</v>
      </c>
      <c r="I13" s="10">
        <v>2771.5884000000001</v>
      </c>
      <c r="J13" s="10">
        <v>3222.2560000000003</v>
      </c>
      <c r="K13" s="10"/>
      <c r="L13" s="10"/>
    </row>
    <row r="14" spans="1:13" x14ac:dyDescent="0.25">
      <c r="C14" s="1" t="s">
        <v>35</v>
      </c>
      <c r="D14" s="10">
        <v>380.85745999999995</v>
      </c>
      <c r="E14" s="10">
        <v>670.32956000000001</v>
      </c>
      <c r="F14" s="10">
        <v>761.98160000000007</v>
      </c>
      <c r="G14" s="10">
        <v>846.39098000000013</v>
      </c>
      <c r="H14" s="10">
        <v>943.17138000000011</v>
      </c>
      <c r="I14" s="10">
        <v>1027.2475999999997</v>
      </c>
      <c r="J14" s="10">
        <v>1099.8802000000001</v>
      </c>
      <c r="K14" s="10"/>
      <c r="L14" s="10"/>
    </row>
    <row r="15" spans="1:13" x14ac:dyDescent="0.25">
      <c r="C15" s="1" t="s">
        <v>36</v>
      </c>
      <c r="D15" s="10">
        <v>442.70147999999989</v>
      </c>
      <c r="E15" s="10">
        <v>793.58485999999994</v>
      </c>
      <c r="F15" s="10">
        <v>949.42465999999968</v>
      </c>
      <c r="G15" s="10">
        <v>1094.7246000000005</v>
      </c>
      <c r="H15" s="10">
        <v>1258.6662000000001</v>
      </c>
      <c r="I15" s="10">
        <v>1407.136</v>
      </c>
      <c r="J15" s="10">
        <v>1545.9128000000003</v>
      </c>
      <c r="K15" s="10"/>
      <c r="L15" s="10"/>
    </row>
    <row r="16" spans="1:13" x14ac:dyDescent="0.25">
      <c r="C16" s="1" t="s">
        <v>38</v>
      </c>
      <c r="D16" s="10">
        <v>508.81116000000014</v>
      </c>
      <c r="E16" s="10">
        <v>957.87708000000032</v>
      </c>
      <c r="F16" s="10">
        <v>1407.0438000000001</v>
      </c>
      <c r="G16" s="10">
        <v>1861.2875999999999</v>
      </c>
      <c r="H16" s="10">
        <v>2312.2380000000003</v>
      </c>
      <c r="I16" s="10">
        <v>2762.2704000000008</v>
      </c>
      <c r="J16" s="10">
        <v>3212.6022000000003</v>
      </c>
      <c r="K16" s="10"/>
      <c r="L16" s="10"/>
    </row>
    <row r="17" spans="3:12" x14ac:dyDescent="0.25">
      <c r="C17" s="1" t="s">
        <v>39</v>
      </c>
      <c r="D17" s="10">
        <v>377.27492000000012</v>
      </c>
      <c r="E17" s="10">
        <v>665.87520000000006</v>
      </c>
      <c r="F17" s="10">
        <v>757.79110000000003</v>
      </c>
      <c r="G17" s="10">
        <v>841.78908000000024</v>
      </c>
      <c r="H17" s="10">
        <v>939.00024000000008</v>
      </c>
      <c r="I17" s="10">
        <v>1021.1918000000001</v>
      </c>
      <c r="J17" s="10">
        <v>1095.7580000000003</v>
      </c>
      <c r="K17" s="10"/>
      <c r="L17" s="10"/>
    </row>
    <row r="18" spans="3:12" x14ac:dyDescent="0.25">
      <c r="C18" s="1" t="s">
        <v>40</v>
      </c>
      <c r="D18" s="10">
        <v>438.4837599999999</v>
      </c>
      <c r="E18" s="10">
        <v>789.1427799999999</v>
      </c>
      <c r="F18" s="10">
        <v>943.23362000000009</v>
      </c>
      <c r="G18" s="10">
        <v>1089.4098000000004</v>
      </c>
      <c r="H18" s="10">
        <v>1252.3558000000003</v>
      </c>
      <c r="I18" s="10">
        <v>1398.9414000000004</v>
      </c>
      <c r="J18" s="10">
        <v>1539.9654000000007</v>
      </c>
      <c r="K18" s="10"/>
      <c r="L18" s="10"/>
    </row>
    <row r="19" spans="3:12" x14ac:dyDescent="0.25">
      <c r="C19" s="1" t="s">
        <v>41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3:12" x14ac:dyDescent="0.25">
      <c r="C20" s="1" t="s">
        <v>43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3:12" x14ac:dyDescent="0.25">
      <c r="C21" s="1" t="s">
        <v>44</v>
      </c>
      <c r="D21" s="10">
        <v>1565.2651999999998</v>
      </c>
      <c r="E21" s="10">
        <v>2855.4802000000009</v>
      </c>
      <c r="F21" s="10">
        <v>3999.4047999999998</v>
      </c>
      <c r="G21" s="10">
        <v>4982.5098000000007</v>
      </c>
      <c r="H21" s="10">
        <v>12899.388000000001</v>
      </c>
      <c r="I21" s="10">
        <v>19531.821999999996</v>
      </c>
      <c r="J21" s="10">
        <v>20332.273999999998</v>
      </c>
      <c r="K21" s="10"/>
      <c r="L21" s="10"/>
    </row>
    <row r="22" spans="3:12" x14ac:dyDescent="0.25">
      <c r="C22" s="1" t="s">
        <v>37</v>
      </c>
      <c r="D22" s="10">
        <v>1193.6333999999999</v>
      </c>
      <c r="E22" s="10">
        <v>2324.2355999999995</v>
      </c>
      <c r="F22" s="10">
        <v>3018.5278000000008</v>
      </c>
      <c r="G22" s="10">
        <v>4039.8422000000005</v>
      </c>
      <c r="H22" s="10">
        <v>4829.3117999999995</v>
      </c>
      <c r="I22" s="10">
        <v>5528.0593999999992</v>
      </c>
      <c r="J22" s="10">
        <v>6448.4579999999996</v>
      </c>
      <c r="K22" s="10"/>
      <c r="L22" s="10"/>
    </row>
    <row r="23" spans="3:12" x14ac:dyDescent="0.25">
      <c r="C23" s="1" t="s">
        <v>42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3:12" x14ac:dyDescent="0.25">
      <c r="C24" s="1" t="s">
        <v>103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3:12" x14ac:dyDescent="0.25">
      <c r="C25" s="1" t="s">
        <v>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3:12" x14ac:dyDescent="0.25">
      <c r="C26" s="1" t="s">
        <v>10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3:12" x14ac:dyDescent="0.25">
      <c r="C27" s="1" t="s">
        <v>25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3:12" x14ac:dyDescent="0.25">
      <c r="C28" s="1" t="s">
        <v>27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3:12" x14ac:dyDescent="0.25">
      <c r="C29" s="1" t="s">
        <v>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3:12" x14ac:dyDescent="0.25">
      <c r="C30" s="1" t="s">
        <v>30</v>
      </c>
      <c r="D30" s="10"/>
      <c r="E30" s="10"/>
      <c r="F30" s="10"/>
      <c r="G30" s="10"/>
      <c r="H30" s="10"/>
      <c r="I30" s="10"/>
      <c r="J30" s="10"/>
      <c r="K30" s="10"/>
      <c r="L30" s="10"/>
    </row>
    <row r="31" spans="3:12" x14ac:dyDescent="0.25">
      <c r="C31" s="1" t="s">
        <v>103</v>
      </c>
      <c r="D31" s="10"/>
      <c r="E31" s="10"/>
      <c r="F31" s="10"/>
      <c r="G31" s="10"/>
      <c r="H31" s="10"/>
      <c r="I31" s="10"/>
      <c r="J31" s="10"/>
      <c r="K31" s="10"/>
      <c r="L31" s="10"/>
    </row>
    <row r="32" spans="3:12" x14ac:dyDescent="0.25">
      <c r="C32" s="1" t="s">
        <v>10</v>
      </c>
      <c r="D32" s="10"/>
      <c r="E32" s="10"/>
      <c r="F32" s="10"/>
      <c r="G32" s="10"/>
      <c r="H32" s="10"/>
      <c r="I32" s="10"/>
      <c r="J32" s="10"/>
      <c r="K32" s="10"/>
      <c r="L32" s="10"/>
    </row>
    <row r="33" spans="3:12" x14ac:dyDescent="0.25">
      <c r="C33" s="1" t="s">
        <v>104</v>
      </c>
      <c r="D33" s="10"/>
      <c r="E33" s="10"/>
      <c r="F33" s="10"/>
      <c r="G33" s="10"/>
      <c r="H33" s="10"/>
      <c r="I33" s="10"/>
      <c r="J33" s="10"/>
      <c r="K33" s="10"/>
      <c r="L33" s="10"/>
    </row>
    <row r="34" spans="3:12" x14ac:dyDescent="0.25">
      <c r="C34" s="1" t="s">
        <v>105</v>
      </c>
      <c r="D34" s="10"/>
      <c r="E34" s="10"/>
      <c r="F34" s="10"/>
      <c r="G34" s="10"/>
      <c r="H34" s="10"/>
      <c r="I34" s="10"/>
      <c r="J34" s="10"/>
      <c r="K34" s="10"/>
      <c r="L34" s="10"/>
    </row>
    <row r="37" spans="3:12" x14ac:dyDescent="0.25">
      <c r="C37" s="1">
        <v>6</v>
      </c>
      <c r="D37" s="2">
        <v>2</v>
      </c>
      <c r="E37" s="3">
        <v>4</v>
      </c>
      <c r="F37" s="2">
        <v>8</v>
      </c>
      <c r="G37" s="2">
        <v>16</v>
      </c>
      <c r="H37" s="2">
        <v>32</v>
      </c>
      <c r="I37" s="2">
        <v>64</v>
      </c>
      <c r="J37" s="2">
        <v>128</v>
      </c>
      <c r="K37" s="2">
        <v>256</v>
      </c>
      <c r="L37" s="2">
        <v>512</v>
      </c>
    </row>
    <row r="38" spans="3:12" x14ac:dyDescent="0.25">
      <c r="C38" s="1"/>
      <c r="D38" s="4">
        <v>42</v>
      </c>
      <c r="E38" s="4">
        <v>84</v>
      </c>
      <c r="F38" s="4">
        <v>168</v>
      </c>
      <c r="G38" s="4">
        <v>336</v>
      </c>
      <c r="H38" s="4">
        <v>672</v>
      </c>
      <c r="I38" s="4">
        <v>1344</v>
      </c>
      <c r="J38" s="4">
        <v>2688</v>
      </c>
      <c r="K38" s="4">
        <v>5376</v>
      </c>
      <c r="L38" s="4">
        <v>10752</v>
      </c>
    </row>
    <row r="39" spans="3:12" x14ac:dyDescent="0.25">
      <c r="C39" s="1" t="s">
        <v>1</v>
      </c>
      <c r="D39" s="5">
        <f>D3/D$2</f>
        <v>60.761167999999969</v>
      </c>
      <c r="E39" s="5">
        <f t="shared" ref="E39:L39" si="0">E3/E$2</f>
        <v>58.704540000000001</v>
      </c>
      <c r="F39" s="5">
        <f t="shared" si="0"/>
        <v>58.873793333333325</v>
      </c>
      <c r="G39" s="5">
        <f t="shared" si="0"/>
        <v>57.465110000000003</v>
      </c>
      <c r="H39" s="5">
        <f t="shared" si="0"/>
        <v>59.329943999999998</v>
      </c>
      <c r="I39" s="5">
        <f t="shared" si="0"/>
        <v>58.464920000000006</v>
      </c>
      <c r="J39" s="5">
        <f t="shared" si="0"/>
        <v>59.311840000000004</v>
      </c>
      <c r="K39" s="5" t="e">
        <f t="shared" si="0"/>
        <v>#DIV/0!</v>
      </c>
      <c r="L39" s="5" t="e">
        <f t="shared" si="0"/>
        <v>#DIV/0!</v>
      </c>
    </row>
    <row r="40" spans="3:12" x14ac:dyDescent="0.25">
      <c r="C40" s="1" t="s">
        <v>25</v>
      </c>
      <c r="D40" s="5">
        <f>D4/D$2</f>
        <v>1.0264497599999998</v>
      </c>
      <c r="E40" s="5">
        <f t="shared" ref="D40:L55" si="1">E4/E$2</f>
        <v>0.96242931999999992</v>
      </c>
      <c r="F40" s="5">
        <f t="shared" si="1"/>
        <v>0.94256306666666645</v>
      </c>
      <c r="G40" s="5">
        <f t="shared" si="1"/>
        <v>0.93278919999999987</v>
      </c>
      <c r="H40" s="5">
        <f t="shared" si="1"/>
        <v>0.92678456000000009</v>
      </c>
      <c r="I40" s="5">
        <f t="shared" si="1"/>
        <v>0.92371499999999951</v>
      </c>
      <c r="J40" s="5">
        <f t="shared" si="1"/>
        <v>0.92359062857142848</v>
      </c>
      <c r="K40" s="5" t="e">
        <f t="shared" si="1"/>
        <v>#DIV/0!</v>
      </c>
      <c r="L40" s="5" t="e">
        <f t="shared" si="1"/>
        <v>#DIV/0!</v>
      </c>
    </row>
    <row r="41" spans="3:12" x14ac:dyDescent="0.25">
      <c r="C41" s="1" t="s">
        <v>26</v>
      </c>
      <c r="D41" s="5">
        <f t="shared" si="1"/>
        <v>0.86344332000000024</v>
      </c>
      <c r="E41" s="5">
        <f t="shared" si="1"/>
        <v>0.74851799999999957</v>
      </c>
      <c r="F41" s="5">
        <f t="shared" si="1"/>
        <v>0.57356683999999991</v>
      </c>
      <c r="G41" s="5">
        <f t="shared" si="1"/>
        <v>0.47327469000000005</v>
      </c>
      <c r="H41" s="5">
        <f t="shared" si="1"/>
        <v>0.41465687999999989</v>
      </c>
      <c r="I41" s="5">
        <f t="shared" si="1"/>
        <v>0.4122756666666666</v>
      </c>
      <c r="J41" s="5">
        <f t="shared" si="1"/>
        <v>0.38994588571428573</v>
      </c>
      <c r="K41" s="5" t="e">
        <f t="shared" si="1"/>
        <v>#DIV/0!</v>
      </c>
      <c r="L41" s="5" t="e">
        <f t="shared" si="1"/>
        <v>#DIV/0!</v>
      </c>
    </row>
    <row r="42" spans="3:12" x14ac:dyDescent="0.25">
      <c r="C42" s="1" t="s">
        <v>27</v>
      </c>
      <c r="D42" s="5">
        <f t="shared" si="1"/>
        <v>0.98470563999999972</v>
      </c>
      <c r="E42" s="5">
        <f t="shared" si="1"/>
        <v>0.86631893999999987</v>
      </c>
      <c r="F42" s="5">
        <f t="shared" si="1"/>
        <v>0.69468266666666656</v>
      </c>
      <c r="G42" s="5">
        <f t="shared" si="1"/>
        <v>0.60280299999999998</v>
      </c>
      <c r="H42" s="5">
        <f t="shared" si="1"/>
        <v>0.54045368000000005</v>
      </c>
      <c r="I42" s="5">
        <f t="shared" si="1"/>
        <v>0.53235066666666664</v>
      </c>
      <c r="J42" s="5">
        <f t="shared" si="1"/>
        <v>0.50215902857142847</v>
      </c>
      <c r="K42" s="5" t="e">
        <f t="shared" si="1"/>
        <v>#DIV/0!</v>
      </c>
      <c r="L42" s="5" t="e">
        <f t="shared" si="1"/>
        <v>#DIV/0!</v>
      </c>
    </row>
    <row r="43" spans="3:12" x14ac:dyDescent="0.25">
      <c r="C43" s="1" t="s">
        <v>28</v>
      </c>
      <c r="D43" s="5">
        <f t="shared" si="1"/>
        <v>1.0224323999999998</v>
      </c>
      <c r="E43" s="5">
        <f t="shared" si="1"/>
        <v>0.96097300000000008</v>
      </c>
      <c r="F43" s="5">
        <f t="shared" si="1"/>
        <v>0.94173986666666676</v>
      </c>
      <c r="G43" s="5">
        <f t="shared" si="1"/>
        <v>0.93295560000000022</v>
      </c>
      <c r="H43" s="5">
        <f t="shared" si="1"/>
        <v>0.93648679999999984</v>
      </c>
      <c r="I43" s="5">
        <f t="shared" si="1"/>
        <v>0.93090046666666693</v>
      </c>
      <c r="J43" s="5">
        <f t="shared" si="1"/>
        <v>0.92653234285714303</v>
      </c>
      <c r="K43" s="5" t="e">
        <f t="shared" si="1"/>
        <v>#DIV/0!</v>
      </c>
      <c r="L43" s="5" t="e">
        <f t="shared" si="1"/>
        <v>#DIV/0!</v>
      </c>
    </row>
    <row r="44" spans="3:12" x14ac:dyDescent="0.25">
      <c r="C44" s="1" t="s">
        <v>29</v>
      </c>
      <c r="D44" s="5">
        <f t="shared" si="1"/>
        <v>0.85866424000000019</v>
      </c>
      <c r="E44" s="5">
        <f t="shared" si="1"/>
        <v>0.74340574000000026</v>
      </c>
      <c r="F44" s="5">
        <f t="shared" si="1"/>
        <v>0.57202785333333339</v>
      </c>
      <c r="G44" s="5">
        <f t="shared" si="1"/>
        <v>0.47219206999999985</v>
      </c>
      <c r="H44" s="5">
        <f t="shared" si="1"/>
        <v>0.41753400000000013</v>
      </c>
      <c r="I44" s="5">
        <f t="shared" si="1"/>
        <v>0.41793406666666671</v>
      </c>
      <c r="J44" s="5">
        <f t="shared" si="1"/>
        <v>0.38961599999999991</v>
      </c>
      <c r="K44" s="5" t="e">
        <f t="shared" si="1"/>
        <v>#DIV/0!</v>
      </c>
      <c r="L44" s="5" t="e">
        <f t="shared" si="1"/>
        <v>#DIV/0!</v>
      </c>
    </row>
    <row r="45" spans="3:12" x14ac:dyDescent="0.25">
      <c r="C45" s="1" t="s">
        <v>30</v>
      </c>
      <c r="D45" s="5">
        <f t="shared" si="1"/>
        <v>0.97851376000000012</v>
      </c>
      <c r="E45" s="5">
        <f t="shared" si="1"/>
        <v>0.86289562000000031</v>
      </c>
      <c r="F45" s="5">
        <f t="shared" si="1"/>
        <v>0.69218720000000011</v>
      </c>
      <c r="G45" s="5">
        <f t="shared" si="1"/>
        <v>0.60147810000000002</v>
      </c>
      <c r="H45" s="5">
        <f t="shared" si="1"/>
        <v>0.54604671999999999</v>
      </c>
      <c r="I45" s="5">
        <f t="shared" si="1"/>
        <v>0.54318373333333347</v>
      </c>
      <c r="J45" s="5">
        <f t="shared" si="1"/>
        <v>0.50300571428571417</v>
      </c>
      <c r="K45" s="5" t="e">
        <f t="shared" si="1"/>
        <v>#DIV/0!</v>
      </c>
      <c r="L45" s="5" t="e">
        <f t="shared" si="1"/>
        <v>#DIV/0!</v>
      </c>
    </row>
    <row r="46" spans="3:12" x14ac:dyDescent="0.25">
      <c r="C46" s="1" t="s">
        <v>31</v>
      </c>
      <c r="D46" s="5">
        <f t="shared" si="1"/>
        <v>0</v>
      </c>
      <c r="E46" s="5">
        <f t="shared" si="1"/>
        <v>0</v>
      </c>
      <c r="F46" s="5">
        <f t="shared" si="1"/>
        <v>0</v>
      </c>
      <c r="G46" s="5">
        <f t="shared" si="1"/>
        <v>0</v>
      </c>
      <c r="H46" s="5">
        <f t="shared" si="1"/>
        <v>0</v>
      </c>
      <c r="I46" s="5">
        <f t="shared" si="1"/>
        <v>0</v>
      </c>
      <c r="J46" s="5">
        <f t="shared" si="1"/>
        <v>0</v>
      </c>
      <c r="K46" s="5" t="e">
        <f t="shared" si="1"/>
        <v>#DIV/0!</v>
      </c>
      <c r="L46" s="5" t="e">
        <f t="shared" si="1"/>
        <v>#DIV/0!</v>
      </c>
    </row>
    <row r="47" spans="3:12" x14ac:dyDescent="0.25">
      <c r="C47" s="1" t="s">
        <v>32</v>
      </c>
      <c r="D47" s="5">
        <f t="shared" si="1"/>
        <v>0</v>
      </c>
      <c r="E47" s="5">
        <f t="shared" si="1"/>
        <v>0</v>
      </c>
      <c r="F47" s="5">
        <f t="shared" si="1"/>
        <v>0</v>
      </c>
      <c r="G47" s="5">
        <f t="shared" si="1"/>
        <v>0</v>
      </c>
      <c r="H47" s="5">
        <f t="shared" si="1"/>
        <v>0</v>
      </c>
      <c r="I47" s="5">
        <f t="shared" si="1"/>
        <v>0</v>
      </c>
      <c r="J47" s="5">
        <f t="shared" si="1"/>
        <v>0</v>
      </c>
      <c r="K47" s="5" t="e">
        <f t="shared" si="1"/>
        <v>#DIV/0!</v>
      </c>
      <c r="L47" s="5" t="e">
        <f t="shared" si="1"/>
        <v>#DIV/0!</v>
      </c>
    </row>
    <row r="48" spans="3:12" x14ac:dyDescent="0.25">
      <c r="C48" s="1" t="s">
        <v>33</v>
      </c>
      <c r="D48" s="5">
        <f t="shared" si="1"/>
        <v>0</v>
      </c>
      <c r="E48" s="5">
        <f t="shared" si="1"/>
        <v>0</v>
      </c>
      <c r="F48" s="5">
        <f t="shared" si="1"/>
        <v>0</v>
      </c>
      <c r="G48" s="5">
        <f t="shared" si="1"/>
        <v>0</v>
      </c>
      <c r="H48" s="5">
        <f t="shared" si="1"/>
        <v>0</v>
      </c>
      <c r="I48" s="5">
        <f t="shared" si="1"/>
        <v>0</v>
      </c>
      <c r="J48" s="5">
        <f t="shared" si="1"/>
        <v>0</v>
      </c>
      <c r="K48" s="5" t="e">
        <f t="shared" si="1"/>
        <v>#DIV/0!</v>
      </c>
      <c r="L48" s="5" t="e">
        <f t="shared" si="1"/>
        <v>#DIV/0!</v>
      </c>
    </row>
    <row r="49" spans="3:12" x14ac:dyDescent="0.25">
      <c r="C49" s="1" t="s">
        <v>34</v>
      </c>
      <c r="D49" s="5">
        <f t="shared" si="1"/>
        <v>1.02470072</v>
      </c>
      <c r="E49" s="5">
        <f t="shared" si="1"/>
        <v>0.96176598000000013</v>
      </c>
      <c r="F49" s="5">
        <f t="shared" si="1"/>
        <v>0.94078879999999976</v>
      </c>
      <c r="G49" s="5">
        <f t="shared" si="1"/>
        <v>0.93322600000000033</v>
      </c>
      <c r="H49" s="5">
        <f t="shared" si="1"/>
        <v>0.92736079999999987</v>
      </c>
      <c r="I49" s="5">
        <f t="shared" si="1"/>
        <v>0.92386279999999998</v>
      </c>
      <c r="J49" s="5">
        <f t="shared" si="1"/>
        <v>0.92064457142857148</v>
      </c>
      <c r="K49" s="5" t="e">
        <f t="shared" si="1"/>
        <v>#DIV/0!</v>
      </c>
      <c r="L49" s="5" t="e">
        <f t="shared" si="1"/>
        <v>#DIV/0!</v>
      </c>
    </row>
    <row r="50" spans="3:12" x14ac:dyDescent="0.25">
      <c r="C50" s="1" t="s">
        <v>35</v>
      </c>
      <c r="D50" s="5">
        <f t="shared" si="1"/>
        <v>0.76171491999999985</v>
      </c>
      <c r="E50" s="5">
        <f t="shared" si="1"/>
        <v>0.67032955999999999</v>
      </c>
      <c r="F50" s="5">
        <f t="shared" si="1"/>
        <v>0.50798773333333336</v>
      </c>
      <c r="G50" s="5">
        <f t="shared" si="1"/>
        <v>0.42319549000000006</v>
      </c>
      <c r="H50" s="5">
        <f t="shared" si="1"/>
        <v>0.37726855200000003</v>
      </c>
      <c r="I50" s="5">
        <f t="shared" si="1"/>
        <v>0.34241586666666657</v>
      </c>
      <c r="J50" s="5">
        <f t="shared" si="1"/>
        <v>0.31425148571428574</v>
      </c>
      <c r="K50" s="5" t="e">
        <f t="shared" si="1"/>
        <v>#DIV/0!</v>
      </c>
      <c r="L50" s="5" t="e">
        <f t="shared" si="1"/>
        <v>#DIV/0!</v>
      </c>
    </row>
    <row r="51" spans="3:12" x14ac:dyDescent="0.25">
      <c r="C51" s="1" t="s">
        <v>36</v>
      </c>
      <c r="D51" s="5">
        <f t="shared" si="1"/>
        <v>0.88540295999999974</v>
      </c>
      <c r="E51" s="5">
        <f t="shared" si="1"/>
        <v>0.79358485999999995</v>
      </c>
      <c r="F51" s="5">
        <f t="shared" si="1"/>
        <v>0.63294977333333313</v>
      </c>
      <c r="G51" s="5">
        <f t="shared" si="1"/>
        <v>0.54736230000000019</v>
      </c>
      <c r="H51" s="5">
        <f t="shared" si="1"/>
        <v>0.50346648000000005</v>
      </c>
      <c r="I51" s="5">
        <f t="shared" si="1"/>
        <v>0.46904533333333331</v>
      </c>
      <c r="J51" s="5">
        <f t="shared" si="1"/>
        <v>0.44168937142857151</v>
      </c>
      <c r="K51" s="5" t="e">
        <f t="shared" si="1"/>
        <v>#DIV/0!</v>
      </c>
      <c r="L51" s="5" t="e">
        <f t="shared" si="1"/>
        <v>#DIV/0!</v>
      </c>
    </row>
    <row r="52" spans="3:12" x14ac:dyDescent="0.25">
      <c r="C52" s="1" t="s">
        <v>38</v>
      </c>
      <c r="D52" s="5">
        <f t="shared" si="1"/>
        <v>1.0176223200000003</v>
      </c>
      <c r="E52" s="5">
        <f t="shared" si="1"/>
        <v>0.95787708000000027</v>
      </c>
      <c r="F52" s="5">
        <f t="shared" si="1"/>
        <v>0.93802920000000012</v>
      </c>
      <c r="G52" s="5">
        <f t="shared" si="1"/>
        <v>0.93064379999999991</v>
      </c>
      <c r="H52" s="5">
        <f t="shared" si="1"/>
        <v>0.92489520000000014</v>
      </c>
      <c r="I52" s="5">
        <f t="shared" si="1"/>
        <v>0.92075680000000026</v>
      </c>
      <c r="J52" s="5">
        <f t="shared" si="1"/>
        <v>0.91788634285714288</v>
      </c>
      <c r="K52" s="5" t="e">
        <f t="shared" si="1"/>
        <v>#DIV/0!</v>
      </c>
      <c r="L52" s="5" t="e">
        <f t="shared" si="1"/>
        <v>#DIV/0!</v>
      </c>
    </row>
    <row r="53" spans="3:12" x14ac:dyDescent="0.25">
      <c r="C53" s="1" t="s">
        <v>39</v>
      </c>
      <c r="D53" s="5">
        <f t="shared" si="1"/>
        <v>0.75454984000000025</v>
      </c>
      <c r="E53" s="5">
        <f t="shared" si="1"/>
        <v>0.66587520000000011</v>
      </c>
      <c r="F53" s="5">
        <f t="shared" si="1"/>
        <v>0.50519406666666666</v>
      </c>
      <c r="G53" s="5">
        <f t="shared" si="1"/>
        <v>0.42089454000000009</v>
      </c>
      <c r="H53" s="5">
        <f t="shared" si="1"/>
        <v>0.37560009600000005</v>
      </c>
      <c r="I53" s="5">
        <f t="shared" si="1"/>
        <v>0.3403972666666667</v>
      </c>
      <c r="J53" s="5">
        <f t="shared" si="1"/>
        <v>0.31307371428571434</v>
      </c>
      <c r="K53" s="5" t="e">
        <f t="shared" si="1"/>
        <v>#DIV/0!</v>
      </c>
      <c r="L53" s="5" t="e">
        <f t="shared" si="1"/>
        <v>#DIV/0!</v>
      </c>
    </row>
    <row r="54" spans="3:12" x14ac:dyDescent="0.25">
      <c r="C54" s="1" t="s">
        <v>40</v>
      </c>
      <c r="D54" s="5">
        <f t="shared" si="1"/>
        <v>0.87696751999999978</v>
      </c>
      <c r="E54" s="5">
        <f t="shared" si="1"/>
        <v>0.78914277999999993</v>
      </c>
      <c r="F54" s="5">
        <f t="shared" si="1"/>
        <v>0.62882241333333344</v>
      </c>
      <c r="G54" s="5">
        <f t="shared" si="1"/>
        <v>0.54470490000000016</v>
      </c>
      <c r="H54" s="5">
        <f t="shared" si="1"/>
        <v>0.50094232000000016</v>
      </c>
      <c r="I54" s="5">
        <f t="shared" si="1"/>
        <v>0.46631380000000011</v>
      </c>
      <c r="J54" s="5">
        <f t="shared" si="1"/>
        <v>0.4399901142857145</v>
      </c>
      <c r="K54" s="5" t="e">
        <f t="shared" si="1"/>
        <v>#DIV/0!</v>
      </c>
      <c r="L54" s="5" t="e">
        <f t="shared" si="1"/>
        <v>#DIV/0!</v>
      </c>
    </row>
    <row r="55" spans="3:12" x14ac:dyDescent="0.25">
      <c r="C55" s="1" t="s">
        <v>41</v>
      </c>
      <c r="D55" s="5">
        <f t="shared" si="1"/>
        <v>0</v>
      </c>
      <c r="E55" s="5">
        <f t="shared" si="1"/>
        <v>0</v>
      </c>
      <c r="F55" s="5">
        <f t="shared" si="1"/>
        <v>0</v>
      </c>
      <c r="G55" s="5">
        <f t="shared" si="1"/>
        <v>0</v>
      </c>
      <c r="H55" s="5">
        <f t="shared" si="1"/>
        <v>0</v>
      </c>
      <c r="I55" s="5">
        <f t="shared" si="1"/>
        <v>0</v>
      </c>
      <c r="J55" s="5">
        <f t="shared" si="1"/>
        <v>0</v>
      </c>
      <c r="K55" s="5" t="e">
        <f t="shared" si="1"/>
        <v>#DIV/0!</v>
      </c>
      <c r="L55" s="5" t="e">
        <f t="shared" si="1"/>
        <v>#DIV/0!</v>
      </c>
    </row>
    <row r="56" spans="3:12" x14ac:dyDescent="0.25">
      <c r="C56" s="1" t="s">
        <v>43</v>
      </c>
      <c r="D56" s="5">
        <f t="shared" ref="D56:L70" si="2">D20/D$2</f>
        <v>0</v>
      </c>
      <c r="E56" s="5">
        <f t="shared" si="2"/>
        <v>0</v>
      </c>
      <c r="F56" s="5">
        <f t="shared" si="2"/>
        <v>0</v>
      </c>
      <c r="G56" s="5">
        <f t="shared" si="2"/>
        <v>0</v>
      </c>
      <c r="H56" s="5">
        <f t="shared" si="2"/>
        <v>0</v>
      </c>
      <c r="I56" s="5">
        <f t="shared" si="2"/>
        <v>0</v>
      </c>
      <c r="J56" s="5">
        <f t="shared" si="2"/>
        <v>0</v>
      </c>
      <c r="K56" s="5" t="e">
        <f t="shared" si="2"/>
        <v>#DIV/0!</v>
      </c>
      <c r="L56" s="5" t="e">
        <f t="shared" si="2"/>
        <v>#DIV/0!</v>
      </c>
    </row>
    <row r="57" spans="3:12" x14ac:dyDescent="0.25">
      <c r="C57" s="1" t="s">
        <v>44</v>
      </c>
      <c r="D57" s="5">
        <f t="shared" si="2"/>
        <v>3.1305303999999996</v>
      </c>
      <c r="E57" s="5">
        <f t="shared" si="2"/>
        <v>2.855480200000001</v>
      </c>
      <c r="F57" s="5">
        <f t="shared" si="2"/>
        <v>2.6662698666666667</v>
      </c>
      <c r="G57" s="5">
        <f t="shared" si="2"/>
        <v>2.4912549000000004</v>
      </c>
      <c r="H57" s="5">
        <f t="shared" si="2"/>
        <v>5.1597552000000002</v>
      </c>
      <c r="I57" s="5">
        <f t="shared" si="2"/>
        <v>6.5106073333333319</v>
      </c>
      <c r="J57" s="5">
        <f t="shared" si="2"/>
        <v>5.8092211428571421</v>
      </c>
      <c r="K57" s="5" t="e">
        <f t="shared" si="2"/>
        <v>#DIV/0!</v>
      </c>
      <c r="L57" s="5" t="e">
        <f t="shared" si="2"/>
        <v>#DIV/0!</v>
      </c>
    </row>
    <row r="58" spans="3:12" x14ac:dyDescent="0.25">
      <c r="C58" s="1" t="s">
        <v>37</v>
      </c>
      <c r="D58" s="5">
        <f t="shared" si="2"/>
        <v>2.3872667999999999</v>
      </c>
      <c r="E58" s="5">
        <f t="shared" si="2"/>
        <v>2.3242355999999997</v>
      </c>
      <c r="F58" s="5">
        <f t="shared" si="2"/>
        <v>2.0123518666666671</v>
      </c>
      <c r="G58" s="5">
        <f t="shared" si="2"/>
        <v>2.0199211000000004</v>
      </c>
      <c r="H58" s="5">
        <f t="shared" si="2"/>
        <v>1.9317247199999998</v>
      </c>
      <c r="I58" s="5">
        <f t="shared" si="2"/>
        <v>1.8426864666666665</v>
      </c>
      <c r="J58" s="5">
        <f t="shared" si="2"/>
        <v>1.8424165714285714</v>
      </c>
      <c r="K58" s="5" t="e">
        <f t="shared" si="2"/>
        <v>#DIV/0!</v>
      </c>
      <c r="L58" s="5" t="e">
        <f t="shared" si="2"/>
        <v>#DIV/0!</v>
      </c>
    </row>
    <row r="59" spans="3:12" x14ac:dyDescent="0.25">
      <c r="C59" s="1" t="s">
        <v>42</v>
      </c>
      <c r="D59" s="5">
        <f t="shared" si="2"/>
        <v>0</v>
      </c>
      <c r="E59" s="5">
        <f t="shared" si="2"/>
        <v>0</v>
      </c>
      <c r="F59" s="5">
        <f t="shared" si="2"/>
        <v>0</v>
      </c>
      <c r="G59" s="5">
        <f t="shared" si="2"/>
        <v>0</v>
      </c>
      <c r="H59" s="5">
        <f t="shared" si="2"/>
        <v>0</v>
      </c>
      <c r="I59" s="5">
        <f t="shared" si="2"/>
        <v>0</v>
      </c>
      <c r="J59" s="5">
        <f t="shared" si="2"/>
        <v>0</v>
      </c>
      <c r="K59" s="5" t="e">
        <f t="shared" si="2"/>
        <v>#DIV/0!</v>
      </c>
      <c r="L59" s="5" t="e">
        <f t="shared" si="2"/>
        <v>#DIV/0!</v>
      </c>
    </row>
    <row r="60" spans="3:12" x14ac:dyDescent="0.25">
      <c r="C60" s="1" t="s">
        <v>103</v>
      </c>
      <c r="D60" s="5">
        <f t="shared" si="2"/>
        <v>0</v>
      </c>
      <c r="E60" s="5">
        <f t="shared" si="2"/>
        <v>0</v>
      </c>
      <c r="F60" s="5">
        <f t="shared" si="2"/>
        <v>0</v>
      </c>
      <c r="G60" s="5">
        <f t="shared" si="2"/>
        <v>0</v>
      </c>
      <c r="H60" s="5">
        <f t="shared" si="2"/>
        <v>0</v>
      </c>
      <c r="I60" s="5">
        <f t="shared" si="2"/>
        <v>0</v>
      </c>
      <c r="J60" s="5">
        <f t="shared" si="2"/>
        <v>0</v>
      </c>
      <c r="K60" s="5" t="e">
        <f t="shared" si="2"/>
        <v>#DIV/0!</v>
      </c>
      <c r="L60" s="5" t="e">
        <f t="shared" si="2"/>
        <v>#DIV/0!</v>
      </c>
    </row>
    <row r="61" spans="3:12" x14ac:dyDescent="0.25">
      <c r="C61" s="1" t="s">
        <v>9</v>
      </c>
      <c r="D61" s="5">
        <f t="shared" si="2"/>
        <v>0</v>
      </c>
      <c r="E61" s="5">
        <f t="shared" si="2"/>
        <v>0</v>
      </c>
      <c r="F61" s="5">
        <f t="shared" si="2"/>
        <v>0</v>
      </c>
      <c r="G61" s="5">
        <f t="shared" si="2"/>
        <v>0</v>
      </c>
      <c r="H61" s="5">
        <f t="shared" si="2"/>
        <v>0</v>
      </c>
      <c r="I61" s="5">
        <f t="shared" si="2"/>
        <v>0</v>
      </c>
      <c r="J61" s="5">
        <f t="shared" si="2"/>
        <v>0</v>
      </c>
      <c r="K61" s="5" t="e">
        <f t="shared" si="2"/>
        <v>#DIV/0!</v>
      </c>
      <c r="L61" s="5" t="e">
        <f t="shared" si="2"/>
        <v>#DIV/0!</v>
      </c>
    </row>
    <row r="62" spans="3:12" x14ac:dyDescent="0.25">
      <c r="C62" s="1" t="s">
        <v>10</v>
      </c>
      <c r="D62" s="5">
        <f t="shared" si="2"/>
        <v>0</v>
      </c>
      <c r="E62" s="5">
        <f t="shared" si="2"/>
        <v>0</v>
      </c>
      <c r="F62" s="5">
        <f t="shared" si="2"/>
        <v>0</v>
      </c>
      <c r="G62" s="5">
        <f t="shared" si="2"/>
        <v>0</v>
      </c>
      <c r="H62" s="5">
        <f t="shared" si="2"/>
        <v>0</v>
      </c>
      <c r="I62" s="5">
        <f t="shared" si="2"/>
        <v>0</v>
      </c>
      <c r="J62" s="5">
        <f t="shared" si="2"/>
        <v>0</v>
      </c>
      <c r="K62" s="5" t="e">
        <f t="shared" si="2"/>
        <v>#DIV/0!</v>
      </c>
      <c r="L62" s="5" t="e">
        <f t="shared" si="2"/>
        <v>#DIV/0!</v>
      </c>
    </row>
    <row r="63" spans="3:12" x14ac:dyDescent="0.25">
      <c r="C63" s="1" t="s">
        <v>25</v>
      </c>
      <c r="D63" s="5">
        <f t="shared" si="2"/>
        <v>0</v>
      </c>
      <c r="E63" s="5">
        <f t="shared" si="2"/>
        <v>0</v>
      </c>
      <c r="F63" s="5">
        <f t="shared" si="2"/>
        <v>0</v>
      </c>
      <c r="G63" s="5">
        <f t="shared" si="2"/>
        <v>0</v>
      </c>
      <c r="H63" s="5">
        <f t="shared" si="2"/>
        <v>0</v>
      </c>
      <c r="I63" s="5">
        <f t="shared" si="2"/>
        <v>0</v>
      </c>
      <c r="J63" s="5">
        <f t="shared" si="2"/>
        <v>0</v>
      </c>
      <c r="K63" s="5" t="e">
        <f t="shared" si="2"/>
        <v>#DIV/0!</v>
      </c>
      <c r="L63" s="5" t="e">
        <f t="shared" si="2"/>
        <v>#DIV/0!</v>
      </c>
    </row>
    <row r="64" spans="3:12" x14ac:dyDescent="0.25">
      <c r="C64" s="1" t="s">
        <v>27</v>
      </c>
      <c r="D64" s="5">
        <f t="shared" si="2"/>
        <v>0</v>
      </c>
      <c r="E64" s="5">
        <f t="shared" si="2"/>
        <v>0</v>
      </c>
      <c r="F64" s="5">
        <f t="shared" si="2"/>
        <v>0</v>
      </c>
      <c r="G64" s="5">
        <f t="shared" si="2"/>
        <v>0</v>
      </c>
      <c r="H64" s="5">
        <f t="shared" si="2"/>
        <v>0</v>
      </c>
      <c r="I64" s="5">
        <f t="shared" si="2"/>
        <v>0</v>
      </c>
      <c r="J64" s="5">
        <f t="shared" si="2"/>
        <v>0</v>
      </c>
      <c r="K64" s="5" t="e">
        <f t="shared" si="2"/>
        <v>#DIV/0!</v>
      </c>
      <c r="L64" s="5" t="e">
        <f t="shared" si="2"/>
        <v>#DIV/0!</v>
      </c>
    </row>
    <row r="65" spans="3:12" x14ac:dyDescent="0.25">
      <c r="C65" s="15" t="s">
        <v>8</v>
      </c>
      <c r="D65" s="95">
        <f t="shared" si="2"/>
        <v>0</v>
      </c>
      <c r="E65" s="95">
        <f t="shared" si="2"/>
        <v>0</v>
      </c>
      <c r="F65" s="95">
        <f t="shared" si="2"/>
        <v>0</v>
      </c>
      <c r="G65" s="95">
        <f t="shared" si="2"/>
        <v>0</v>
      </c>
      <c r="H65" s="95">
        <f t="shared" si="2"/>
        <v>0</v>
      </c>
      <c r="I65" s="95">
        <f t="shared" si="2"/>
        <v>0</v>
      </c>
      <c r="J65" s="95">
        <f t="shared" si="2"/>
        <v>0</v>
      </c>
      <c r="K65" s="95" t="e">
        <f t="shared" si="2"/>
        <v>#DIV/0!</v>
      </c>
      <c r="L65" s="95" t="e">
        <f t="shared" si="2"/>
        <v>#DIV/0!</v>
      </c>
    </row>
    <row r="66" spans="3:12" x14ac:dyDescent="0.25">
      <c r="C66" s="1" t="s">
        <v>30</v>
      </c>
      <c r="D66" s="5">
        <f t="shared" si="2"/>
        <v>0</v>
      </c>
      <c r="E66" s="5">
        <f t="shared" si="2"/>
        <v>0</v>
      </c>
      <c r="F66" s="5">
        <f t="shared" si="2"/>
        <v>0</v>
      </c>
      <c r="G66" s="5">
        <f t="shared" si="2"/>
        <v>0</v>
      </c>
      <c r="H66" s="5">
        <f t="shared" si="2"/>
        <v>0</v>
      </c>
      <c r="I66" s="5">
        <f t="shared" si="2"/>
        <v>0</v>
      </c>
      <c r="J66" s="5">
        <f t="shared" si="2"/>
        <v>0</v>
      </c>
      <c r="K66" s="5" t="e">
        <f t="shared" si="2"/>
        <v>#DIV/0!</v>
      </c>
      <c r="L66" s="5" t="e">
        <f t="shared" si="2"/>
        <v>#DIV/0!</v>
      </c>
    </row>
    <row r="67" spans="3:12" x14ac:dyDescent="0.25">
      <c r="C67" s="15" t="s">
        <v>103</v>
      </c>
      <c r="D67" s="95">
        <f t="shared" si="2"/>
        <v>0</v>
      </c>
      <c r="E67" s="95">
        <f t="shared" si="2"/>
        <v>0</v>
      </c>
      <c r="F67" s="95">
        <f t="shared" si="2"/>
        <v>0</v>
      </c>
      <c r="G67" s="95">
        <f t="shared" si="2"/>
        <v>0</v>
      </c>
      <c r="H67" s="95">
        <f t="shared" si="2"/>
        <v>0</v>
      </c>
      <c r="I67" s="95">
        <f t="shared" si="2"/>
        <v>0</v>
      </c>
      <c r="J67" s="95">
        <f t="shared" si="2"/>
        <v>0</v>
      </c>
      <c r="K67" s="95" t="e">
        <f t="shared" si="2"/>
        <v>#DIV/0!</v>
      </c>
      <c r="L67" s="95" t="e">
        <f t="shared" si="2"/>
        <v>#DIV/0!</v>
      </c>
    </row>
    <row r="68" spans="3:12" x14ac:dyDescent="0.25">
      <c r="C68" s="1" t="s">
        <v>10</v>
      </c>
      <c r="D68" s="5">
        <f t="shared" si="2"/>
        <v>0</v>
      </c>
      <c r="E68" s="5">
        <f t="shared" si="2"/>
        <v>0</v>
      </c>
      <c r="F68" s="5">
        <f t="shared" si="2"/>
        <v>0</v>
      </c>
      <c r="G68" s="5">
        <f t="shared" si="2"/>
        <v>0</v>
      </c>
      <c r="H68" s="5">
        <f t="shared" si="2"/>
        <v>0</v>
      </c>
      <c r="I68" s="5">
        <f t="shared" si="2"/>
        <v>0</v>
      </c>
      <c r="J68" s="5">
        <f t="shared" si="2"/>
        <v>0</v>
      </c>
      <c r="K68" s="5" t="e">
        <f t="shared" si="2"/>
        <v>#DIV/0!</v>
      </c>
      <c r="L68" s="5" t="e">
        <f t="shared" si="2"/>
        <v>#DIV/0!</v>
      </c>
    </row>
    <row r="69" spans="3:12" x14ac:dyDescent="0.25">
      <c r="C69" s="1" t="s">
        <v>104</v>
      </c>
      <c r="D69" s="5">
        <f t="shared" si="2"/>
        <v>0</v>
      </c>
      <c r="E69" s="5">
        <f t="shared" si="2"/>
        <v>0</v>
      </c>
      <c r="F69" s="5">
        <f t="shared" si="2"/>
        <v>0</v>
      </c>
      <c r="G69" s="5">
        <f t="shared" si="2"/>
        <v>0</v>
      </c>
      <c r="H69" s="5">
        <f t="shared" si="2"/>
        <v>0</v>
      </c>
      <c r="I69" s="5">
        <f t="shared" si="2"/>
        <v>0</v>
      </c>
      <c r="J69" s="5">
        <f t="shared" si="2"/>
        <v>0</v>
      </c>
      <c r="K69" s="5" t="e">
        <f t="shared" si="2"/>
        <v>#DIV/0!</v>
      </c>
      <c r="L69" s="5" t="e">
        <f t="shared" si="2"/>
        <v>#DIV/0!</v>
      </c>
    </row>
    <row r="70" spans="3:12" x14ac:dyDescent="0.25">
      <c r="C70" s="1" t="s">
        <v>105</v>
      </c>
      <c r="D70" s="5">
        <f t="shared" si="2"/>
        <v>0</v>
      </c>
      <c r="E70" s="5">
        <f t="shared" si="2"/>
        <v>0</v>
      </c>
      <c r="F70" s="5">
        <f t="shared" si="2"/>
        <v>0</v>
      </c>
      <c r="G70" s="5">
        <f t="shared" si="2"/>
        <v>0</v>
      </c>
      <c r="H70" s="5">
        <f t="shared" si="2"/>
        <v>0</v>
      </c>
      <c r="I70" s="5">
        <f t="shared" si="2"/>
        <v>0</v>
      </c>
      <c r="J70" s="5">
        <f t="shared" si="2"/>
        <v>0</v>
      </c>
      <c r="K70" s="5" t="e">
        <f t="shared" si="2"/>
        <v>#DIV/0!</v>
      </c>
      <c r="L70" s="5" t="e">
        <f t="shared" si="2"/>
        <v>#DIV/0!</v>
      </c>
    </row>
    <row r="73" spans="3:12" x14ac:dyDescent="0.25">
      <c r="C73" s="1">
        <v>50</v>
      </c>
      <c r="D73" s="2">
        <v>2</v>
      </c>
      <c r="E73" s="3">
        <v>4</v>
      </c>
      <c r="F73" s="2">
        <v>8</v>
      </c>
      <c r="G73" s="2">
        <v>16</v>
      </c>
      <c r="H73" s="2">
        <v>32</v>
      </c>
      <c r="I73" s="2">
        <v>64</v>
      </c>
      <c r="J73" s="2">
        <v>128</v>
      </c>
      <c r="K73" s="2">
        <v>256</v>
      </c>
      <c r="L73" s="2">
        <v>512</v>
      </c>
    </row>
    <row r="74" spans="3:12" x14ac:dyDescent="0.25">
      <c r="C74" s="1"/>
      <c r="D74" s="4">
        <v>42</v>
      </c>
      <c r="E74" s="4">
        <v>84</v>
      </c>
      <c r="F74" s="4">
        <v>168</v>
      </c>
      <c r="G74" s="4">
        <v>336</v>
      </c>
      <c r="H74" s="4">
        <v>672</v>
      </c>
      <c r="I74" s="4">
        <v>1344</v>
      </c>
      <c r="J74" s="4">
        <v>2688</v>
      </c>
      <c r="K74" s="4">
        <v>5376</v>
      </c>
      <c r="L74" s="4">
        <v>10752</v>
      </c>
    </row>
    <row r="75" spans="3:12" x14ac:dyDescent="0.25">
      <c r="C75" s="1" t="s">
        <v>1</v>
      </c>
      <c r="D75" s="12">
        <f t="shared" ref="D75:L90" si="3">D$3/D3</f>
        <v>1</v>
      </c>
      <c r="E75" s="12">
        <f t="shared" si="3"/>
        <v>1</v>
      </c>
      <c r="F75" s="12">
        <f t="shared" si="3"/>
        <v>1</v>
      </c>
      <c r="G75" s="12">
        <f t="shared" si="3"/>
        <v>1</v>
      </c>
      <c r="H75" s="12">
        <f t="shared" si="3"/>
        <v>1</v>
      </c>
      <c r="I75" s="12">
        <f t="shared" si="3"/>
        <v>1</v>
      </c>
      <c r="J75" s="12">
        <f t="shared" si="3"/>
        <v>1</v>
      </c>
      <c r="K75" s="12" t="e">
        <f t="shared" si="3"/>
        <v>#DIV/0!</v>
      </c>
      <c r="L75" s="12" t="e">
        <f t="shared" si="3"/>
        <v>#DIV/0!</v>
      </c>
    </row>
    <row r="76" spans="3:12" x14ac:dyDescent="0.25">
      <c r="C76" s="1" t="s">
        <v>25</v>
      </c>
      <c r="D76" s="12">
        <f t="shared" si="3"/>
        <v>59.195462230903523</v>
      </c>
      <c r="E76" s="12">
        <f t="shared" si="3"/>
        <v>60.99620905148651</v>
      </c>
      <c r="F76" s="12">
        <f t="shared" si="3"/>
        <v>62.461383662674109</v>
      </c>
      <c r="G76" s="12">
        <f t="shared" si="3"/>
        <v>61.605676823874042</v>
      </c>
      <c r="H76" s="12">
        <f t="shared" si="3"/>
        <v>64.016974991469425</v>
      </c>
      <c r="I76" s="12">
        <f t="shared" si="3"/>
        <v>63.293245210914655</v>
      </c>
      <c r="J76" s="12">
        <f t="shared" si="3"/>
        <v>64.218754678943725</v>
      </c>
      <c r="K76" s="12" t="e">
        <f t="shared" si="3"/>
        <v>#DIV/0!</v>
      </c>
      <c r="L76" s="12" t="e">
        <f t="shared" si="3"/>
        <v>#DIV/0!</v>
      </c>
    </row>
    <row r="77" spans="3:12" x14ac:dyDescent="0.25">
      <c r="C77" s="1" t="s">
        <v>26</v>
      </c>
      <c r="D77" s="12">
        <f t="shared" si="3"/>
        <v>70.370766201538231</v>
      </c>
      <c r="E77" s="12">
        <f t="shared" si="3"/>
        <v>78.427693121608343</v>
      </c>
      <c r="F77" s="12">
        <f t="shared" si="3"/>
        <v>102.6450436593115</v>
      </c>
      <c r="G77" s="12">
        <f t="shared" si="3"/>
        <v>121.4202052512041</v>
      </c>
      <c r="H77" s="12">
        <f t="shared" si="3"/>
        <v>143.08202000651721</v>
      </c>
      <c r="I77" s="12">
        <f t="shared" si="3"/>
        <v>141.81026125723326</v>
      </c>
      <c r="J77" s="12">
        <f t="shared" si="3"/>
        <v>152.10274597808663</v>
      </c>
      <c r="K77" s="12" t="e">
        <f t="shared" si="3"/>
        <v>#DIV/0!</v>
      </c>
      <c r="L77" s="12" t="e">
        <f t="shared" si="3"/>
        <v>#DIV/0!</v>
      </c>
    </row>
    <row r="78" spans="3:12" x14ac:dyDescent="0.25">
      <c r="C78" s="1" t="s">
        <v>27</v>
      </c>
      <c r="D78" s="12">
        <f t="shared" si="3"/>
        <v>61.70490503131473</v>
      </c>
      <c r="E78" s="12">
        <f t="shared" si="3"/>
        <v>67.763195850248877</v>
      </c>
      <c r="F78" s="12">
        <f t="shared" si="3"/>
        <v>84.749190037849417</v>
      </c>
      <c r="G78" s="12">
        <f t="shared" si="3"/>
        <v>95.32983412491312</v>
      </c>
      <c r="H78" s="12">
        <f t="shared" si="3"/>
        <v>109.77803685229784</v>
      </c>
      <c r="I78" s="12">
        <f t="shared" si="3"/>
        <v>109.82407585977164</v>
      </c>
      <c r="J78" s="12">
        <f t="shared" si="3"/>
        <v>118.11365847336015</v>
      </c>
      <c r="K78" s="12" t="e">
        <f t="shared" si="3"/>
        <v>#DIV/0!</v>
      </c>
      <c r="L78" s="12" t="e">
        <f t="shared" si="3"/>
        <v>#DIV/0!</v>
      </c>
    </row>
    <row r="79" spans="3:12" x14ac:dyDescent="0.25">
      <c r="C79" s="1" t="s">
        <v>28</v>
      </c>
      <c r="D79" s="12">
        <f t="shared" si="3"/>
        <v>59.428054118785731</v>
      </c>
      <c r="E79" s="12">
        <f t="shared" si="3"/>
        <v>61.088646611299168</v>
      </c>
      <c r="F79" s="12">
        <f t="shared" si="3"/>
        <v>62.515982828379059</v>
      </c>
      <c r="G79" s="12">
        <f t="shared" si="3"/>
        <v>61.594688964833892</v>
      </c>
      <c r="H79" s="12">
        <f t="shared" si="3"/>
        <v>63.353742946510302</v>
      </c>
      <c r="I79" s="12">
        <f t="shared" si="3"/>
        <v>62.804695124226299</v>
      </c>
      <c r="J79" s="12">
        <f t="shared" si="3"/>
        <v>64.014861928187401</v>
      </c>
      <c r="K79" s="12" t="e">
        <f t="shared" si="3"/>
        <v>#DIV/0!</v>
      </c>
      <c r="L79" s="12" t="e">
        <f t="shared" si="3"/>
        <v>#DIV/0!</v>
      </c>
    </row>
    <row r="80" spans="3:12" x14ac:dyDescent="0.25">
      <c r="C80" s="1" t="s">
        <v>29</v>
      </c>
      <c r="D80" s="12">
        <f t="shared" si="3"/>
        <v>70.762429794444401</v>
      </c>
      <c r="E80" s="12">
        <f t="shared" si="3"/>
        <v>78.967025463107106</v>
      </c>
      <c r="F80" s="12">
        <f t="shared" si="3"/>
        <v>102.92120041054409</v>
      </c>
      <c r="G80" s="12">
        <f t="shared" si="3"/>
        <v>121.69859184632224</v>
      </c>
      <c r="H80" s="12">
        <f t="shared" si="3"/>
        <v>142.09607840319586</v>
      </c>
      <c r="I80" s="12">
        <f t="shared" si="3"/>
        <v>139.89029529538232</v>
      </c>
      <c r="J80" s="12">
        <f t="shared" si="3"/>
        <v>152.23153053262703</v>
      </c>
      <c r="K80" s="12" t="e">
        <f t="shared" si="3"/>
        <v>#DIV/0!</v>
      </c>
      <c r="L80" s="12" t="e">
        <f t="shared" si="3"/>
        <v>#DIV/0!</v>
      </c>
    </row>
    <row r="81" spans="3:12" x14ac:dyDescent="0.25">
      <c r="C81" s="1" t="s">
        <v>30</v>
      </c>
      <c r="D81" s="12">
        <f t="shared" si="3"/>
        <v>62.095363891459186</v>
      </c>
      <c r="E81" s="12">
        <f t="shared" si="3"/>
        <v>68.032029181003352</v>
      </c>
      <c r="F81" s="12">
        <f t="shared" si="3"/>
        <v>85.054727006412875</v>
      </c>
      <c r="G81" s="12">
        <f t="shared" si="3"/>
        <v>95.539820984338405</v>
      </c>
      <c r="H81" s="12">
        <f t="shared" si="3"/>
        <v>108.65360385279853</v>
      </c>
      <c r="I81" s="12">
        <f t="shared" si="3"/>
        <v>107.63378284769449</v>
      </c>
      <c r="J81" s="12">
        <f t="shared" si="3"/>
        <v>117.91484334173997</v>
      </c>
      <c r="K81" s="12" t="e">
        <f t="shared" si="3"/>
        <v>#DIV/0!</v>
      </c>
      <c r="L81" s="12" t="e">
        <f t="shared" si="3"/>
        <v>#DIV/0!</v>
      </c>
    </row>
    <row r="82" spans="3:12" x14ac:dyDescent="0.25">
      <c r="C82" s="1" t="s">
        <v>31</v>
      </c>
      <c r="D82" s="12" t="e">
        <f t="shared" si="3"/>
        <v>#DIV/0!</v>
      </c>
      <c r="E82" s="12" t="e">
        <f t="shared" si="3"/>
        <v>#DIV/0!</v>
      </c>
      <c r="F82" s="12" t="e">
        <f t="shared" si="3"/>
        <v>#DIV/0!</v>
      </c>
      <c r="G82" s="12" t="e">
        <f t="shared" si="3"/>
        <v>#DIV/0!</v>
      </c>
      <c r="H82" s="12" t="e">
        <f t="shared" si="3"/>
        <v>#DIV/0!</v>
      </c>
      <c r="I82" s="12" t="e">
        <f t="shared" si="3"/>
        <v>#DIV/0!</v>
      </c>
      <c r="J82" s="12" t="e">
        <f t="shared" si="3"/>
        <v>#DIV/0!</v>
      </c>
      <c r="K82" s="12" t="e">
        <f t="shared" si="3"/>
        <v>#DIV/0!</v>
      </c>
      <c r="L82" s="12" t="e">
        <f t="shared" si="3"/>
        <v>#DIV/0!</v>
      </c>
    </row>
    <row r="83" spans="3:12" x14ac:dyDescent="0.25">
      <c r="C83" s="1" t="s">
        <v>32</v>
      </c>
      <c r="D83" s="12" t="e">
        <f t="shared" si="3"/>
        <v>#DIV/0!</v>
      </c>
      <c r="E83" s="12" t="e">
        <f t="shared" si="3"/>
        <v>#DIV/0!</v>
      </c>
      <c r="F83" s="12" t="e">
        <f t="shared" si="3"/>
        <v>#DIV/0!</v>
      </c>
      <c r="G83" s="12" t="e">
        <f t="shared" si="3"/>
        <v>#DIV/0!</v>
      </c>
      <c r="H83" s="12" t="e">
        <f t="shared" si="3"/>
        <v>#DIV/0!</v>
      </c>
      <c r="I83" s="12" t="e">
        <f t="shared" si="3"/>
        <v>#DIV/0!</v>
      </c>
      <c r="J83" s="12" t="e">
        <f t="shared" si="3"/>
        <v>#DIV/0!</v>
      </c>
      <c r="K83" s="12" t="e">
        <f t="shared" si="3"/>
        <v>#DIV/0!</v>
      </c>
      <c r="L83" s="12" t="e">
        <f t="shared" si="3"/>
        <v>#DIV/0!</v>
      </c>
    </row>
    <row r="84" spans="3:12" x14ac:dyDescent="0.25">
      <c r="C84" s="1" t="s">
        <v>33</v>
      </c>
      <c r="D84" s="12" t="e">
        <f t="shared" si="3"/>
        <v>#DIV/0!</v>
      </c>
      <c r="E84" s="12" t="e">
        <f t="shared" si="3"/>
        <v>#DIV/0!</v>
      </c>
      <c r="F84" s="12" t="e">
        <f t="shared" si="3"/>
        <v>#DIV/0!</v>
      </c>
      <c r="G84" s="12" t="e">
        <f t="shared" si="3"/>
        <v>#DIV/0!</v>
      </c>
      <c r="H84" s="12" t="e">
        <f t="shared" si="3"/>
        <v>#DIV/0!</v>
      </c>
      <c r="I84" s="12" t="e">
        <f t="shared" si="3"/>
        <v>#DIV/0!</v>
      </c>
      <c r="J84" s="12" t="e">
        <f t="shared" si="3"/>
        <v>#DIV/0!</v>
      </c>
      <c r="K84" s="12" t="e">
        <f t="shared" si="3"/>
        <v>#DIV/0!</v>
      </c>
      <c r="L84" s="12" t="e">
        <f t="shared" si="3"/>
        <v>#DIV/0!</v>
      </c>
    </row>
    <row r="85" spans="3:12" x14ac:dyDescent="0.25">
      <c r="C85" s="1" t="s">
        <v>34</v>
      </c>
      <c r="D85" s="12">
        <f t="shared" si="3"/>
        <v>59.296501714178525</v>
      </c>
      <c r="E85" s="12">
        <f t="shared" si="3"/>
        <v>61.038278771307752</v>
      </c>
      <c r="F85" s="12">
        <f t="shared" si="3"/>
        <v>62.579181781642532</v>
      </c>
      <c r="G85" s="12">
        <f t="shared" si="3"/>
        <v>61.576842051121574</v>
      </c>
      <c r="H85" s="12">
        <f t="shared" si="3"/>
        <v>63.977196361976915</v>
      </c>
      <c r="I85" s="12">
        <f t="shared" si="3"/>
        <v>63.283119528137732</v>
      </c>
      <c r="J85" s="12">
        <f t="shared" si="3"/>
        <v>64.424254311265145</v>
      </c>
      <c r="K85" s="12" t="e">
        <f t="shared" si="3"/>
        <v>#DIV/0!</v>
      </c>
      <c r="L85" s="12" t="e">
        <f t="shared" si="3"/>
        <v>#DIV/0!</v>
      </c>
    </row>
    <row r="86" spans="3:12" x14ac:dyDescent="0.25">
      <c r="C86" s="1" t="s">
        <v>35</v>
      </c>
      <c r="D86" s="12">
        <f t="shared" si="3"/>
        <v>79.768908819588276</v>
      </c>
      <c r="E86" s="12">
        <f t="shared" si="3"/>
        <v>87.575639659990529</v>
      </c>
      <c r="F86" s="12">
        <f t="shared" si="3"/>
        <v>115.89609250407094</v>
      </c>
      <c r="G86" s="12">
        <f t="shared" si="3"/>
        <v>135.78856901334177</v>
      </c>
      <c r="H86" s="12">
        <f t="shared" si="3"/>
        <v>157.26183294493092</v>
      </c>
      <c r="I86" s="12">
        <f t="shared" si="3"/>
        <v>170.74243833716434</v>
      </c>
      <c r="J86" s="12">
        <f t="shared" si="3"/>
        <v>188.7400464159642</v>
      </c>
      <c r="K86" s="12" t="e">
        <f t="shared" si="3"/>
        <v>#DIV/0!</v>
      </c>
      <c r="L86" s="12" t="e">
        <f t="shared" si="3"/>
        <v>#DIV/0!</v>
      </c>
    </row>
    <row r="87" spans="3:12" x14ac:dyDescent="0.25">
      <c r="C87" s="1" t="s">
        <v>36</v>
      </c>
      <c r="D87" s="12">
        <f t="shared" si="3"/>
        <v>68.625440330581213</v>
      </c>
      <c r="E87" s="12">
        <f t="shared" si="3"/>
        <v>73.9738658824716</v>
      </c>
      <c r="F87" s="12">
        <f t="shared" si="3"/>
        <v>93.014952866296966</v>
      </c>
      <c r="G87" s="12">
        <f t="shared" si="3"/>
        <v>104.98550959757362</v>
      </c>
      <c r="H87" s="12">
        <f t="shared" si="3"/>
        <v>117.84288797140971</v>
      </c>
      <c r="I87" s="12">
        <f t="shared" si="3"/>
        <v>124.64662975007391</v>
      </c>
      <c r="J87" s="12">
        <f t="shared" si="3"/>
        <v>134.28405534904684</v>
      </c>
      <c r="K87" s="12" t="e">
        <f t="shared" si="3"/>
        <v>#DIV/0!</v>
      </c>
      <c r="L87" s="12" t="e">
        <f t="shared" si="3"/>
        <v>#DIV/0!</v>
      </c>
    </row>
    <row r="88" spans="3:12" x14ac:dyDescent="0.25">
      <c r="C88" s="1" t="s">
        <v>38</v>
      </c>
      <c r="D88" s="12">
        <f t="shared" si="3"/>
        <v>59.708957641573697</v>
      </c>
      <c r="E88" s="12">
        <f t="shared" si="3"/>
        <v>61.286089025117903</v>
      </c>
      <c r="F88" s="12">
        <f t="shared" si="3"/>
        <v>62.763284270184037</v>
      </c>
      <c r="G88" s="12">
        <f t="shared" si="3"/>
        <v>61.747695520026035</v>
      </c>
      <c r="H88" s="12">
        <f t="shared" si="3"/>
        <v>64.14774776644964</v>
      </c>
      <c r="I88" s="12">
        <f t="shared" si="3"/>
        <v>63.496593237215286</v>
      </c>
      <c r="J88" s="12">
        <f t="shared" si="3"/>
        <v>64.617847799519026</v>
      </c>
      <c r="K88" s="12" t="e">
        <f t="shared" si="3"/>
        <v>#DIV/0!</v>
      </c>
      <c r="L88" s="12" t="e">
        <f t="shared" si="3"/>
        <v>#DIV/0!</v>
      </c>
    </row>
    <row r="89" spans="3:12" x14ac:dyDescent="0.25">
      <c r="C89" s="1" t="s">
        <v>39</v>
      </c>
      <c r="D89" s="12">
        <f t="shared" si="3"/>
        <v>80.526381133418496</v>
      </c>
      <c r="E89" s="12">
        <f t="shared" si="3"/>
        <v>88.161475303480287</v>
      </c>
      <c r="F89" s="12">
        <f t="shared" si="3"/>
        <v>116.53698492895995</v>
      </c>
      <c r="G89" s="12">
        <f t="shared" si="3"/>
        <v>136.53089916538235</v>
      </c>
      <c r="H89" s="12">
        <f t="shared" si="3"/>
        <v>157.96040691107808</v>
      </c>
      <c r="I89" s="12">
        <f t="shared" si="3"/>
        <v>171.754963171463</v>
      </c>
      <c r="J89" s="12">
        <f t="shared" si="3"/>
        <v>189.45007930583208</v>
      </c>
      <c r="K89" s="12" t="e">
        <f t="shared" si="3"/>
        <v>#DIV/0!</v>
      </c>
      <c r="L89" s="12" t="e">
        <f t="shared" si="3"/>
        <v>#DIV/0!</v>
      </c>
    </row>
    <row r="90" spans="3:12" x14ac:dyDescent="0.25">
      <c r="C90" s="1" t="s">
        <v>40</v>
      </c>
      <c r="D90" s="12">
        <f t="shared" si="3"/>
        <v>69.285539788292255</v>
      </c>
      <c r="E90" s="12">
        <f t="shared" si="3"/>
        <v>74.390264332140262</v>
      </c>
      <c r="F90" s="12">
        <f t="shared" si="3"/>
        <v>93.625468947979172</v>
      </c>
      <c r="G90" s="12">
        <f t="shared" si="3"/>
        <v>105.49769242024439</v>
      </c>
      <c r="H90" s="12">
        <f t="shared" si="3"/>
        <v>118.43667750011615</v>
      </c>
      <c r="I90" s="12">
        <f t="shared" si="3"/>
        <v>125.37677418081984</v>
      </c>
      <c r="J90" s="12">
        <f t="shared" si="3"/>
        <v>134.80266504688996</v>
      </c>
      <c r="K90" s="12" t="e">
        <f t="shared" si="3"/>
        <v>#DIV/0!</v>
      </c>
      <c r="L90" s="12" t="e">
        <f t="shared" si="3"/>
        <v>#DIV/0!</v>
      </c>
    </row>
    <row r="91" spans="3:12" x14ac:dyDescent="0.25">
      <c r="C91" s="1" t="s">
        <v>41</v>
      </c>
      <c r="D91" s="12" t="e">
        <f t="shared" ref="D91:L106" si="4">D$3/D19</f>
        <v>#DIV/0!</v>
      </c>
      <c r="E91" s="12" t="e">
        <f t="shared" si="4"/>
        <v>#DIV/0!</v>
      </c>
      <c r="F91" s="12" t="e">
        <f t="shared" si="4"/>
        <v>#DIV/0!</v>
      </c>
      <c r="G91" s="12" t="e">
        <f t="shared" si="4"/>
        <v>#DIV/0!</v>
      </c>
      <c r="H91" s="12" t="e">
        <f t="shared" si="4"/>
        <v>#DIV/0!</v>
      </c>
      <c r="I91" s="12" t="e">
        <f t="shared" si="4"/>
        <v>#DIV/0!</v>
      </c>
      <c r="J91" s="12" t="e">
        <f t="shared" si="4"/>
        <v>#DIV/0!</v>
      </c>
      <c r="K91" s="12" t="e">
        <f t="shared" si="4"/>
        <v>#DIV/0!</v>
      </c>
      <c r="L91" s="12" t="e">
        <f t="shared" si="4"/>
        <v>#DIV/0!</v>
      </c>
    </row>
    <row r="92" spans="3:12" x14ac:dyDescent="0.25">
      <c r="C92" s="1" t="s">
        <v>43</v>
      </c>
      <c r="D92" s="12" t="e">
        <f t="shared" si="4"/>
        <v>#DIV/0!</v>
      </c>
      <c r="E92" s="12" t="e">
        <f t="shared" si="4"/>
        <v>#DIV/0!</v>
      </c>
      <c r="F92" s="12" t="e">
        <f t="shared" si="4"/>
        <v>#DIV/0!</v>
      </c>
      <c r="G92" s="12" t="e">
        <f t="shared" si="4"/>
        <v>#DIV/0!</v>
      </c>
      <c r="H92" s="12" t="e">
        <f t="shared" si="4"/>
        <v>#DIV/0!</v>
      </c>
      <c r="I92" s="12" t="e">
        <f t="shared" si="4"/>
        <v>#DIV/0!</v>
      </c>
      <c r="J92" s="12" t="e">
        <f t="shared" si="4"/>
        <v>#DIV/0!</v>
      </c>
      <c r="K92" s="12" t="e">
        <f t="shared" si="4"/>
        <v>#DIV/0!</v>
      </c>
      <c r="L92" s="12" t="e">
        <f t="shared" si="4"/>
        <v>#DIV/0!</v>
      </c>
    </row>
    <row r="93" spans="3:12" x14ac:dyDescent="0.25">
      <c r="C93" s="1" t="s">
        <v>44</v>
      </c>
      <c r="D93" s="12">
        <f t="shared" si="4"/>
        <v>19.409224711569635</v>
      </c>
      <c r="E93" s="12">
        <f t="shared" si="4"/>
        <v>20.558552638536938</v>
      </c>
      <c r="F93" s="12">
        <f t="shared" si="4"/>
        <v>22.080958146572208</v>
      </c>
      <c r="G93" s="12">
        <f t="shared" si="4"/>
        <v>23.06673235243812</v>
      </c>
      <c r="H93" s="12">
        <f t="shared" si="4"/>
        <v>11.49859667760982</v>
      </c>
      <c r="I93" s="12">
        <f t="shared" si="4"/>
        <v>8.9799487216297607</v>
      </c>
      <c r="J93" s="12">
        <f t="shared" si="4"/>
        <v>10.209947003468477</v>
      </c>
      <c r="K93" s="12" t="e">
        <f t="shared" si="4"/>
        <v>#DIV/0!</v>
      </c>
      <c r="L93" s="12" t="e">
        <f t="shared" si="4"/>
        <v>#DIV/0!</v>
      </c>
    </row>
    <row r="94" spans="3:12" x14ac:dyDescent="0.25">
      <c r="C94" s="1" t="s">
        <v>37</v>
      </c>
      <c r="D94" s="12">
        <f t="shared" si="4"/>
        <v>25.452189926990972</v>
      </c>
      <c r="E94" s="12">
        <f t="shared" si="4"/>
        <v>25.257568552860999</v>
      </c>
      <c r="F94" s="12">
        <f t="shared" si="4"/>
        <v>29.256212250223424</v>
      </c>
      <c r="G94" s="12">
        <f t="shared" si="4"/>
        <v>28.449185465709522</v>
      </c>
      <c r="H94" s="12">
        <f t="shared" si="4"/>
        <v>30.713456936037968</v>
      </c>
      <c r="I94" s="12">
        <f t="shared" si="4"/>
        <v>31.728088884138987</v>
      </c>
      <c r="J94" s="12">
        <f t="shared" si="4"/>
        <v>32.192415613158992</v>
      </c>
      <c r="K94" s="12" t="e">
        <f t="shared" si="4"/>
        <v>#DIV/0!</v>
      </c>
      <c r="L94" s="12" t="e">
        <f t="shared" si="4"/>
        <v>#DIV/0!</v>
      </c>
    </row>
    <row r="95" spans="3:12" x14ac:dyDescent="0.25">
      <c r="C95" s="1" t="s">
        <v>42</v>
      </c>
      <c r="D95" s="12" t="e">
        <f t="shared" si="4"/>
        <v>#DIV/0!</v>
      </c>
      <c r="E95" s="12" t="e">
        <f t="shared" si="4"/>
        <v>#DIV/0!</v>
      </c>
      <c r="F95" s="12" t="e">
        <f t="shared" si="4"/>
        <v>#DIV/0!</v>
      </c>
      <c r="G95" s="12" t="e">
        <f t="shared" si="4"/>
        <v>#DIV/0!</v>
      </c>
      <c r="H95" s="12" t="e">
        <f t="shared" si="4"/>
        <v>#DIV/0!</v>
      </c>
      <c r="I95" s="12" t="e">
        <f t="shared" si="4"/>
        <v>#DIV/0!</v>
      </c>
      <c r="J95" s="12" t="e">
        <f t="shared" si="4"/>
        <v>#DIV/0!</v>
      </c>
      <c r="K95" s="12" t="e">
        <f t="shared" si="4"/>
        <v>#DIV/0!</v>
      </c>
      <c r="L95" s="12" t="e">
        <f t="shared" si="4"/>
        <v>#DIV/0!</v>
      </c>
    </row>
    <row r="96" spans="3:12" x14ac:dyDescent="0.25">
      <c r="C96" s="1" t="s">
        <v>103</v>
      </c>
      <c r="D96" s="12" t="e">
        <f t="shared" si="4"/>
        <v>#DIV/0!</v>
      </c>
      <c r="E96" s="12" t="e">
        <f t="shared" si="4"/>
        <v>#DIV/0!</v>
      </c>
      <c r="F96" s="12" t="e">
        <f t="shared" si="4"/>
        <v>#DIV/0!</v>
      </c>
      <c r="G96" s="12" t="e">
        <f t="shared" si="4"/>
        <v>#DIV/0!</v>
      </c>
      <c r="H96" s="12" t="e">
        <f t="shared" si="4"/>
        <v>#DIV/0!</v>
      </c>
      <c r="I96" s="12" t="e">
        <f t="shared" si="4"/>
        <v>#DIV/0!</v>
      </c>
      <c r="J96" s="12" t="e">
        <f t="shared" si="4"/>
        <v>#DIV/0!</v>
      </c>
      <c r="K96" s="12" t="e">
        <f t="shared" si="4"/>
        <v>#DIV/0!</v>
      </c>
      <c r="L96" s="12" t="e">
        <f t="shared" si="4"/>
        <v>#DIV/0!</v>
      </c>
    </row>
    <row r="97" spans="3:12" x14ac:dyDescent="0.25">
      <c r="C97" s="1" t="s">
        <v>9</v>
      </c>
      <c r="D97" s="12" t="e">
        <f t="shared" si="4"/>
        <v>#DIV/0!</v>
      </c>
      <c r="E97" s="12" t="e">
        <f t="shared" si="4"/>
        <v>#DIV/0!</v>
      </c>
      <c r="F97" s="12" t="e">
        <f t="shared" si="4"/>
        <v>#DIV/0!</v>
      </c>
      <c r="G97" s="12" t="e">
        <f t="shared" si="4"/>
        <v>#DIV/0!</v>
      </c>
      <c r="H97" s="12" t="e">
        <f t="shared" si="4"/>
        <v>#DIV/0!</v>
      </c>
      <c r="I97" s="12" t="e">
        <f t="shared" si="4"/>
        <v>#DIV/0!</v>
      </c>
      <c r="J97" s="12" t="e">
        <f t="shared" si="4"/>
        <v>#DIV/0!</v>
      </c>
      <c r="K97" s="12" t="e">
        <f t="shared" si="4"/>
        <v>#DIV/0!</v>
      </c>
      <c r="L97" s="12" t="e">
        <f t="shared" si="4"/>
        <v>#DIV/0!</v>
      </c>
    </row>
    <row r="98" spans="3:12" x14ac:dyDescent="0.25">
      <c r="C98" s="1" t="s">
        <v>10</v>
      </c>
      <c r="D98" s="12" t="e">
        <f t="shared" si="4"/>
        <v>#DIV/0!</v>
      </c>
      <c r="E98" s="12" t="e">
        <f t="shared" si="4"/>
        <v>#DIV/0!</v>
      </c>
      <c r="F98" s="12" t="e">
        <f t="shared" si="4"/>
        <v>#DIV/0!</v>
      </c>
      <c r="G98" s="12" t="e">
        <f t="shared" si="4"/>
        <v>#DIV/0!</v>
      </c>
      <c r="H98" s="12" t="e">
        <f t="shared" si="4"/>
        <v>#DIV/0!</v>
      </c>
      <c r="I98" s="12" t="e">
        <f t="shared" si="4"/>
        <v>#DIV/0!</v>
      </c>
      <c r="J98" s="12" t="e">
        <f t="shared" si="4"/>
        <v>#DIV/0!</v>
      </c>
      <c r="K98" s="12" t="e">
        <f t="shared" si="4"/>
        <v>#DIV/0!</v>
      </c>
      <c r="L98" s="12" t="e">
        <f t="shared" si="4"/>
        <v>#DIV/0!</v>
      </c>
    </row>
    <row r="99" spans="3:12" x14ac:dyDescent="0.25">
      <c r="C99" s="1" t="s">
        <v>25</v>
      </c>
      <c r="D99" s="12" t="e">
        <f t="shared" si="4"/>
        <v>#DIV/0!</v>
      </c>
      <c r="E99" s="12" t="e">
        <f t="shared" si="4"/>
        <v>#DIV/0!</v>
      </c>
      <c r="F99" s="12" t="e">
        <f t="shared" si="4"/>
        <v>#DIV/0!</v>
      </c>
      <c r="G99" s="12" t="e">
        <f t="shared" si="4"/>
        <v>#DIV/0!</v>
      </c>
      <c r="H99" s="12" t="e">
        <f t="shared" si="4"/>
        <v>#DIV/0!</v>
      </c>
      <c r="I99" s="12" t="e">
        <f t="shared" si="4"/>
        <v>#DIV/0!</v>
      </c>
      <c r="J99" s="12" t="e">
        <f t="shared" si="4"/>
        <v>#DIV/0!</v>
      </c>
      <c r="K99" s="12" t="e">
        <f t="shared" si="4"/>
        <v>#DIV/0!</v>
      </c>
      <c r="L99" s="12" t="e">
        <f t="shared" si="4"/>
        <v>#DIV/0!</v>
      </c>
    </row>
    <row r="100" spans="3:12" x14ac:dyDescent="0.25">
      <c r="C100" s="1" t="s">
        <v>27</v>
      </c>
      <c r="D100" s="12" t="e">
        <f t="shared" si="4"/>
        <v>#DIV/0!</v>
      </c>
      <c r="E100" s="12" t="e">
        <f t="shared" si="4"/>
        <v>#DIV/0!</v>
      </c>
      <c r="F100" s="12" t="e">
        <f t="shared" si="4"/>
        <v>#DIV/0!</v>
      </c>
      <c r="G100" s="12" t="e">
        <f t="shared" si="4"/>
        <v>#DIV/0!</v>
      </c>
      <c r="H100" s="12" t="e">
        <f t="shared" si="4"/>
        <v>#DIV/0!</v>
      </c>
      <c r="I100" s="12" t="e">
        <f t="shared" si="4"/>
        <v>#DIV/0!</v>
      </c>
      <c r="J100" s="12" t="e">
        <f t="shared" si="4"/>
        <v>#DIV/0!</v>
      </c>
      <c r="K100" s="12" t="e">
        <f t="shared" si="4"/>
        <v>#DIV/0!</v>
      </c>
      <c r="L100" s="12" t="e">
        <f t="shared" si="4"/>
        <v>#DIV/0!</v>
      </c>
    </row>
    <row r="101" spans="3:12" x14ac:dyDescent="0.25">
      <c r="C101" s="1" t="s">
        <v>8</v>
      </c>
      <c r="D101" s="12" t="e">
        <f t="shared" si="4"/>
        <v>#DIV/0!</v>
      </c>
      <c r="E101" s="12" t="e">
        <f t="shared" si="4"/>
        <v>#DIV/0!</v>
      </c>
      <c r="F101" s="12" t="e">
        <f t="shared" si="4"/>
        <v>#DIV/0!</v>
      </c>
      <c r="G101" s="12" t="e">
        <f t="shared" si="4"/>
        <v>#DIV/0!</v>
      </c>
      <c r="H101" s="12" t="e">
        <f t="shared" si="4"/>
        <v>#DIV/0!</v>
      </c>
      <c r="I101" s="12" t="e">
        <f t="shared" si="4"/>
        <v>#DIV/0!</v>
      </c>
      <c r="J101" s="12" t="e">
        <f t="shared" si="4"/>
        <v>#DIV/0!</v>
      </c>
      <c r="K101" s="12" t="e">
        <f t="shared" si="4"/>
        <v>#DIV/0!</v>
      </c>
      <c r="L101" s="12" t="e">
        <f t="shared" si="4"/>
        <v>#DIV/0!</v>
      </c>
    </row>
    <row r="102" spans="3:12" x14ac:dyDescent="0.25">
      <c r="C102" s="1" t="s">
        <v>30</v>
      </c>
      <c r="D102" s="12" t="e">
        <f t="shared" si="4"/>
        <v>#DIV/0!</v>
      </c>
      <c r="E102" s="12" t="e">
        <f t="shared" si="4"/>
        <v>#DIV/0!</v>
      </c>
      <c r="F102" s="12" t="e">
        <f t="shared" si="4"/>
        <v>#DIV/0!</v>
      </c>
      <c r="G102" s="12" t="e">
        <f t="shared" si="4"/>
        <v>#DIV/0!</v>
      </c>
      <c r="H102" s="12" t="e">
        <f t="shared" si="4"/>
        <v>#DIV/0!</v>
      </c>
      <c r="I102" s="12" t="e">
        <f t="shared" si="4"/>
        <v>#DIV/0!</v>
      </c>
      <c r="J102" s="12" t="e">
        <f t="shared" si="4"/>
        <v>#DIV/0!</v>
      </c>
      <c r="K102" s="12" t="e">
        <f t="shared" si="4"/>
        <v>#DIV/0!</v>
      </c>
      <c r="L102" s="12" t="e">
        <f t="shared" si="4"/>
        <v>#DIV/0!</v>
      </c>
    </row>
    <row r="103" spans="3:12" x14ac:dyDescent="0.25">
      <c r="C103" s="1" t="s">
        <v>103</v>
      </c>
      <c r="D103" s="12" t="e">
        <f t="shared" si="4"/>
        <v>#DIV/0!</v>
      </c>
      <c r="E103" s="12" t="e">
        <f t="shared" si="4"/>
        <v>#DIV/0!</v>
      </c>
      <c r="F103" s="12" t="e">
        <f t="shared" si="4"/>
        <v>#DIV/0!</v>
      </c>
      <c r="G103" s="12" t="e">
        <f t="shared" si="4"/>
        <v>#DIV/0!</v>
      </c>
      <c r="H103" s="12" t="e">
        <f t="shared" si="4"/>
        <v>#DIV/0!</v>
      </c>
      <c r="I103" s="12" t="e">
        <f t="shared" si="4"/>
        <v>#DIV/0!</v>
      </c>
      <c r="J103" s="12" t="e">
        <f t="shared" si="4"/>
        <v>#DIV/0!</v>
      </c>
      <c r="K103" s="12" t="e">
        <f t="shared" si="4"/>
        <v>#DIV/0!</v>
      </c>
      <c r="L103" s="12" t="e">
        <f t="shared" si="4"/>
        <v>#DIV/0!</v>
      </c>
    </row>
    <row r="104" spans="3:12" x14ac:dyDescent="0.25">
      <c r="C104" s="1" t="s">
        <v>10</v>
      </c>
      <c r="D104" s="12" t="e">
        <f t="shared" si="4"/>
        <v>#DIV/0!</v>
      </c>
      <c r="E104" s="12" t="e">
        <f t="shared" si="4"/>
        <v>#DIV/0!</v>
      </c>
      <c r="F104" s="12" t="e">
        <f t="shared" si="4"/>
        <v>#DIV/0!</v>
      </c>
      <c r="G104" s="12" t="e">
        <f t="shared" si="4"/>
        <v>#DIV/0!</v>
      </c>
      <c r="H104" s="12" t="e">
        <f t="shared" si="4"/>
        <v>#DIV/0!</v>
      </c>
      <c r="I104" s="12" t="e">
        <f t="shared" si="4"/>
        <v>#DIV/0!</v>
      </c>
      <c r="J104" s="12" t="e">
        <f t="shared" si="4"/>
        <v>#DIV/0!</v>
      </c>
      <c r="K104" s="12" t="e">
        <f t="shared" si="4"/>
        <v>#DIV/0!</v>
      </c>
      <c r="L104" s="12" t="e">
        <f t="shared" si="4"/>
        <v>#DIV/0!</v>
      </c>
    </row>
    <row r="105" spans="3:12" x14ac:dyDescent="0.25">
      <c r="C105" s="1" t="s">
        <v>104</v>
      </c>
      <c r="D105" s="12" t="e">
        <f t="shared" si="4"/>
        <v>#DIV/0!</v>
      </c>
      <c r="E105" s="12" t="e">
        <f t="shared" si="4"/>
        <v>#DIV/0!</v>
      </c>
      <c r="F105" s="12" t="e">
        <f t="shared" si="4"/>
        <v>#DIV/0!</v>
      </c>
      <c r="G105" s="12" t="e">
        <f t="shared" si="4"/>
        <v>#DIV/0!</v>
      </c>
      <c r="H105" s="12" t="e">
        <f t="shared" si="4"/>
        <v>#DIV/0!</v>
      </c>
      <c r="I105" s="12" t="e">
        <f t="shared" si="4"/>
        <v>#DIV/0!</v>
      </c>
      <c r="J105" s="12" t="e">
        <f t="shared" si="4"/>
        <v>#DIV/0!</v>
      </c>
      <c r="K105" s="12" t="e">
        <f t="shared" si="4"/>
        <v>#DIV/0!</v>
      </c>
      <c r="L105" s="12" t="e">
        <f t="shared" si="4"/>
        <v>#DIV/0!</v>
      </c>
    </row>
    <row r="106" spans="3:12" x14ac:dyDescent="0.25">
      <c r="C106" s="1" t="s">
        <v>105</v>
      </c>
      <c r="D106" s="12" t="e">
        <f t="shared" si="4"/>
        <v>#DIV/0!</v>
      </c>
      <c r="E106" s="12" t="e">
        <f t="shared" si="4"/>
        <v>#DIV/0!</v>
      </c>
      <c r="F106" s="12" t="e">
        <f t="shared" si="4"/>
        <v>#DIV/0!</v>
      </c>
      <c r="G106" s="12" t="e">
        <f t="shared" si="4"/>
        <v>#DIV/0!</v>
      </c>
      <c r="H106" s="12" t="e">
        <f t="shared" si="4"/>
        <v>#DIV/0!</v>
      </c>
      <c r="I106" s="12" t="e">
        <f t="shared" si="4"/>
        <v>#DIV/0!</v>
      </c>
      <c r="J106" s="12" t="e">
        <f t="shared" si="4"/>
        <v>#DIV/0!</v>
      </c>
      <c r="K106" s="12" t="e">
        <f t="shared" si="4"/>
        <v>#DIV/0!</v>
      </c>
      <c r="L106" s="12" t="e">
        <f t="shared" si="4"/>
        <v>#DIV/0!</v>
      </c>
    </row>
    <row r="109" spans="3:12" x14ac:dyDescent="0.25">
      <c r="C109" t="s">
        <v>3</v>
      </c>
    </row>
    <row r="110" spans="3:12" x14ac:dyDescent="0.25">
      <c r="C110" s="1">
        <v>50</v>
      </c>
      <c r="D110" s="2">
        <v>2</v>
      </c>
      <c r="E110" s="3">
        <v>4</v>
      </c>
      <c r="F110" s="2">
        <v>8</v>
      </c>
      <c r="G110" s="2">
        <v>16</v>
      </c>
      <c r="H110" s="2">
        <v>32</v>
      </c>
      <c r="I110" s="2">
        <v>64</v>
      </c>
      <c r="J110" s="2">
        <v>128</v>
      </c>
      <c r="K110" s="2">
        <v>256</v>
      </c>
      <c r="L110" s="2">
        <v>512</v>
      </c>
    </row>
    <row r="111" spans="3:12" x14ac:dyDescent="0.25">
      <c r="C111" s="1"/>
      <c r="D111" s="4">
        <v>42</v>
      </c>
      <c r="E111" s="4">
        <v>84</v>
      </c>
      <c r="F111" s="4">
        <v>168</v>
      </c>
      <c r="G111" s="4">
        <v>336</v>
      </c>
      <c r="H111" s="4">
        <v>672</v>
      </c>
      <c r="I111" s="4">
        <v>1344</v>
      </c>
      <c r="J111" s="4">
        <v>2688</v>
      </c>
      <c r="K111" s="4">
        <v>5376</v>
      </c>
      <c r="L111" s="4">
        <v>10752</v>
      </c>
    </row>
    <row r="112" spans="3:12" x14ac:dyDescent="0.25">
      <c r="C112" s="1" t="s">
        <v>1</v>
      </c>
      <c r="D112" s="1">
        <v>11498.250379839999</v>
      </c>
      <c r="E112" s="1">
        <v>3877.8759590000013</v>
      </c>
      <c r="F112" s="1">
        <v>125074.76213000012</v>
      </c>
      <c r="G112" s="1">
        <v>30221.512466000062</v>
      </c>
      <c r="H112" s="1">
        <v>3420283.9930760013</v>
      </c>
      <c r="I112" s="1">
        <v>7818631.1302189985</v>
      </c>
      <c r="J112" s="1">
        <v>23987376.536843002</v>
      </c>
      <c r="K112" s="1"/>
      <c r="L112" s="1"/>
    </row>
    <row r="113" spans="3:12" x14ac:dyDescent="0.25">
      <c r="C113" s="1" t="s">
        <v>2</v>
      </c>
      <c r="D113" s="1">
        <v>225.48720875039999</v>
      </c>
      <c r="E113" s="1">
        <v>220.00809575999997</v>
      </c>
      <c r="F113" s="1">
        <v>1291.1690270000011</v>
      </c>
      <c r="G113" s="1">
        <v>1399.912760760001</v>
      </c>
      <c r="H113" s="1">
        <v>47035.096712999992</v>
      </c>
      <c r="I113" s="1">
        <v>13616.932724999991</v>
      </c>
      <c r="J113" s="1">
        <v>53312.779519999967</v>
      </c>
      <c r="K113" s="1"/>
      <c r="L113" s="1"/>
    </row>
    <row r="114" spans="3:12" x14ac:dyDescent="0.25">
      <c r="C114" s="1" t="s">
        <v>4</v>
      </c>
      <c r="D114" s="1">
        <v>264.68739104040014</v>
      </c>
      <c r="E114" s="1">
        <v>94.542759560000093</v>
      </c>
      <c r="F114" s="1">
        <v>69.332745960000096</v>
      </c>
      <c r="G114" s="1">
        <v>1001.5821030000023</v>
      </c>
      <c r="H114" s="6">
        <v>3770.8218924399985</v>
      </c>
      <c r="I114" s="1">
        <v>8019.7253470000032</v>
      </c>
      <c r="J114" s="1">
        <v>12682.268723000012</v>
      </c>
      <c r="K114" s="1"/>
      <c r="L114" s="1"/>
    </row>
    <row r="115" spans="3:12" x14ac:dyDescent="0.25">
      <c r="C115" s="1" t="s">
        <v>5</v>
      </c>
      <c r="D115" s="1">
        <v>43.13454695999998</v>
      </c>
      <c r="E115" s="1">
        <v>195.46965504000002</v>
      </c>
      <c r="F115" s="1">
        <v>268.65356875999976</v>
      </c>
      <c r="G115" s="1">
        <v>1479.7701079999999</v>
      </c>
      <c r="H115" s="1">
        <v>38475.371345840009</v>
      </c>
      <c r="I115" s="1">
        <v>23028.420931999972</v>
      </c>
      <c r="J115" s="1">
        <v>934054.5533029997</v>
      </c>
      <c r="K115" s="1"/>
      <c r="L115" s="1"/>
    </row>
    <row r="116" spans="3:12" x14ac:dyDescent="0.25">
      <c r="C116" s="1" t="s">
        <v>6</v>
      </c>
      <c r="D116" s="1"/>
      <c r="E116" s="1">
        <v>105.75440724000026</v>
      </c>
      <c r="F116" s="1">
        <v>377.37004655999954</v>
      </c>
      <c r="G116" s="1">
        <v>1034.4078822399988</v>
      </c>
      <c r="H116" s="1">
        <v>7591.8979848399968</v>
      </c>
      <c r="I116" s="1">
        <v>16718.369272</v>
      </c>
      <c r="J116" s="1">
        <v>1830133.7665100002</v>
      </c>
      <c r="K116" s="1"/>
      <c r="L116" s="1"/>
    </row>
    <row r="117" spans="3:12" x14ac:dyDescent="0.25">
      <c r="C117" s="1" t="s">
        <v>7</v>
      </c>
      <c r="D117" s="1"/>
      <c r="E117" s="1">
        <v>108.81129863999995</v>
      </c>
      <c r="F117" s="1">
        <v>317.37807800000013</v>
      </c>
      <c r="G117" s="1">
        <v>730.14570300000014</v>
      </c>
      <c r="H117" s="1">
        <v>124595.321883</v>
      </c>
      <c r="I117" s="1">
        <v>18364.407593999997</v>
      </c>
      <c r="J117" s="1">
        <v>36667.404528999934</v>
      </c>
      <c r="K117" s="1"/>
      <c r="L117" s="1"/>
    </row>
    <row r="118" spans="3:12" x14ac:dyDescent="0.25">
      <c r="C118" s="1" t="s">
        <v>8</v>
      </c>
      <c r="D118" s="1">
        <v>420.80370355039997</v>
      </c>
      <c r="E118" s="1">
        <v>126.2758983199999</v>
      </c>
      <c r="F118" s="1">
        <v>292.73158036000007</v>
      </c>
      <c r="G118" s="1">
        <v>135.31768043999995</v>
      </c>
      <c r="H118" s="1">
        <v>802.54317864000041</v>
      </c>
      <c r="I118" s="1">
        <v>1230.8642815600022</v>
      </c>
      <c r="J118" s="1">
        <v>2102.3650550000152</v>
      </c>
      <c r="K118" s="1"/>
      <c r="L118" s="4"/>
    </row>
    <row r="119" spans="3:12" x14ac:dyDescent="0.25">
      <c r="C119" s="1" t="s">
        <v>9</v>
      </c>
      <c r="D119" s="1">
        <v>208.45225184960006</v>
      </c>
      <c r="E119" s="1">
        <v>1960.1624421599995</v>
      </c>
      <c r="F119" s="1">
        <v>1845.6397228400001</v>
      </c>
      <c r="G119" s="1">
        <v>10605.614858439998</v>
      </c>
      <c r="H119" s="1">
        <v>71265.123388999957</v>
      </c>
      <c r="I119" s="1">
        <v>40174.222804999998</v>
      </c>
      <c r="J119" s="1">
        <v>7111.6785799999552</v>
      </c>
      <c r="K119" s="1"/>
      <c r="L119" s="1"/>
    </row>
    <row r="120" spans="3:12" x14ac:dyDescent="0.25">
      <c r="C120" s="1" t="s">
        <v>10</v>
      </c>
      <c r="D120" s="1"/>
      <c r="E120" s="1">
        <v>190.33316709000019</v>
      </c>
      <c r="F120" s="1">
        <v>11445.27635701</v>
      </c>
      <c r="G120" s="1">
        <v>492.28101744000008</v>
      </c>
      <c r="H120" s="1">
        <v>3908.9473211600002</v>
      </c>
      <c r="I120" s="1">
        <v>1903.0849201599995</v>
      </c>
      <c r="J120" s="1">
        <v>3192.6897400000025</v>
      </c>
      <c r="K120" s="1"/>
      <c r="L120" s="1"/>
    </row>
    <row r="121" spans="3:12" x14ac:dyDescent="0.25">
      <c r="C121" s="1" t="s">
        <v>13</v>
      </c>
      <c r="D121" s="1">
        <v>440.01813035560019</v>
      </c>
      <c r="E121" s="1">
        <v>496.41035612000042</v>
      </c>
      <c r="F121" s="1">
        <v>2357.7924625200008</v>
      </c>
      <c r="G121" s="1">
        <v>1698.0247884</v>
      </c>
      <c r="H121" s="1">
        <v>39549.649068520004</v>
      </c>
      <c r="I121" s="1">
        <v>12301.854527</v>
      </c>
      <c r="J121" s="1">
        <v>25840.655780999972</v>
      </c>
      <c r="K121" s="1"/>
      <c r="L121" s="1"/>
    </row>
    <row r="122" spans="3:12" x14ac:dyDescent="0.25">
      <c r="C122" s="1" t="s">
        <v>14</v>
      </c>
      <c r="D122" s="1">
        <v>519.92839393000008</v>
      </c>
      <c r="E122" s="1">
        <v>124.15633335880011</v>
      </c>
      <c r="F122" s="1">
        <v>120.18483940000007</v>
      </c>
      <c r="G122" s="1">
        <v>519.07987212000035</v>
      </c>
      <c r="H122" s="1">
        <v>565.71814291999897</v>
      </c>
      <c r="I122" s="1">
        <v>783.29452640000591</v>
      </c>
      <c r="J122" s="1">
        <v>2996.5743080000125</v>
      </c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2" spans="3:12" x14ac:dyDescent="0.25">
      <c r="C132" t="s">
        <v>15</v>
      </c>
    </row>
    <row r="133" spans="3:12" x14ac:dyDescent="0.25">
      <c r="C133" s="1">
        <v>50</v>
      </c>
      <c r="D133" s="2">
        <v>2</v>
      </c>
      <c r="E133" s="3">
        <v>4</v>
      </c>
      <c r="F133" s="2">
        <v>8</v>
      </c>
      <c r="G133" s="2">
        <v>16</v>
      </c>
      <c r="H133" s="2">
        <v>32</v>
      </c>
      <c r="I133" s="2">
        <v>64</v>
      </c>
      <c r="J133" s="2">
        <v>128</v>
      </c>
      <c r="K133" s="2">
        <v>256</v>
      </c>
      <c r="L133" s="2">
        <v>512</v>
      </c>
    </row>
    <row r="134" spans="3:12" x14ac:dyDescent="0.25">
      <c r="C134" s="1"/>
      <c r="D134" s="4">
        <v>42</v>
      </c>
      <c r="E134" s="4">
        <v>84</v>
      </c>
      <c r="F134" s="4">
        <v>168</v>
      </c>
      <c r="G134" s="4">
        <v>336</v>
      </c>
      <c r="H134" s="4">
        <v>672</v>
      </c>
      <c r="I134" s="4">
        <v>1344</v>
      </c>
      <c r="J134" s="4">
        <v>2688</v>
      </c>
      <c r="K134" s="4">
        <v>5376</v>
      </c>
      <c r="L134" s="4">
        <v>10752</v>
      </c>
    </row>
    <row r="135" spans="3:12" x14ac:dyDescent="0.25">
      <c r="C135" s="1" t="s">
        <v>1</v>
      </c>
      <c r="D135" s="1">
        <v>29.72261047054694</v>
      </c>
      <c r="E135" s="1">
        <v>17.26108240180459</v>
      </c>
      <c r="F135" s="1">
        <v>98.029302374199148</v>
      </c>
      <c r="G135" s="1">
        <v>48.186919862009397</v>
      </c>
      <c r="H135" s="1">
        <v>512.62779846201795</v>
      </c>
      <c r="I135" s="1">
        <v>775.06197622963418</v>
      </c>
      <c r="J135" s="1">
        <v>1357.5706663296471</v>
      </c>
      <c r="K135" s="1"/>
      <c r="L135" s="1"/>
    </row>
    <row r="136" spans="3:12" x14ac:dyDescent="0.25">
      <c r="C136" s="1" t="s">
        <v>2</v>
      </c>
      <c r="D136" s="1">
        <v>4.1622870183002432</v>
      </c>
      <c r="E136" s="1">
        <v>4.1114063303731383</v>
      </c>
      <c r="F136" s="1">
        <v>9.9600752347793069</v>
      </c>
      <c r="G136" s="1">
        <v>10.371021995671997</v>
      </c>
      <c r="H136" s="1">
        <v>60.114894582401242</v>
      </c>
      <c r="I136" s="1">
        <v>32.345265111406945</v>
      </c>
      <c r="J136" s="1">
        <v>64.000995899131425</v>
      </c>
      <c r="K136" s="1"/>
      <c r="L136" s="1"/>
    </row>
    <row r="137" spans="3:12" x14ac:dyDescent="0.25">
      <c r="C137" s="1" t="s">
        <v>4</v>
      </c>
      <c r="D137" s="1">
        <v>4.5095966148222191</v>
      </c>
      <c r="E137" s="1">
        <v>2.695164058552638</v>
      </c>
      <c r="F137" s="1">
        <v>2.3080237298604032</v>
      </c>
      <c r="G137" s="1">
        <v>8.7723176035581485</v>
      </c>
      <c r="H137" s="6">
        <v>17.021157059376133</v>
      </c>
      <c r="I137" s="1">
        <v>24.822802780119414</v>
      </c>
      <c r="J137" s="1">
        <v>31.215446024773321</v>
      </c>
      <c r="K137" s="1"/>
      <c r="L137" s="1"/>
    </row>
    <row r="138" spans="3:12" x14ac:dyDescent="0.25">
      <c r="C138" s="1" t="s">
        <v>5</v>
      </c>
      <c r="D138" s="1">
        <v>1.8204706841997533</v>
      </c>
      <c r="E138" s="1">
        <v>3.8753483115757841</v>
      </c>
      <c r="F138" s="1">
        <v>4.5432577513242967</v>
      </c>
      <c r="G138" s="1">
        <v>10.662724648881072</v>
      </c>
      <c r="H138" s="1">
        <v>54.370393885308381</v>
      </c>
      <c r="I138" s="1">
        <v>42.063281339517744</v>
      </c>
      <c r="J138" s="1">
        <v>267.89042431445</v>
      </c>
      <c r="K138" s="1"/>
      <c r="L138" s="1"/>
    </row>
    <row r="139" spans="3:12" x14ac:dyDescent="0.25">
      <c r="C139" s="1" t="s">
        <v>6</v>
      </c>
      <c r="D139" s="1" t="e">
        <v>#DIV/0!</v>
      </c>
      <c r="E139" s="1">
        <v>2.8504951529626745</v>
      </c>
      <c r="F139" s="1">
        <v>5.3846165524852259</v>
      </c>
      <c r="G139" s="1">
        <v>8.914910342132643</v>
      </c>
      <c r="H139" s="1">
        <v>24.151619116970743</v>
      </c>
      <c r="I139" s="1">
        <v>35.840002063424933</v>
      </c>
      <c r="J139" s="1">
        <v>374.9837830473424</v>
      </c>
      <c r="K139" s="1"/>
      <c r="L139" s="1"/>
    </row>
    <row r="140" spans="3:12" x14ac:dyDescent="0.25">
      <c r="C140" s="1" t="s">
        <v>7</v>
      </c>
      <c r="D140" s="1" t="e">
        <v>#DIV/0!</v>
      </c>
      <c r="E140" s="1">
        <v>2.8913992628325262</v>
      </c>
      <c r="F140" s="1">
        <v>4.9380960388489825</v>
      </c>
      <c r="G140" s="1">
        <v>7.4898968386017177</v>
      </c>
      <c r="H140" s="1">
        <v>97.841237578613317</v>
      </c>
      <c r="I140" s="1">
        <v>37.562936044220613</v>
      </c>
      <c r="J140" s="1">
        <v>53.077584956101035</v>
      </c>
      <c r="K140" s="1"/>
      <c r="L140" s="1"/>
    </row>
    <row r="141" spans="3:12" x14ac:dyDescent="0.25">
      <c r="C141" s="1" t="s">
        <v>8</v>
      </c>
      <c r="D141" s="1">
        <v>5.686052246610501</v>
      </c>
      <c r="E141" s="1">
        <v>3.1148081513509354</v>
      </c>
      <c r="F141" s="1">
        <v>4.7424838199217421</v>
      </c>
      <c r="G141" s="1">
        <v>3.2243957610017526</v>
      </c>
      <c r="H141" s="1">
        <v>7.8524516872928611</v>
      </c>
      <c r="I141" s="1">
        <v>9.724698683291841</v>
      </c>
      <c r="J141" s="1">
        <v>12.709402499951016</v>
      </c>
      <c r="K141" s="1"/>
      <c r="L141" s="4"/>
    </row>
    <row r="142" spans="3:12" x14ac:dyDescent="0.25">
      <c r="C142" s="1" t="s">
        <v>9</v>
      </c>
      <c r="D142" s="1">
        <v>4.0019749392154456</v>
      </c>
      <c r="E142" s="1">
        <v>12.272049574379867</v>
      </c>
      <c r="F142" s="1">
        <v>11.908156498184045</v>
      </c>
      <c r="G142" s="1">
        <v>28.545588114517134</v>
      </c>
      <c r="H142" s="1">
        <v>73.996229364905091</v>
      </c>
      <c r="I142" s="1">
        <v>55.557770712599329</v>
      </c>
      <c r="J142" s="1">
        <v>23.375296546965053</v>
      </c>
      <c r="K142" s="1"/>
      <c r="L142" s="1"/>
    </row>
    <row r="143" spans="3:12" x14ac:dyDescent="0.25">
      <c r="C143" s="1" t="s">
        <v>10</v>
      </c>
      <c r="D143" s="1" t="e">
        <v>#DIV/0!</v>
      </c>
      <c r="E143" s="1">
        <v>3.8240917737233882</v>
      </c>
      <c r="F143" s="1">
        <v>29.654063348246094</v>
      </c>
      <c r="G143" s="1">
        <v>6.1500353764795603</v>
      </c>
      <c r="H143" s="1">
        <v>17.330096381133174</v>
      </c>
      <c r="I143" s="1">
        <v>12.09205609421876</v>
      </c>
      <c r="J143" s="1">
        <v>15.662079622568651</v>
      </c>
      <c r="K143" s="1"/>
      <c r="L143" s="1"/>
    </row>
    <row r="144" spans="3:12" x14ac:dyDescent="0.25">
      <c r="C144" s="1" t="s">
        <v>13</v>
      </c>
      <c r="D144" s="1">
        <v>6.7759496916081181</v>
      </c>
      <c r="E144" s="1">
        <v>5.3030470028717946</v>
      </c>
      <c r="F144" s="1">
        <v>11.448449321290999</v>
      </c>
      <c r="G144" s="1">
        <v>9.9073160886486065</v>
      </c>
      <c r="H144" s="1">
        <v>47.589094849248696</v>
      </c>
      <c r="I144" s="1">
        <v>26.542539305754751</v>
      </c>
      <c r="J144" s="1">
        <v>38.649261902017194</v>
      </c>
      <c r="K144" s="1"/>
      <c r="L144" s="1"/>
    </row>
    <row r="145" spans="3:12" x14ac:dyDescent="0.25">
      <c r="C145" s="1" t="s">
        <v>14</v>
      </c>
      <c r="D145" s="1">
        <v>3.0645100422637723</v>
      </c>
      <c r="E145" s="1">
        <v>2.5012898125890075</v>
      </c>
      <c r="F145" s="1">
        <v>2.5583655943675274</v>
      </c>
      <c r="G145" s="1">
        <v>5.4142275404447799</v>
      </c>
      <c r="H145" s="1">
        <v>5.7135497458029549</v>
      </c>
      <c r="I145" s="1">
        <v>6.595168617154946</v>
      </c>
      <c r="J145" s="1">
        <v>13.240136674683123</v>
      </c>
      <c r="K145" s="1"/>
      <c r="L145" s="1"/>
    </row>
    <row r="146" spans="3:12" x14ac:dyDescent="0.25">
      <c r="C146" s="1" t="s">
        <v>13</v>
      </c>
      <c r="D146" s="1">
        <v>4.822021590408907</v>
      </c>
      <c r="E146" s="1">
        <v>6.6055772942261104</v>
      </c>
      <c r="F146" s="1">
        <v>4.9373749248987409</v>
      </c>
      <c r="G146" s="1">
        <v>22.829334179952273</v>
      </c>
      <c r="H146" s="1">
        <v>21.074887966863425</v>
      </c>
      <c r="I146" s="1">
        <v>32.342838027933681</v>
      </c>
      <c r="J146" s="1">
        <v>51.325587462044368</v>
      </c>
      <c r="K146" s="1"/>
      <c r="L146" s="1"/>
    </row>
    <row r="147" spans="3:12" x14ac:dyDescent="0.25">
      <c r="C147" s="1" t="s">
        <v>14</v>
      </c>
      <c r="D147" s="1">
        <v>4.007557393972383</v>
      </c>
      <c r="E147" s="1">
        <v>3.7527546732872432</v>
      </c>
      <c r="F147" s="1">
        <v>3.7828465556686632</v>
      </c>
      <c r="G147" s="1">
        <v>8.4951962688598233</v>
      </c>
      <c r="H147" s="1">
        <v>8.8273881816313278</v>
      </c>
      <c r="I147" s="1">
        <v>14.981477921541332</v>
      </c>
      <c r="J147" s="1">
        <v>25.964481608382506</v>
      </c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conditionalFormatting sqref="D75:D10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5:E10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5:F10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5:G10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5:H10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5:I10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5:J10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9"/>
  <sheetViews>
    <sheetView topLeftCell="I1" zoomScale="70" zoomScaleNormal="70" workbookViewId="0">
      <selection activeCell="BA33" sqref="BA1:BR1048576"/>
    </sheetView>
  </sheetViews>
  <sheetFormatPr defaultRowHeight="15" x14ac:dyDescent="0.25"/>
  <cols>
    <col min="1" max="1" width="7.5703125" style="129" bestFit="1" customWidth="1"/>
    <col min="2" max="2" width="5.28515625" style="129" customWidth="1"/>
    <col min="3" max="9" width="9.140625" style="150"/>
    <col min="10" max="13" width="9.140625" style="129"/>
    <col min="14" max="14" width="7.5703125" style="129" bestFit="1" customWidth="1"/>
    <col min="15" max="15" width="5.28515625" style="129" customWidth="1"/>
    <col min="16" max="22" width="9.140625" style="150"/>
    <col min="23" max="26" width="9.140625" style="129"/>
    <col min="27" max="27" width="7.5703125" style="129" bestFit="1" customWidth="1"/>
    <col min="28" max="28" width="5.28515625" style="129" customWidth="1"/>
    <col min="29" max="35" width="9.140625" style="150"/>
    <col min="36" max="39" width="9.140625" style="129"/>
    <col min="40" max="40" width="7.5703125" style="129" bestFit="1" customWidth="1"/>
    <col min="41" max="41" width="5.28515625" style="129" customWidth="1"/>
    <col min="42" max="48" width="9.140625" style="150"/>
    <col min="49" max="16384" width="9.140625" style="129"/>
  </cols>
  <sheetData>
    <row r="1" spans="1:51" x14ac:dyDescent="0.25">
      <c r="A1" s="212" t="s">
        <v>142</v>
      </c>
      <c r="B1" s="213"/>
      <c r="C1" s="216" t="s">
        <v>35</v>
      </c>
      <c r="D1" s="211"/>
      <c r="E1" s="211"/>
      <c r="F1" s="217"/>
      <c r="G1" s="218"/>
      <c r="H1" s="216" t="s">
        <v>39</v>
      </c>
      <c r="I1" s="211"/>
      <c r="J1" s="217"/>
      <c r="K1" s="218"/>
      <c r="L1" s="129">
        <v>1024</v>
      </c>
      <c r="N1" s="212" t="s">
        <v>142</v>
      </c>
      <c r="O1" s="213"/>
      <c r="P1" s="216" t="s">
        <v>35</v>
      </c>
      <c r="Q1" s="211"/>
      <c r="R1" s="211"/>
      <c r="S1" s="217"/>
      <c r="T1" s="218"/>
      <c r="U1" s="216" t="s">
        <v>39</v>
      </c>
      <c r="V1" s="211"/>
      <c r="W1" s="217"/>
      <c r="X1" s="218"/>
      <c r="Y1" s="129">
        <v>512</v>
      </c>
      <c r="AA1" s="212" t="s">
        <v>142</v>
      </c>
      <c r="AB1" s="213"/>
      <c r="AC1" s="216" t="s">
        <v>35</v>
      </c>
      <c r="AD1" s="211"/>
      <c r="AE1" s="211"/>
      <c r="AF1" s="217"/>
      <c r="AG1" s="218"/>
      <c r="AH1" s="216" t="s">
        <v>39</v>
      </c>
      <c r="AI1" s="211"/>
      <c r="AJ1" s="217"/>
      <c r="AK1" s="218"/>
      <c r="AL1" s="129" t="s">
        <v>144</v>
      </c>
      <c r="AN1" s="212" t="s">
        <v>142</v>
      </c>
      <c r="AO1" s="213"/>
      <c r="AP1" s="216" t="s">
        <v>35</v>
      </c>
      <c r="AQ1" s="211"/>
      <c r="AR1" s="211"/>
      <c r="AS1" s="217"/>
      <c r="AT1" s="218"/>
      <c r="AU1" s="216" t="s">
        <v>39</v>
      </c>
      <c r="AV1" s="211"/>
      <c r="AW1" s="217"/>
      <c r="AX1" s="218"/>
      <c r="AY1" s="129" t="s">
        <v>144</v>
      </c>
    </row>
    <row r="2" spans="1:51" ht="15.75" thickBot="1" x14ac:dyDescent="0.3">
      <c r="A2" s="214"/>
      <c r="B2" s="215"/>
      <c r="C2" s="157" t="s">
        <v>98</v>
      </c>
      <c r="D2" s="158" t="s">
        <v>99</v>
      </c>
      <c r="E2" s="158" t="s">
        <v>100</v>
      </c>
      <c r="F2" s="158" t="s">
        <v>101</v>
      </c>
      <c r="G2" s="159" t="s">
        <v>143</v>
      </c>
      <c r="H2" s="157" t="s">
        <v>141</v>
      </c>
      <c r="I2" s="158" t="s">
        <v>99</v>
      </c>
      <c r="J2" s="158" t="s">
        <v>101</v>
      </c>
      <c r="K2" s="159" t="s">
        <v>143</v>
      </c>
      <c r="N2" s="214"/>
      <c r="O2" s="215"/>
      <c r="P2" s="157" t="s">
        <v>98</v>
      </c>
      <c r="Q2" s="158" t="s">
        <v>99</v>
      </c>
      <c r="R2" s="158" t="s">
        <v>100</v>
      </c>
      <c r="S2" s="158" t="s">
        <v>101</v>
      </c>
      <c r="T2" s="159" t="s">
        <v>143</v>
      </c>
      <c r="U2" s="157" t="s">
        <v>141</v>
      </c>
      <c r="V2" s="158" t="s">
        <v>99</v>
      </c>
      <c r="W2" s="158" t="s">
        <v>101</v>
      </c>
      <c r="X2" s="159" t="s">
        <v>143</v>
      </c>
      <c r="AA2" s="214"/>
      <c r="AB2" s="215"/>
      <c r="AC2" s="157" t="s">
        <v>98</v>
      </c>
      <c r="AD2" s="158" t="s">
        <v>99</v>
      </c>
      <c r="AE2" s="158" t="s">
        <v>100</v>
      </c>
      <c r="AF2" s="158" t="s">
        <v>101</v>
      </c>
      <c r="AG2" s="159" t="s">
        <v>143</v>
      </c>
      <c r="AH2" s="157" t="s">
        <v>141</v>
      </c>
      <c r="AI2" s="158" t="s">
        <v>99</v>
      </c>
      <c r="AJ2" s="158" t="s">
        <v>101</v>
      </c>
      <c r="AK2" s="159" t="s">
        <v>143</v>
      </c>
      <c r="AL2" s="129" t="s">
        <v>145</v>
      </c>
      <c r="AN2" s="214"/>
      <c r="AO2" s="215"/>
      <c r="AP2" s="157" t="s">
        <v>98</v>
      </c>
      <c r="AQ2" s="158" t="s">
        <v>99</v>
      </c>
      <c r="AR2" s="158" t="s">
        <v>100</v>
      </c>
      <c r="AS2" s="158" t="s">
        <v>101</v>
      </c>
      <c r="AT2" s="159" t="s">
        <v>143</v>
      </c>
      <c r="AU2" s="157" t="s">
        <v>141</v>
      </c>
      <c r="AV2" s="158" t="s">
        <v>99</v>
      </c>
      <c r="AW2" s="158" t="s">
        <v>101</v>
      </c>
      <c r="AX2" s="159" t="s">
        <v>143</v>
      </c>
      <c r="AY2" s="129" t="s">
        <v>146</v>
      </c>
    </row>
    <row r="3" spans="1:51" x14ac:dyDescent="0.25">
      <c r="A3" s="219">
        <v>100</v>
      </c>
      <c r="B3" s="160" t="s">
        <v>0</v>
      </c>
      <c r="C3" s="161">
        <v>3.6765769999999947</v>
      </c>
      <c r="D3" s="154">
        <v>106.70293600000001</v>
      </c>
      <c r="E3" s="154">
        <v>18.548114000000002</v>
      </c>
      <c r="F3" s="211">
        <f>SUM(C3:E3)</f>
        <v>128.927627</v>
      </c>
      <c r="G3" s="220">
        <f>F3/A3</f>
        <v>1.28927627</v>
      </c>
      <c r="H3" s="161">
        <v>19.847671000000005</v>
      </c>
      <c r="I3" s="154">
        <v>106.381592</v>
      </c>
      <c r="J3" s="211">
        <f>H3+I3</f>
        <v>126.229263</v>
      </c>
      <c r="K3" s="220">
        <f>J3/A3</f>
        <v>1.2622926300000001</v>
      </c>
      <c r="N3" s="219">
        <v>100</v>
      </c>
      <c r="O3" s="160" t="s">
        <v>0</v>
      </c>
      <c r="P3" s="161">
        <v>3.6765769999999947</v>
      </c>
      <c r="Q3" s="154">
        <v>106.70293600000001</v>
      </c>
      <c r="R3" s="154">
        <v>18.548114000000002</v>
      </c>
      <c r="S3" s="211">
        <f>SUM(P3:R3)</f>
        <v>128.927627</v>
      </c>
      <c r="T3" s="220">
        <f>S3/N3</f>
        <v>1.28927627</v>
      </c>
      <c r="U3" s="161">
        <v>19.847671000000005</v>
      </c>
      <c r="V3" s="154">
        <v>106.381592</v>
      </c>
      <c r="W3" s="211">
        <f>U3+V3</f>
        <v>126.229263</v>
      </c>
      <c r="X3" s="220">
        <f>W3/N3</f>
        <v>1.2622926300000001</v>
      </c>
      <c r="AA3" s="235">
        <v>1</v>
      </c>
      <c r="AB3" s="160" t="s">
        <v>0</v>
      </c>
      <c r="AC3" s="161">
        <v>3.8933719999999994</v>
      </c>
      <c r="AD3" s="154">
        <v>149.56352799999999</v>
      </c>
      <c r="AE3" s="154">
        <v>214.88430700000001</v>
      </c>
      <c r="AF3" s="211">
        <f>SUM(AC3:AE3)</f>
        <v>368.341207</v>
      </c>
      <c r="AG3" s="220">
        <f>AF3/1000</f>
        <v>0.368341207</v>
      </c>
      <c r="AH3" s="161">
        <v>216.514104</v>
      </c>
      <c r="AI3" s="154">
        <v>149.58412799999999</v>
      </c>
      <c r="AJ3" s="211">
        <f>AH3+AI3</f>
        <v>366.098232</v>
      </c>
      <c r="AK3" s="220">
        <f>AJ3/1000</f>
        <v>0.36609823200000002</v>
      </c>
      <c r="AN3" s="235">
        <v>1</v>
      </c>
      <c r="AO3" s="160" t="s">
        <v>0</v>
      </c>
      <c r="AP3" s="161">
        <v>3.5997059999999976</v>
      </c>
      <c r="AQ3" s="154">
        <v>90.499050999999994</v>
      </c>
      <c r="AR3" s="154">
        <v>110.604665</v>
      </c>
      <c r="AS3" s="211">
        <f>SUM(AP3:AR3)</f>
        <v>204.70342199999999</v>
      </c>
      <c r="AT3" s="220">
        <f>AS3/500</f>
        <v>0.40940684399999999</v>
      </c>
      <c r="AU3" s="161">
        <v>111.87923999999998</v>
      </c>
      <c r="AV3" s="154">
        <v>91.646871000000004</v>
      </c>
      <c r="AW3" s="211">
        <f>AU3+AV3</f>
        <v>203.52611099999999</v>
      </c>
      <c r="AX3" s="220">
        <f>AW3/500</f>
        <v>0.40705222199999996</v>
      </c>
    </row>
    <row r="4" spans="1:51" ht="15.75" thickBot="1" x14ac:dyDescent="0.3">
      <c r="A4" s="207"/>
      <c r="B4" s="153" t="s">
        <v>16</v>
      </c>
      <c r="C4" s="166">
        <v>0.146566</v>
      </c>
      <c r="D4" s="130">
        <v>0.123145</v>
      </c>
      <c r="E4" s="130">
        <v>1.663E-3</v>
      </c>
      <c r="F4" s="187"/>
      <c r="G4" s="210"/>
      <c r="H4" s="166">
        <v>0.16603100000000001</v>
      </c>
      <c r="I4" s="130">
        <v>0.13783999999999999</v>
      </c>
      <c r="J4" s="187"/>
      <c r="K4" s="210"/>
      <c r="N4" s="207"/>
      <c r="O4" s="153" t="s">
        <v>16</v>
      </c>
      <c r="P4" s="166">
        <v>0.146566</v>
      </c>
      <c r="Q4" s="130">
        <v>0.123145</v>
      </c>
      <c r="R4" s="130">
        <v>1.663E-3</v>
      </c>
      <c r="S4" s="187"/>
      <c r="T4" s="210"/>
      <c r="U4" s="166">
        <v>0.16603100000000001</v>
      </c>
      <c r="V4" s="130">
        <v>0.13783999999999999</v>
      </c>
      <c r="W4" s="187"/>
      <c r="X4" s="210"/>
      <c r="AA4" s="234"/>
      <c r="AB4" s="153" t="s">
        <v>16</v>
      </c>
      <c r="AC4" s="166">
        <v>5.0603889999999998</v>
      </c>
      <c r="AD4" s="130">
        <v>5.0276810000000003</v>
      </c>
      <c r="AE4" s="130">
        <v>1.717773</v>
      </c>
      <c r="AF4" s="187"/>
      <c r="AG4" s="210"/>
      <c r="AH4" s="166">
        <v>6.9042709999999996</v>
      </c>
      <c r="AI4" s="130">
        <v>1.5883849999999999</v>
      </c>
      <c r="AJ4" s="187"/>
      <c r="AK4" s="210"/>
      <c r="AN4" s="234"/>
      <c r="AO4" s="153" t="s">
        <v>16</v>
      </c>
      <c r="AP4" s="166">
        <v>2.7758999999999999E-2</v>
      </c>
      <c r="AQ4" s="130">
        <v>2.4206999999999999E-2</v>
      </c>
      <c r="AR4" s="130">
        <v>4.0200000000000001E-4</v>
      </c>
      <c r="AS4" s="187"/>
      <c r="AT4" s="210"/>
      <c r="AU4" s="166">
        <v>7.7220999999999998E-2</v>
      </c>
      <c r="AV4" s="130">
        <v>5.8076999999999997E-2</v>
      </c>
      <c r="AW4" s="187"/>
      <c r="AX4" s="210"/>
    </row>
    <row r="5" spans="1:51" x14ac:dyDescent="0.25">
      <c r="A5" s="207">
        <v>200</v>
      </c>
      <c r="B5" s="153" t="s">
        <v>0</v>
      </c>
      <c r="C5" s="155">
        <v>3.4987630000000252</v>
      </c>
      <c r="D5" s="152">
        <v>146.33821</v>
      </c>
      <c r="E5" s="152">
        <v>34.734493999999998</v>
      </c>
      <c r="F5" s="208">
        <f t="shared" ref="F5" si="0">SUM(C5:E5)</f>
        <v>184.57146700000004</v>
      </c>
      <c r="G5" s="209">
        <f>F5/A5</f>
        <v>0.92285733500000022</v>
      </c>
      <c r="H5" s="155">
        <v>36.082121999999998</v>
      </c>
      <c r="I5" s="152">
        <v>145.54037</v>
      </c>
      <c r="J5" s="208">
        <f>H5+I5</f>
        <v>181.62249199999999</v>
      </c>
      <c r="K5" s="209">
        <f>J5/A5</f>
        <v>0.90811246000000001</v>
      </c>
      <c r="N5" s="207">
        <v>200</v>
      </c>
      <c r="O5" s="153" t="s">
        <v>0</v>
      </c>
      <c r="P5" s="155">
        <v>3.4987630000000252</v>
      </c>
      <c r="Q5" s="152">
        <v>146.33821</v>
      </c>
      <c r="R5" s="152">
        <v>34.734493999999998</v>
      </c>
      <c r="S5" s="208">
        <f t="shared" ref="S5" si="1">SUM(P5:R5)</f>
        <v>184.57146700000004</v>
      </c>
      <c r="T5" s="209">
        <f>S5/N5</f>
        <v>0.92285733500000022</v>
      </c>
      <c r="U5" s="155">
        <v>36.082121999999998</v>
      </c>
      <c r="V5" s="152">
        <v>145.54037</v>
      </c>
      <c r="W5" s="208">
        <f>U5+V5</f>
        <v>181.62249199999999</v>
      </c>
      <c r="X5" s="209">
        <f>W5/N5</f>
        <v>0.90811246000000001</v>
      </c>
      <c r="AA5" s="233">
        <f>AA3*2</f>
        <v>2</v>
      </c>
      <c r="AB5" s="153" t="s">
        <v>0</v>
      </c>
      <c r="AC5" s="155">
        <v>3.6128479999999854</v>
      </c>
      <c r="AD5" s="152">
        <v>94.149453999999992</v>
      </c>
      <c r="AE5" s="152">
        <v>214.788094</v>
      </c>
      <c r="AF5" s="208">
        <f t="shared" ref="AF5" si="2">SUM(AC5:AE5)</f>
        <v>312.55039599999998</v>
      </c>
      <c r="AG5" s="220">
        <f t="shared" ref="AG5" si="3">AF5/1000</f>
        <v>0.31255039599999995</v>
      </c>
      <c r="AH5" s="155">
        <v>216.01131800000002</v>
      </c>
      <c r="AI5" s="152">
        <v>97.727506000000005</v>
      </c>
      <c r="AJ5" s="208">
        <f>AH5+AI5</f>
        <v>313.73882400000002</v>
      </c>
      <c r="AK5" s="220">
        <f t="shared" ref="AK5" si="4">AJ5/1000</f>
        <v>0.31373882400000003</v>
      </c>
      <c r="AN5" s="233">
        <f>AN3*2</f>
        <v>2</v>
      </c>
      <c r="AO5" s="153" t="s">
        <v>0</v>
      </c>
      <c r="AP5" s="155">
        <v>3.6000160000000108</v>
      </c>
      <c r="AQ5" s="152">
        <v>81.015197999999998</v>
      </c>
      <c r="AR5" s="152">
        <v>111.633668</v>
      </c>
      <c r="AS5" s="208">
        <f t="shared" ref="AS5" si="5">SUM(AP5:AR5)</f>
        <v>196.24888200000001</v>
      </c>
      <c r="AT5" s="220">
        <f t="shared" ref="AT5" si="6">AS5/500</f>
        <v>0.39249776400000003</v>
      </c>
      <c r="AU5" s="155">
        <v>112.89974199999999</v>
      </c>
      <c r="AV5" s="152">
        <v>84.909260000000003</v>
      </c>
      <c r="AW5" s="208">
        <f>AU5+AV5</f>
        <v>197.80900199999999</v>
      </c>
      <c r="AX5" s="220">
        <f t="shared" ref="AX5" si="7">AW5/500</f>
        <v>0.39561800399999997</v>
      </c>
    </row>
    <row r="6" spans="1:51" ht="15.75" thickBot="1" x14ac:dyDescent="0.3">
      <c r="A6" s="207"/>
      <c r="B6" s="153" t="s">
        <v>16</v>
      </c>
      <c r="C6" s="166">
        <v>0.11545999999999999</v>
      </c>
      <c r="D6" s="130">
        <v>0.105369</v>
      </c>
      <c r="E6" s="130">
        <v>6.8400000000000004E-4</v>
      </c>
      <c r="F6" s="187"/>
      <c r="G6" s="210"/>
      <c r="H6" s="166">
        <v>0.144425</v>
      </c>
      <c r="I6" s="130">
        <v>0.111264</v>
      </c>
      <c r="J6" s="187"/>
      <c r="K6" s="210"/>
      <c r="N6" s="207"/>
      <c r="O6" s="153" t="s">
        <v>16</v>
      </c>
      <c r="P6" s="166">
        <v>0.11545999999999999</v>
      </c>
      <c r="Q6" s="130">
        <v>0.105369</v>
      </c>
      <c r="R6" s="130">
        <v>6.8400000000000004E-4</v>
      </c>
      <c r="S6" s="187"/>
      <c r="T6" s="210"/>
      <c r="U6" s="166">
        <v>0.144425</v>
      </c>
      <c r="V6" s="130">
        <v>0.111264</v>
      </c>
      <c r="W6" s="187"/>
      <c r="X6" s="210"/>
      <c r="AA6" s="234"/>
      <c r="AB6" s="153" t="s">
        <v>16</v>
      </c>
      <c r="AC6" s="166">
        <v>0.22836799999999999</v>
      </c>
      <c r="AD6" s="130">
        <v>0.20965500000000001</v>
      </c>
      <c r="AE6" s="130">
        <v>3.81E-3</v>
      </c>
      <c r="AF6" s="187"/>
      <c r="AG6" s="210"/>
      <c r="AH6" s="166">
        <v>0.305844</v>
      </c>
      <c r="AI6" s="130">
        <v>0.23516699999999999</v>
      </c>
      <c r="AJ6" s="187"/>
      <c r="AK6" s="210"/>
      <c r="AN6" s="234"/>
      <c r="AO6" s="153" t="s">
        <v>16</v>
      </c>
      <c r="AP6" s="166">
        <v>0.71155999999999997</v>
      </c>
      <c r="AQ6" s="130">
        <v>0.703592</v>
      </c>
      <c r="AR6" s="130">
        <v>9.6100000000000005E-4</v>
      </c>
      <c r="AS6" s="187"/>
      <c r="AT6" s="210"/>
      <c r="AU6" s="166">
        <v>0.75007599999999996</v>
      </c>
      <c r="AV6" s="130">
        <v>0.67984999999999995</v>
      </c>
      <c r="AW6" s="187"/>
      <c r="AX6" s="210"/>
    </row>
    <row r="7" spans="1:51" x14ac:dyDescent="0.25">
      <c r="A7" s="207">
        <v>300</v>
      </c>
      <c r="B7" s="153" t="s">
        <v>0</v>
      </c>
      <c r="C7" s="155">
        <v>3.6164699999999925</v>
      </c>
      <c r="D7" s="152">
        <v>187.84648000000001</v>
      </c>
      <c r="E7" s="152">
        <v>50.831505999999997</v>
      </c>
      <c r="F7" s="208">
        <f t="shared" ref="F7" si="8">SUM(C7:E7)</f>
        <v>242.294456</v>
      </c>
      <c r="G7" s="209">
        <f>F7/A7</f>
        <v>0.8076481866666666</v>
      </c>
      <c r="H7" s="155">
        <v>52.150013000000001</v>
      </c>
      <c r="I7" s="152">
        <v>186.969561</v>
      </c>
      <c r="J7" s="208">
        <f t="shared" ref="J7" si="9">H7+I7</f>
        <v>239.119574</v>
      </c>
      <c r="K7" s="209">
        <f>J7/A7</f>
        <v>0.79706524666666667</v>
      </c>
      <c r="N7" s="207">
        <v>300</v>
      </c>
      <c r="O7" s="153" t="s">
        <v>0</v>
      </c>
      <c r="P7" s="155">
        <v>3.6164699999999925</v>
      </c>
      <c r="Q7" s="152">
        <v>187.84648000000001</v>
      </c>
      <c r="R7" s="152">
        <v>50.831505999999997</v>
      </c>
      <c r="S7" s="208">
        <f t="shared" ref="S7" si="10">SUM(P7:R7)</f>
        <v>242.294456</v>
      </c>
      <c r="T7" s="209">
        <f>S7/N7</f>
        <v>0.8076481866666666</v>
      </c>
      <c r="U7" s="155">
        <v>52.150013000000001</v>
      </c>
      <c r="V7" s="152">
        <v>186.969561</v>
      </c>
      <c r="W7" s="208">
        <f t="shared" ref="W7" si="11">U7+V7</f>
        <v>239.119574</v>
      </c>
      <c r="X7" s="209">
        <f>W7/N7</f>
        <v>0.79706524666666667</v>
      </c>
      <c r="AA7" s="233">
        <f t="shared" ref="AA7" si="12">AA5*2</f>
        <v>4</v>
      </c>
      <c r="AB7" s="153" t="s">
        <v>0</v>
      </c>
      <c r="AC7" s="155">
        <v>3.634698999999955</v>
      </c>
      <c r="AD7" s="152">
        <v>89.679258000000033</v>
      </c>
      <c r="AE7" s="152">
        <v>216.14955399999999</v>
      </c>
      <c r="AF7" s="208">
        <f t="shared" ref="AF7" si="13">SUM(AC7:AE7)</f>
        <v>309.46351099999998</v>
      </c>
      <c r="AG7" s="220">
        <f t="shared" ref="AG7" si="14">AF7/1000</f>
        <v>0.30946351099999997</v>
      </c>
      <c r="AH7" s="155">
        <v>217.07490100000001</v>
      </c>
      <c r="AI7" s="152">
        <v>93.072942999999995</v>
      </c>
      <c r="AJ7" s="208">
        <f t="shared" ref="AJ7" si="15">AH7+AI7</f>
        <v>310.14784400000002</v>
      </c>
      <c r="AK7" s="220">
        <f t="shared" ref="AK7" si="16">AJ7/1000</f>
        <v>0.31014784400000001</v>
      </c>
      <c r="AN7" s="233">
        <f t="shared" ref="AN7" si="17">AN5*2</f>
        <v>4</v>
      </c>
      <c r="AO7" s="153" t="s">
        <v>0</v>
      </c>
      <c r="AP7" s="155">
        <v>3.5886509999999987</v>
      </c>
      <c r="AQ7" s="152">
        <v>81.276299000000009</v>
      </c>
      <c r="AR7" s="152">
        <v>111.957384</v>
      </c>
      <c r="AS7" s="208">
        <f t="shared" ref="AS7" si="18">SUM(AP7:AR7)</f>
        <v>196.82233400000001</v>
      </c>
      <c r="AT7" s="220">
        <f t="shared" ref="AT7" si="19">AS7/500</f>
        <v>0.39364466800000003</v>
      </c>
      <c r="AU7" s="155">
        <v>113.27375599999999</v>
      </c>
      <c r="AV7" s="152">
        <v>83.965821000000005</v>
      </c>
      <c r="AW7" s="208">
        <f t="shared" ref="AW7" si="20">AU7+AV7</f>
        <v>197.239577</v>
      </c>
      <c r="AX7" s="220">
        <f t="shared" ref="AX7" si="21">AW7/500</f>
        <v>0.394479154</v>
      </c>
    </row>
    <row r="8" spans="1:51" ht="15.75" thickBot="1" x14ac:dyDescent="0.3">
      <c r="A8" s="207"/>
      <c r="B8" s="153" t="s">
        <v>16</v>
      </c>
      <c r="C8" s="166">
        <v>0.113387</v>
      </c>
      <c r="D8" s="130">
        <v>8.7097999999999995E-2</v>
      </c>
      <c r="E8" s="130">
        <v>2.3310000000000002E-3</v>
      </c>
      <c r="F8" s="187"/>
      <c r="G8" s="210"/>
      <c r="H8" s="166">
        <v>0.109435</v>
      </c>
      <c r="I8" s="130">
        <v>9.0454000000000007E-2</v>
      </c>
      <c r="J8" s="187"/>
      <c r="K8" s="210"/>
      <c r="N8" s="207"/>
      <c r="O8" s="153" t="s">
        <v>16</v>
      </c>
      <c r="P8" s="166">
        <v>0.113387</v>
      </c>
      <c r="Q8" s="130">
        <v>8.7097999999999995E-2</v>
      </c>
      <c r="R8" s="130">
        <v>2.3310000000000002E-3</v>
      </c>
      <c r="S8" s="187"/>
      <c r="T8" s="210"/>
      <c r="U8" s="166">
        <v>0.109435</v>
      </c>
      <c r="V8" s="130">
        <v>9.0454000000000007E-2</v>
      </c>
      <c r="W8" s="187"/>
      <c r="X8" s="210"/>
      <c r="AA8" s="234"/>
      <c r="AB8" s="153" t="s">
        <v>16</v>
      </c>
      <c r="AC8" s="166">
        <v>17.713087999999999</v>
      </c>
      <c r="AD8" s="130">
        <v>17.115030000000001</v>
      </c>
      <c r="AE8" s="130">
        <v>8.5108580000000007</v>
      </c>
      <c r="AF8" s="187"/>
      <c r="AG8" s="210"/>
      <c r="AH8" s="166">
        <v>0.37196699999999999</v>
      </c>
      <c r="AI8" s="130">
        <v>0.224637</v>
      </c>
      <c r="AJ8" s="187"/>
      <c r="AK8" s="210"/>
      <c r="AN8" s="234"/>
      <c r="AO8" s="153" t="s">
        <v>16</v>
      </c>
      <c r="AP8" s="166">
        <v>0.32659899999999997</v>
      </c>
      <c r="AQ8" s="130">
        <v>0.33060699999999998</v>
      </c>
      <c r="AR8" s="130">
        <v>6.8942000000000003E-2</v>
      </c>
      <c r="AS8" s="187"/>
      <c r="AT8" s="210"/>
      <c r="AU8" s="166">
        <v>0.25672299999999998</v>
      </c>
      <c r="AV8" s="130">
        <v>0.26674799999999999</v>
      </c>
      <c r="AW8" s="187"/>
      <c r="AX8" s="210"/>
    </row>
    <row r="9" spans="1:51" x14ac:dyDescent="0.25">
      <c r="A9" s="207">
        <v>400</v>
      </c>
      <c r="B9" s="153" t="s">
        <v>0</v>
      </c>
      <c r="C9" s="155">
        <v>3.5086459999999988</v>
      </c>
      <c r="D9" s="152">
        <v>232.89554299999998</v>
      </c>
      <c r="E9" s="152">
        <v>66.816568000000004</v>
      </c>
      <c r="F9" s="208">
        <f t="shared" ref="F9" si="22">SUM(C9:E9)</f>
        <v>303.22075699999999</v>
      </c>
      <c r="G9" s="209">
        <f>F9/A9</f>
        <v>0.75805189249999994</v>
      </c>
      <c r="H9" s="155">
        <v>68.339635999999985</v>
      </c>
      <c r="I9" s="152">
        <v>232.16998699999999</v>
      </c>
      <c r="J9" s="208">
        <f t="shared" ref="J9" si="23">H9+I9</f>
        <v>300.50962299999998</v>
      </c>
      <c r="K9" s="209">
        <f>J9/A9</f>
        <v>0.75127405749999998</v>
      </c>
      <c r="N9" s="207">
        <v>400</v>
      </c>
      <c r="O9" s="153" t="s">
        <v>0</v>
      </c>
      <c r="P9" s="155">
        <v>3.5086459999999988</v>
      </c>
      <c r="Q9" s="152">
        <v>232.89554299999998</v>
      </c>
      <c r="R9" s="152">
        <v>66.816568000000004</v>
      </c>
      <c r="S9" s="208">
        <f t="shared" ref="S9" si="24">SUM(P9:R9)</f>
        <v>303.22075699999999</v>
      </c>
      <c r="T9" s="209">
        <f>S9/N9</f>
        <v>0.75805189249999994</v>
      </c>
      <c r="U9" s="155">
        <v>68.339635999999985</v>
      </c>
      <c r="V9" s="152">
        <v>232.16998699999999</v>
      </c>
      <c r="W9" s="208">
        <f t="shared" ref="W9" si="25">U9+V9</f>
        <v>300.50962299999998</v>
      </c>
      <c r="X9" s="209">
        <f>W9/N9</f>
        <v>0.75127405749999998</v>
      </c>
      <c r="AA9" s="233">
        <f t="shared" ref="AA9" si="26">AA7*2</f>
        <v>8</v>
      </c>
      <c r="AB9" s="153" t="s">
        <v>0</v>
      </c>
      <c r="AC9" s="155">
        <v>3.6250579999999673</v>
      </c>
      <c r="AD9" s="152">
        <v>88.605606000000023</v>
      </c>
      <c r="AE9" s="152">
        <v>213.270039</v>
      </c>
      <c r="AF9" s="208">
        <f t="shared" ref="AF9" si="27">SUM(AC9:AE9)</f>
        <v>305.50070299999999</v>
      </c>
      <c r="AG9" s="220">
        <f t="shared" ref="AG9" si="28">AF9/1000</f>
        <v>0.30550070299999998</v>
      </c>
      <c r="AH9" s="155">
        <v>214.97248999999999</v>
      </c>
      <c r="AI9" s="152">
        <v>88.952746000000005</v>
      </c>
      <c r="AJ9" s="208">
        <f t="shared" ref="AJ9" si="29">AH9+AI9</f>
        <v>303.92523599999998</v>
      </c>
      <c r="AK9" s="220">
        <f t="shared" ref="AK9" si="30">AJ9/1000</f>
        <v>0.30392523599999999</v>
      </c>
      <c r="AN9" s="233">
        <f t="shared" ref="AN9" si="31">AN7*2</f>
        <v>8</v>
      </c>
      <c r="AO9" s="153" t="s">
        <v>0</v>
      </c>
      <c r="AP9" s="155">
        <v>3.5792979999999943</v>
      </c>
      <c r="AQ9" s="152">
        <v>78.300695000000005</v>
      </c>
      <c r="AR9" s="152">
        <v>86.725545999999994</v>
      </c>
      <c r="AS9" s="208">
        <f t="shared" ref="AS9" si="32">SUM(AP9:AR9)</f>
        <v>168.60553899999999</v>
      </c>
      <c r="AT9" s="220">
        <f t="shared" ref="AT9" si="33">AS9/500</f>
        <v>0.337211078</v>
      </c>
      <c r="AU9" s="155">
        <v>87.497533000000004</v>
      </c>
      <c r="AV9" s="152">
        <v>78.883173999999997</v>
      </c>
      <c r="AW9" s="208">
        <f t="shared" ref="AW9" si="34">AU9+AV9</f>
        <v>166.380707</v>
      </c>
      <c r="AX9" s="220">
        <f t="shared" ref="AX9" si="35">AW9/500</f>
        <v>0.33276141399999998</v>
      </c>
    </row>
    <row r="10" spans="1:51" ht="15.75" thickBot="1" x14ac:dyDescent="0.3">
      <c r="A10" s="207"/>
      <c r="B10" s="153" t="s">
        <v>16</v>
      </c>
      <c r="C10" s="166">
        <v>0.117551</v>
      </c>
      <c r="D10" s="130">
        <v>0.11358799999999999</v>
      </c>
      <c r="E10" s="130">
        <v>3.4749999999999998E-3</v>
      </c>
      <c r="F10" s="187"/>
      <c r="G10" s="210"/>
      <c r="H10" s="166">
        <v>0.13140099999999999</v>
      </c>
      <c r="I10" s="130">
        <v>8.3067000000000002E-2</v>
      </c>
      <c r="J10" s="187"/>
      <c r="K10" s="210"/>
      <c r="N10" s="207"/>
      <c r="O10" s="153" t="s">
        <v>16</v>
      </c>
      <c r="P10" s="166">
        <v>0.117551</v>
      </c>
      <c r="Q10" s="130">
        <v>0.11358799999999999</v>
      </c>
      <c r="R10" s="130">
        <v>3.4749999999999998E-3</v>
      </c>
      <c r="S10" s="187"/>
      <c r="T10" s="210"/>
      <c r="U10" s="166">
        <v>0.13140099999999999</v>
      </c>
      <c r="V10" s="130">
        <v>8.3067000000000002E-2</v>
      </c>
      <c r="W10" s="187"/>
      <c r="X10" s="210"/>
      <c r="AA10" s="234"/>
      <c r="AB10" s="153" t="s">
        <v>16</v>
      </c>
      <c r="AC10" s="166">
        <v>0.48677399999999998</v>
      </c>
      <c r="AD10" s="130">
        <v>0.46737699999999999</v>
      </c>
      <c r="AE10" s="130">
        <v>8.7600999999999998E-2</v>
      </c>
      <c r="AF10" s="187"/>
      <c r="AG10" s="210"/>
      <c r="AH10" s="166">
        <v>0.36847400000000002</v>
      </c>
      <c r="AI10" s="130">
        <v>0.20969099999999999</v>
      </c>
      <c r="AJ10" s="187"/>
      <c r="AK10" s="210"/>
      <c r="AN10" s="234"/>
      <c r="AO10" s="153" t="s">
        <v>16</v>
      </c>
      <c r="AP10" s="166">
        <v>1.0180450000000001</v>
      </c>
      <c r="AQ10" s="130">
        <v>1.0223990000000001</v>
      </c>
      <c r="AR10" s="130">
        <v>0.71301700000000001</v>
      </c>
      <c r="AS10" s="187"/>
      <c r="AT10" s="210"/>
      <c r="AU10" s="166">
        <v>0.96994199999999997</v>
      </c>
      <c r="AV10" s="130">
        <v>0.30301899999999998</v>
      </c>
      <c r="AW10" s="187"/>
      <c r="AX10" s="210"/>
    </row>
    <row r="11" spans="1:51" x14ac:dyDescent="0.25">
      <c r="A11" s="219">
        <v>500</v>
      </c>
      <c r="B11" s="160" t="s">
        <v>0</v>
      </c>
      <c r="C11" s="161">
        <v>3.6722209999999791</v>
      </c>
      <c r="D11" s="41">
        <v>270.598725</v>
      </c>
      <c r="E11" s="41">
        <v>83.150891999999999</v>
      </c>
      <c r="F11" s="211">
        <f>SUM(C11:E11)</f>
        <v>357.42183799999998</v>
      </c>
      <c r="G11" s="220">
        <f>F11/A11</f>
        <v>0.71484367599999998</v>
      </c>
      <c r="H11" s="161">
        <v>84.598243999999966</v>
      </c>
      <c r="I11" s="41">
        <v>270.26393100000001</v>
      </c>
      <c r="J11" s="211">
        <f>H11+I11</f>
        <v>354.86217499999998</v>
      </c>
      <c r="K11" s="220">
        <f>J11/A11</f>
        <v>0.70972435</v>
      </c>
      <c r="N11" s="219">
        <v>500</v>
      </c>
      <c r="O11" s="160" t="s">
        <v>0</v>
      </c>
      <c r="P11" s="161">
        <v>3.6722209999999791</v>
      </c>
      <c r="Q11" s="154">
        <v>270.598725</v>
      </c>
      <c r="R11" s="154">
        <v>83.150891999999999</v>
      </c>
      <c r="S11" s="211">
        <f>SUM(P11:R11)</f>
        <v>357.42183799999998</v>
      </c>
      <c r="T11" s="220">
        <f>S11/N11</f>
        <v>0.71484367599999998</v>
      </c>
      <c r="U11" s="161">
        <v>84.598243999999966</v>
      </c>
      <c r="V11" s="154">
        <v>270.26393100000001</v>
      </c>
      <c r="W11" s="211">
        <f>U11+V11</f>
        <v>354.86217499999998</v>
      </c>
      <c r="X11" s="220">
        <f>W11/N11</f>
        <v>0.70972435</v>
      </c>
      <c r="AA11" s="233">
        <f t="shared" ref="AA11" si="36">AA9*2</f>
        <v>16</v>
      </c>
      <c r="AB11" s="160" t="s">
        <v>0</v>
      </c>
      <c r="AC11" s="161">
        <v>3.5766399999999976</v>
      </c>
      <c r="AD11" s="154">
        <v>84.593624999999975</v>
      </c>
      <c r="AE11" s="154">
        <v>179.43454600000001</v>
      </c>
      <c r="AF11" s="211">
        <f>SUM(AC11:AE11)</f>
        <v>267.60481099999998</v>
      </c>
      <c r="AG11" s="220">
        <f t="shared" ref="AG11" si="37">AF11/1000</f>
        <v>0.267604811</v>
      </c>
      <c r="AH11" s="161">
        <v>180.59085799999997</v>
      </c>
      <c r="AI11" s="154">
        <v>84.619433999999998</v>
      </c>
      <c r="AJ11" s="211">
        <f>AH11+AI11</f>
        <v>265.21029199999998</v>
      </c>
      <c r="AK11" s="220">
        <f t="shared" ref="AK11" si="38">AJ11/1000</f>
        <v>0.26521029199999996</v>
      </c>
      <c r="AN11" s="233">
        <f t="shared" ref="AN11" si="39">AN9*2</f>
        <v>16</v>
      </c>
      <c r="AO11" s="160" t="s">
        <v>0</v>
      </c>
      <c r="AP11" s="161">
        <v>3.5654520000000218</v>
      </c>
      <c r="AQ11" s="154">
        <v>80.175264999999996</v>
      </c>
      <c r="AR11" s="154">
        <v>83.240061999999995</v>
      </c>
      <c r="AS11" s="211">
        <f>SUM(AP11:AR11)</f>
        <v>166.98077900000001</v>
      </c>
      <c r="AT11" s="220">
        <f t="shared" ref="AT11" si="40">AS11/500</f>
        <v>0.33396155800000005</v>
      </c>
      <c r="AU11" s="161">
        <v>84.575753999999989</v>
      </c>
      <c r="AV11" s="154">
        <v>79.732650000000007</v>
      </c>
      <c r="AW11" s="211">
        <f>AU11+AV11</f>
        <v>164.308404</v>
      </c>
      <c r="AX11" s="220">
        <f t="shared" ref="AX11" si="41">AW11/500</f>
        <v>0.32861680799999998</v>
      </c>
    </row>
    <row r="12" spans="1:51" ht="15.75" thickBot="1" x14ac:dyDescent="0.3">
      <c r="A12" s="207"/>
      <c r="B12" s="153" t="s">
        <v>16</v>
      </c>
      <c r="C12" s="166">
        <v>7.4874999999999997E-2</v>
      </c>
      <c r="D12" s="130">
        <v>4.3062999999999997E-2</v>
      </c>
      <c r="E12" s="130">
        <v>2.8306000000000001E-2</v>
      </c>
      <c r="F12" s="187"/>
      <c r="G12" s="210"/>
      <c r="H12" s="166">
        <v>5.1577999999999999E-2</v>
      </c>
      <c r="I12" s="130">
        <v>0.101849</v>
      </c>
      <c r="J12" s="187"/>
      <c r="K12" s="210"/>
      <c r="N12" s="207"/>
      <c r="O12" s="153" t="s">
        <v>16</v>
      </c>
      <c r="P12" s="166">
        <v>7.4874999999999997E-2</v>
      </c>
      <c r="Q12" s="130">
        <v>4.3062999999999997E-2</v>
      </c>
      <c r="R12" s="130">
        <v>2.8306000000000001E-2</v>
      </c>
      <c r="S12" s="187"/>
      <c r="T12" s="210"/>
      <c r="U12" s="166">
        <v>5.1577999999999999E-2</v>
      </c>
      <c r="V12" s="130">
        <v>0.101849</v>
      </c>
      <c r="W12" s="187"/>
      <c r="X12" s="210"/>
      <c r="AA12" s="234"/>
      <c r="AB12" s="153" t="s">
        <v>16</v>
      </c>
      <c r="AC12" s="166">
        <v>2.667789</v>
      </c>
      <c r="AD12" s="130">
        <v>2.7015159999999998</v>
      </c>
      <c r="AE12" s="130">
        <v>2.5925760000000002</v>
      </c>
      <c r="AF12" s="187"/>
      <c r="AG12" s="210"/>
      <c r="AH12" s="166">
        <v>2.1998579999999999</v>
      </c>
      <c r="AI12" s="130">
        <v>0.277115</v>
      </c>
      <c r="AJ12" s="187"/>
      <c r="AK12" s="210"/>
      <c r="AN12" s="234"/>
      <c r="AO12" s="153" t="s">
        <v>16</v>
      </c>
      <c r="AP12" s="166">
        <v>0.123431</v>
      </c>
      <c r="AQ12" s="130">
        <v>0.12217699999999999</v>
      </c>
      <c r="AR12" s="130">
        <v>8.6390000000000008E-3</v>
      </c>
      <c r="AS12" s="187"/>
      <c r="AT12" s="210"/>
      <c r="AU12" s="166">
        <v>0.14264099999999999</v>
      </c>
      <c r="AV12" s="130">
        <v>6.8673999999999999E-2</v>
      </c>
      <c r="AW12" s="187"/>
      <c r="AX12" s="210"/>
    </row>
    <row r="13" spans="1:51" x14ac:dyDescent="0.25">
      <c r="A13" s="219">
        <v>600</v>
      </c>
      <c r="B13" s="160" t="s">
        <v>0</v>
      </c>
      <c r="C13" s="161"/>
      <c r="D13" s="154"/>
      <c r="E13" s="154"/>
      <c r="F13" s="211">
        <f>SUM(C13:E13)</f>
        <v>0</v>
      </c>
      <c r="G13" s="220">
        <f>F13/A13</f>
        <v>0</v>
      </c>
      <c r="H13" s="161"/>
      <c r="I13" s="154"/>
      <c r="J13" s="211">
        <f>H13+I13</f>
        <v>0</v>
      </c>
      <c r="K13" s="220">
        <f>J13/A13</f>
        <v>0</v>
      </c>
      <c r="N13" s="219">
        <v>600</v>
      </c>
      <c r="O13" s="160" t="s">
        <v>0</v>
      </c>
      <c r="P13" s="161">
        <v>3.5139920000000302</v>
      </c>
      <c r="Q13" s="154">
        <v>274.743403</v>
      </c>
      <c r="R13" s="154">
        <v>99.259257000000005</v>
      </c>
      <c r="S13" s="211">
        <f>SUM(P13:R13)</f>
        <v>377.51665200000002</v>
      </c>
      <c r="T13" s="220">
        <f>S13/N13</f>
        <v>0.62919442000000003</v>
      </c>
      <c r="U13" s="161">
        <v>100.47582500000004</v>
      </c>
      <c r="V13" s="154">
        <v>274.32498399999997</v>
      </c>
      <c r="W13" s="211">
        <f>U13+V13</f>
        <v>374.80080900000002</v>
      </c>
      <c r="X13" s="220">
        <f>W13/N13</f>
        <v>0.62466801500000002</v>
      </c>
      <c r="AA13" s="233">
        <f t="shared" ref="AA13" si="42">AA11*2</f>
        <v>32</v>
      </c>
      <c r="AB13" s="160" t="s">
        <v>0</v>
      </c>
      <c r="AC13" s="161">
        <v>3.5739590000000021</v>
      </c>
      <c r="AD13" s="154">
        <v>86.060580000000016</v>
      </c>
      <c r="AE13" s="154">
        <v>164.28814399999999</v>
      </c>
      <c r="AF13" s="211">
        <f>SUM(AC13:AE13)</f>
        <v>253.92268300000001</v>
      </c>
      <c r="AG13" s="220">
        <f t="shared" ref="AG13" si="43">AF13/1000</f>
        <v>0.25392268299999998</v>
      </c>
      <c r="AH13" s="161">
        <v>165.08361600000001</v>
      </c>
      <c r="AI13" s="154">
        <v>85.345416</v>
      </c>
      <c r="AJ13" s="211">
        <f>AH13+AI13</f>
        <v>250.42903200000001</v>
      </c>
      <c r="AK13" s="220">
        <f t="shared" ref="AK13" si="44">AJ13/1000</f>
        <v>0.250429032</v>
      </c>
      <c r="AN13" s="233">
        <f t="shared" ref="AN13" si="45">AN11*2</f>
        <v>32</v>
      </c>
      <c r="AO13" s="160" t="s">
        <v>0</v>
      </c>
      <c r="AP13" s="161">
        <v>3.5390579999999829</v>
      </c>
      <c r="AQ13" s="154">
        <v>87.354160000000007</v>
      </c>
      <c r="AR13" s="154">
        <v>83.180632000000003</v>
      </c>
      <c r="AS13" s="211">
        <f>SUM(AP13:AR13)</f>
        <v>174.07384999999999</v>
      </c>
      <c r="AT13" s="220">
        <f t="shared" ref="AT13" si="46">AS13/500</f>
        <v>0.3481477</v>
      </c>
      <c r="AU13" s="161">
        <v>84.489713000000009</v>
      </c>
      <c r="AV13" s="154">
        <v>86.943078</v>
      </c>
      <c r="AW13" s="211">
        <f>AU13+AV13</f>
        <v>171.43279100000001</v>
      </c>
      <c r="AX13" s="220">
        <f t="shared" ref="AX13" si="47">AW13/500</f>
        <v>0.342865582</v>
      </c>
    </row>
    <row r="14" spans="1:51" ht="15.75" thickBot="1" x14ac:dyDescent="0.3">
      <c r="A14" s="207"/>
      <c r="B14" s="153" t="s">
        <v>16</v>
      </c>
      <c r="C14" s="166"/>
      <c r="D14" s="130"/>
      <c r="E14" s="130"/>
      <c r="F14" s="187"/>
      <c r="G14" s="210"/>
      <c r="H14" s="166"/>
      <c r="I14" s="130"/>
      <c r="J14" s="187"/>
      <c r="K14" s="210"/>
      <c r="N14" s="207"/>
      <c r="O14" s="153" t="s">
        <v>16</v>
      </c>
      <c r="P14" s="166">
        <v>3.637E-3</v>
      </c>
      <c r="Q14" s="130">
        <v>3.1649999999999998E-3</v>
      </c>
      <c r="R14" s="130">
        <v>1.2719999999999999E-3</v>
      </c>
      <c r="S14" s="187"/>
      <c r="T14" s="210"/>
      <c r="U14" s="166">
        <v>5.1539999999999997E-3</v>
      </c>
      <c r="V14" s="130">
        <v>2.4199999999999998E-3</v>
      </c>
      <c r="W14" s="187"/>
      <c r="X14" s="210"/>
      <c r="AA14" s="234"/>
      <c r="AB14" s="153" t="s">
        <v>16</v>
      </c>
      <c r="AC14" s="166">
        <v>25.247094000000001</v>
      </c>
      <c r="AD14" s="130">
        <v>24.662648999999998</v>
      </c>
      <c r="AE14" s="130">
        <v>10.419174999999999</v>
      </c>
      <c r="AF14" s="187"/>
      <c r="AG14" s="210"/>
      <c r="AH14" s="166">
        <v>0.24304000000000001</v>
      </c>
      <c r="AI14" s="130">
        <v>9.7201999999999997E-2</v>
      </c>
      <c r="AJ14" s="187"/>
      <c r="AK14" s="210"/>
      <c r="AN14" s="234"/>
      <c r="AO14" s="153" t="s">
        <v>16</v>
      </c>
      <c r="AP14" s="166">
        <v>0.12842000000000001</v>
      </c>
      <c r="AQ14" s="130">
        <v>0.13021099999999999</v>
      </c>
      <c r="AR14" s="130">
        <v>1.9970000000000002E-2</v>
      </c>
      <c r="AS14" s="187"/>
      <c r="AT14" s="210"/>
      <c r="AU14" s="166">
        <v>0.166272</v>
      </c>
      <c r="AV14" s="130">
        <v>9.6115999999999993E-2</v>
      </c>
      <c r="AW14" s="187"/>
      <c r="AX14" s="210"/>
    </row>
    <row r="15" spans="1:51" x14ac:dyDescent="0.25">
      <c r="A15" s="207">
        <v>700</v>
      </c>
      <c r="B15" s="153" t="s">
        <v>0</v>
      </c>
      <c r="C15" s="155"/>
      <c r="D15" s="152"/>
      <c r="E15" s="152"/>
      <c r="F15" s="208">
        <f t="shared" ref="F15" si="48">SUM(C15:E15)</f>
        <v>0</v>
      </c>
      <c r="G15" s="209">
        <f>F15/A15</f>
        <v>0</v>
      </c>
      <c r="H15" s="155"/>
      <c r="I15" s="152"/>
      <c r="J15" s="208">
        <f>H15+I15</f>
        <v>0</v>
      </c>
      <c r="K15" s="209">
        <f>J15/A15</f>
        <v>0</v>
      </c>
      <c r="N15" s="207">
        <v>700</v>
      </c>
      <c r="O15" s="153" t="s">
        <v>0</v>
      </c>
      <c r="P15" s="155">
        <v>3.5270929999999794</v>
      </c>
      <c r="Q15" s="152">
        <v>274.58058500000004</v>
      </c>
      <c r="R15" s="152">
        <v>115.388498</v>
      </c>
      <c r="S15" s="208">
        <f t="shared" ref="S15" si="49">SUM(P15:R15)</f>
        <v>393.49617599999999</v>
      </c>
      <c r="T15" s="209">
        <f>S15/N15</f>
        <v>0.5621373942857143</v>
      </c>
      <c r="U15" s="155">
        <v>116.65772399999997</v>
      </c>
      <c r="V15" s="152">
        <v>273.85120000000001</v>
      </c>
      <c r="W15" s="208">
        <f>U15+V15</f>
        <v>390.50892399999998</v>
      </c>
      <c r="X15" s="209">
        <f>W15/N15</f>
        <v>0.55786989142857135</v>
      </c>
      <c r="AA15" s="233">
        <f t="shared" ref="AA15" si="50">AA13*2</f>
        <v>64</v>
      </c>
      <c r="AB15" s="153" t="s">
        <v>0</v>
      </c>
      <c r="AC15" s="155">
        <v>3.5218330000000151</v>
      </c>
      <c r="AD15" s="152">
        <v>95.344961000000012</v>
      </c>
      <c r="AE15" s="152">
        <v>163.79739699999999</v>
      </c>
      <c r="AF15" s="208">
        <f t="shared" ref="AF15" si="51">SUM(AC15:AE15)</f>
        <v>262.66419100000002</v>
      </c>
      <c r="AG15" s="220">
        <f t="shared" ref="AG15" si="52">AF15/1000</f>
        <v>0.26266419099999999</v>
      </c>
      <c r="AH15" s="155">
        <v>165.16838799999999</v>
      </c>
      <c r="AI15" s="152">
        <v>94.790878000000006</v>
      </c>
      <c r="AJ15" s="208">
        <f>AH15+AI15</f>
        <v>259.95926600000001</v>
      </c>
      <c r="AK15" s="220">
        <f t="shared" ref="AK15" si="53">AJ15/1000</f>
        <v>0.25995926600000002</v>
      </c>
      <c r="AN15" s="233">
        <f t="shared" ref="AN15" si="54">AN13*2</f>
        <v>64</v>
      </c>
      <c r="AO15" s="153" t="s">
        <v>0</v>
      </c>
      <c r="AP15" s="155">
        <v>3.5547820000000172</v>
      </c>
      <c r="AQ15" s="152">
        <v>95.392279999999985</v>
      </c>
      <c r="AR15" s="152">
        <v>83.106126000000003</v>
      </c>
      <c r="AS15" s="208">
        <f t="shared" ref="AS15" si="55">SUM(AP15:AR15)</f>
        <v>182.05318800000001</v>
      </c>
      <c r="AT15" s="220">
        <f t="shared" ref="AT15" si="56">AS15/500</f>
        <v>0.36410637600000001</v>
      </c>
      <c r="AU15" s="155">
        <v>84.446573999999998</v>
      </c>
      <c r="AV15" s="152">
        <v>94.965371000000005</v>
      </c>
      <c r="AW15" s="208">
        <f>AU15+AV15</f>
        <v>179.411945</v>
      </c>
      <c r="AX15" s="220">
        <f t="shared" ref="AX15" si="57">AW15/500</f>
        <v>0.35882388999999998</v>
      </c>
    </row>
    <row r="16" spans="1:51" ht="15.75" thickBot="1" x14ac:dyDescent="0.3">
      <c r="A16" s="207"/>
      <c r="B16" s="153" t="s">
        <v>16</v>
      </c>
      <c r="C16" s="166"/>
      <c r="D16" s="130"/>
      <c r="E16" s="130"/>
      <c r="F16" s="187"/>
      <c r="G16" s="210"/>
      <c r="H16" s="166"/>
      <c r="I16" s="130"/>
      <c r="J16" s="187"/>
      <c r="K16" s="210"/>
      <c r="N16" s="207"/>
      <c r="O16" s="153" t="s">
        <v>16</v>
      </c>
      <c r="P16" s="166">
        <v>1.9819999999999998E-3</v>
      </c>
      <c r="Q16" s="130">
        <v>1.4809999999999999E-3</v>
      </c>
      <c r="R16" s="130">
        <v>1.5899999999999999E-4</v>
      </c>
      <c r="S16" s="187"/>
      <c r="T16" s="210"/>
      <c r="U16" s="166">
        <v>0.10642500000000001</v>
      </c>
      <c r="V16" s="130">
        <v>5.6748E-2</v>
      </c>
      <c r="W16" s="187"/>
      <c r="X16" s="210"/>
      <c r="AA16" s="234"/>
      <c r="AB16" s="153" t="s">
        <v>16</v>
      </c>
      <c r="AC16" s="166">
        <v>0.183754</v>
      </c>
      <c r="AD16" s="130">
        <v>0.18795799999999999</v>
      </c>
      <c r="AE16" s="130">
        <v>2.9184999999999999E-2</v>
      </c>
      <c r="AF16" s="187"/>
      <c r="AG16" s="210"/>
      <c r="AH16" s="166">
        <v>0.25087300000000001</v>
      </c>
      <c r="AI16" s="130">
        <v>0.10388699999999999</v>
      </c>
      <c r="AJ16" s="187"/>
      <c r="AK16" s="210"/>
      <c r="AN16" s="234"/>
      <c r="AO16" s="153" t="s">
        <v>16</v>
      </c>
      <c r="AP16" s="166">
        <v>0.17429900000000001</v>
      </c>
      <c r="AQ16" s="130">
        <v>0.17307900000000001</v>
      </c>
      <c r="AR16" s="130">
        <v>6.9100000000000003E-3</v>
      </c>
      <c r="AS16" s="187"/>
      <c r="AT16" s="210"/>
      <c r="AU16" s="166">
        <v>0.14879500000000001</v>
      </c>
      <c r="AV16" s="130">
        <v>8.6777999999999994E-2</v>
      </c>
      <c r="AW16" s="187"/>
      <c r="AX16" s="210"/>
    </row>
    <row r="17" spans="1:50" x14ac:dyDescent="0.25">
      <c r="A17" s="207">
        <v>800</v>
      </c>
      <c r="B17" s="153" t="s">
        <v>0</v>
      </c>
      <c r="C17" s="155"/>
      <c r="D17" s="152"/>
      <c r="E17" s="152"/>
      <c r="F17" s="208">
        <f t="shared" ref="F17" si="58">SUM(C17:E17)</f>
        <v>0</v>
      </c>
      <c r="G17" s="209">
        <f>F17/A17</f>
        <v>0</v>
      </c>
      <c r="H17" s="155"/>
      <c r="I17" s="152"/>
      <c r="J17" s="208">
        <f t="shared" ref="J17" si="59">H17+I17</f>
        <v>0</v>
      </c>
      <c r="K17" s="209">
        <f>J17/A17</f>
        <v>0</v>
      </c>
      <c r="N17" s="207">
        <v>800</v>
      </c>
      <c r="O17" s="153" t="s">
        <v>0</v>
      </c>
      <c r="P17" s="155">
        <v>3.831027000000006</v>
      </c>
      <c r="Q17" s="152">
        <v>274.38090799999998</v>
      </c>
      <c r="R17" s="152">
        <v>131.55477400000001</v>
      </c>
      <c r="S17" s="208">
        <f t="shared" ref="S17" si="60">SUM(P17:R17)</f>
        <v>409.76670899999999</v>
      </c>
      <c r="T17" s="209">
        <f>S17/N17</f>
        <v>0.51220838624999998</v>
      </c>
      <c r="U17" s="155">
        <v>133.21897200000001</v>
      </c>
      <c r="V17" s="152">
        <v>273.960509</v>
      </c>
      <c r="W17" s="208">
        <f t="shared" ref="W17" si="61">U17+V17</f>
        <v>407.17948100000001</v>
      </c>
      <c r="X17" s="209">
        <f>W17/N17</f>
        <v>0.50897435125000001</v>
      </c>
      <c r="AA17" s="233">
        <f>AA15*2</f>
        <v>128</v>
      </c>
      <c r="AB17" s="153" t="s">
        <v>0</v>
      </c>
      <c r="AC17" s="155">
        <v>3.5337349999999788</v>
      </c>
      <c r="AD17" s="152">
        <v>116.22693200000003</v>
      </c>
      <c r="AE17" s="152">
        <v>163.67268899999999</v>
      </c>
      <c r="AF17" s="208">
        <f t="shared" ref="AF17" si="62">SUM(AC17:AE17)</f>
        <v>283.433356</v>
      </c>
      <c r="AG17" s="220">
        <f t="shared" ref="AG17" si="63">AF17/1000</f>
        <v>0.28343335600000003</v>
      </c>
      <c r="AH17" s="155">
        <v>165.40854800000002</v>
      </c>
      <c r="AI17" s="152">
        <v>115.865893</v>
      </c>
      <c r="AJ17" s="208">
        <f t="shared" ref="AJ17" si="64">AH17+AI17</f>
        <v>281.27444100000002</v>
      </c>
      <c r="AK17" s="220">
        <f t="shared" ref="AK17" si="65">AJ17/1000</f>
        <v>0.28127444100000004</v>
      </c>
      <c r="AN17" s="233">
        <f>AN15*2</f>
        <v>128</v>
      </c>
      <c r="AO17" s="153" t="s">
        <v>0</v>
      </c>
      <c r="AP17" s="155">
        <v>3.5754359999999963</v>
      </c>
      <c r="AQ17" s="152">
        <v>116.21947599999999</v>
      </c>
      <c r="AR17" s="152">
        <v>83.039207000000005</v>
      </c>
      <c r="AS17" s="208">
        <f t="shared" ref="AS17" si="66">SUM(AP17:AR17)</f>
        <v>202.83411899999999</v>
      </c>
      <c r="AT17" s="220">
        <f t="shared" ref="AT17" si="67">AS17/500</f>
        <v>0.40566823799999996</v>
      </c>
      <c r="AU17" s="155">
        <v>84.493319999999997</v>
      </c>
      <c r="AV17" s="152">
        <v>115.70706800000001</v>
      </c>
      <c r="AW17" s="208">
        <f t="shared" ref="AW17" si="68">AU17+AV17</f>
        <v>200.200388</v>
      </c>
      <c r="AX17" s="220">
        <f t="shared" ref="AX17" si="69">AW17/500</f>
        <v>0.40040077600000001</v>
      </c>
    </row>
    <row r="18" spans="1:50" ht="15.75" thickBot="1" x14ac:dyDescent="0.3">
      <c r="A18" s="207"/>
      <c r="B18" s="153" t="s">
        <v>16</v>
      </c>
      <c r="C18" s="166"/>
      <c r="D18" s="130"/>
      <c r="E18" s="130"/>
      <c r="F18" s="187"/>
      <c r="G18" s="210"/>
      <c r="H18" s="166"/>
      <c r="I18" s="130"/>
      <c r="J18" s="187"/>
      <c r="K18" s="210"/>
      <c r="N18" s="207"/>
      <c r="O18" s="153" t="s">
        <v>16</v>
      </c>
      <c r="P18" s="166">
        <v>0.13400899999999999</v>
      </c>
      <c r="Q18" s="130">
        <v>0.121804</v>
      </c>
      <c r="R18" s="130">
        <v>1.7122999999999999E-2</v>
      </c>
      <c r="S18" s="187"/>
      <c r="T18" s="210"/>
      <c r="U18" s="166">
        <v>0.124643</v>
      </c>
      <c r="V18" s="130">
        <v>5.6978000000000001E-2</v>
      </c>
      <c r="W18" s="187"/>
      <c r="X18" s="210"/>
      <c r="AA18" s="234"/>
      <c r="AB18" s="153" t="s">
        <v>16</v>
      </c>
      <c r="AC18" s="166">
        <v>0.17724899999999999</v>
      </c>
      <c r="AD18" s="130">
        <v>0.180449</v>
      </c>
      <c r="AE18" s="130">
        <v>2.6776999999999999E-2</v>
      </c>
      <c r="AF18" s="187"/>
      <c r="AG18" s="210"/>
      <c r="AH18" s="166">
        <v>16.013741</v>
      </c>
      <c r="AI18" s="130">
        <v>2.8443079999999998</v>
      </c>
      <c r="AJ18" s="187"/>
      <c r="AK18" s="210"/>
      <c r="AN18" s="234"/>
      <c r="AO18" s="153" t="s">
        <v>16</v>
      </c>
      <c r="AP18" s="166">
        <v>0.14308799999999999</v>
      </c>
      <c r="AQ18" s="130">
        <v>0.137658</v>
      </c>
      <c r="AR18" s="130">
        <v>8.1530000000000005E-3</v>
      </c>
      <c r="AS18" s="187"/>
      <c r="AT18" s="210"/>
      <c r="AU18" s="166">
        <v>0.13845199999999999</v>
      </c>
      <c r="AV18" s="130">
        <v>7.6658000000000004E-2</v>
      </c>
      <c r="AW18" s="187"/>
      <c r="AX18" s="210"/>
    </row>
    <row r="19" spans="1:50" x14ac:dyDescent="0.25">
      <c r="A19" s="207">
        <v>900</v>
      </c>
      <c r="B19" s="153" t="s">
        <v>0</v>
      </c>
      <c r="C19" s="155"/>
      <c r="D19" s="152"/>
      <c r="E19" s="152"/>
      <c r="F19" s="208">
        <f t="shared" ref="F19" si="70">SUM(C19:E19)</f>
        <v>0</v>
      </c>
      <c r="G19" s="209">
        <f>F19/A19</f>
        <v>0</v>
      </c>
      <c r="H19" s="155"/>
      <c r="I19" s="152"/>
      <c r="J19" s="208">
        <f t="shared" ref="J19" si="71">H19+I19</f>
        <v>0</v>
      </c>
      <c r="K19" s="209">
        <f>J19/A19</f>
        <v>0</v>
      </c>
      <c r="N19" s="207">
        <v>900</v>
      </c>
      <c r="O19" s="153" t="s">
        <v>0</v>
      </c>
      <c r="P19" s="155">
        <v>3.354061999999999</v>
      </c>
      <c r="Q19" s="152">
        <v>260.64100699999995</v>
      </c>
      <c r="R19" s="152">
        <v>140.24016800000001</v>
      </c>
      <c r="S19" s="208">
        <f t="shared" ref="S19" si="72">SUM(P19:R19)</f>
        <v>404.23523699999998</v>
      </c>
      <c r="T19" s="209">
        <f>S19/N19</f>
        <v>0.4491502633333333</v>
      </c>
      <c r="U19" s="155">
        <v>141.38738499999999</v>
      </c>
      <c r="V19" s="152">
        <v>260.25756899999999</v>
      </c>
      <c r="W19" s="208">
        <f t="shared" ref="W19" si="73">U19+V19</f>
        <v>401.64495399999998</v>
      </c>
      <c r="X19" s="209">
        <f>W19/N19</f>
        <v>0.44627217111111112</v>
      </c>
      <c r="AA19" s="233">
        <f t="shared" ref="AA19" si="74">AA17*2</f>
        <v>256</v>
      </c>
      <c r="AB19" s="153" t="s">
        <v>0</v>
      </c>
      <c r="AC19" s="155">
        <v>3.8180320000000165</v>
      </c>
      <c r="AD19" s="152">
        <v>169.35273799999999</v>
      </c>
      <c r="AE19" s="152">
        <v>163.553923</v>
      </c>
      <c r="AF19" s="208">
        <f t="shared" ref="AF19" si="75">SUM(AC19:AE19)</f>
        <v>336.724693</v>
      </c>
      <c r="AG19" s="220">
        <f t="shared" ref="AG19" si="76">AF19/1000</f>
        <v>0.33672469300000002</v>
      </c>
      <c r="AH19" s="155">
        <v>165.005651</v>
      </c>
      <c r="AI19" s="152">
        <v>168.38571300000001</v>
      </c>
      <c r="AJ19" s="208">
        <f t="shared" ref="AJ19" si="77">AH19+AI19</f>
        <v>333.39136400000001</v>
      </c>
      <c r="AK19" s="220">
        <f t="shared" ref="AK19" si="78">AJ19/1000</f>
        <v>0.33339136400000002</v>
      </c>
      <c r="AN19" s="233">
        <f t="shared" ref="AN19" si="79">AN17*2</f>
        <v>256</v>
      </c>
      <c r="AO19" s="153" t="s">
        <v>0</v>
      </c>
      <c r="AP19" s="155">
        <v>3.5278529999999932</v>
      </c>
      <c r="AQ19" s="152">
        <v>168.56622300000001</v>
      </c>
      <c r="AR19" s="152">
        <v>83.023787999999996</v>
      </c>
      <c r="AS19" s="208">
        <f t="shared" ref="AS19" si="80">SUM(AP19:AR19)</f>
        <v>255.117864</v>
      </c>
      <c r="AT19" s="220">
        <f t="shared" ref="AT19" si="81">AS19/500</f>
        <v>0.51023572799999994</v>
      </c>
      <c r="AU19" s="155">
        <v>84.453147000000001</v>
      </c>
      <c r="AV19" s="152">
        <v>167.60222400000001</v>
      </c>
      <c r="AW19" s="208">
        <f t="shared" ref="AW19" si="82">AU19+AV19</f>
        <v>252.05537100000001</v>
      </c>
      <c r="AX19" s="220">
        <f t="shared" ref="AX19" si="83">AW19/500</f>
        <v>0.50411074200000006</v>
      </c>
    </row>
    <row r="20" spans="1:50" ht="15.75" thickBot="1" x14ac:dyDescent="0.3">
      <c r="A20" s="207"/>
      <c r="B20" s="153" t="s">
        <v>16</v>
      </c>
      <c r="C20" s="166"/>
      <c r="D20" s="130"/>
      <c r="E20" s="130"/>
      <c r="F20" s="187"/>
      <c r="G20" s="210"/>
      <c r="H20" s="166"/>
      <c r="I20" s="130"/>
      <c r="J20" s="187"/>
      <c r="K20" s="210"/>
      <c r="N20" s="207"/>
      <c r="O20" s="153" t="s">
        <v>16</v>
      </c>
      <c r="P20" s="166">
        <v>0.14765900000000001</v>
      </c>
      <c r="Q20" s="130">
        <v>0.15067</v>
      </c>
      <c r="R20" s="130">
        <v>3.1496999999999997E-2</v>
      </c>
      <c r="S20" s="187"/>
      <c r="T20" s="210"/>
      <c r="U20" s="166">
        <v>0.14412</v>
      </c>
      <c r="V20" s="130">
        <v>5.5015000000000001E-2</v>
      </c>
      <c r="W20" s="187"/>
      <c r="X20" s="210"/>
      <c r="AA20" s="234"/>
      <c r="AB20" s="153" t="s">
        <v>16</v>
      </c>
      <c r="AC20" s="166">
        <v>0.20648900000000001</v>
      </c>
      <c r="AD20" s="130">
        <v>0.18904399999999999</v>
      </c>
      <c r="AE20" s="130">
        <v>2.9987E-2</v>
      </c>
      <c r="AF20" s="187"/>
      <c r="AG20" s="210"/>
      <c r="AH20" s="166">
        <v>0.22828899999999999</v>
      </c>
      <c r="AI20" s="130">
        <v>8.4445000000000006E-2</v>
      </c>
      <c r="AJ20" s="187"/>
      <c r="AK20" s="210"/>
      <c r="AN20" s="234"/>
      <c r="AO20" s="153" t="s">
        <v>16</v>
      </c>
      <c r="AP20" s="166">
        <v>0.14374000000000001</v>
      </c>
      <c r="AQ20" s="130">
        <v>0.13996</v>
      </c>
      <c r="AR20" s="130">
        <v>7.9190000000000007E-3</v>
      </c>
      <c r="AS20" s="187"/>
      <c r="AT20" s="210"/>
      <c r="AU20" s="166">
        <v>0.15984799999999999</v>
      </c>
      <c r="AV20" s="130">
        <v>8.7214E-2</v>
      </c>
      <c r="AW20" s="187"/>
      <c r="AX20" s="210"/>
    </row>
    <row r="21" spans="1:50" x14ac:dyDescent="0.25">
      <c r="A21" s="207">
        <v>1000</v>
      </c>
      <c r="B21" s="153" t="s">
        <v>0</v>
      </c>
      <c r="C21" s="155">
        <v>3.7869640000000118</v>
      </c>
      <c r="D21" s="27">
        <v>479.94612200000006</v>
      </c>
      <c r="E21" s="27">
        <v>163.25672499999999</v>
      </c>
      <c r="F21" s="208">
        <f t="shared" ref="F21:F31" si="84">SUM(C21:E21)</f>
        <v>646.98981100000003</v>
      </c>
      <c r="G21" s="209">
        <f>F21/A21</f>
        <v>0.64698981100000008</v>
      </c>
      <c r="H21" s="155">
        <v>164.69207</v>
      </c>
      <c r="I21" s="27">
        <v>479.16653000000002</v>
      </c>
      <c r="J21" s="208">
        <f>H21+I21</f>
        <v>643.85860000000002</v>
      </c>
      <c r="K21" s="209">
        <f>J21/A21</f>
        <v>0.64385860000000006</v>
      </c>
      <c r="N21" s="207">
        <v>1000</v>
      </c>
      <c r="O21" s="153" t="s">
        <v>0</v>
      </c>
      <c r="P21" s="155">
        <v>3.548684000000037</v>
      </c>
      <c r="Q21" s="152">
        <v>274.69954099999995</v>
      </c>
      <c r="R21" s="152">
        <v>163.469977</v>
      </c>
      <c r="S21" s="208">
        <f t="shared" ref="S21" si="85">SUM(P21:R21)</f>
        <v>441.71820200000002</v>
      </c>
      <c r="T21" s="209">
        <f>S21/N21</f>
        <v>0.441718202</v>
      </c>
      <c r="U21" s="155">
        <v>164.77973499999996</v>
      </c>
      <c r="V21" s="152">
        <v>274.22306300000002</v>
      </c>
      <c r="W21" s="208">
        <f>U21+V21</f>
        <v>439.00279799999998</v>
      </c>
      <c r="X21" s="209">
        <f>W21/N21</f>
        <v>0.43900279799999997</v>
      </c>
      <c r="AA21" s="233">
        <f t="shared" ref="AA21" si="86">AA19*2</f>
        <v>512</v>
      </c>
      <c r="AB21" s="153" t="s">
        <v>0</v>
      </c>
      <c r="AC21" s="155">
        <v>3.548684000000037</v>
      </c>
      <c r="AD21" s="152">
        <v>274.69954099999995</v>
      </c>
      <c r="AE21" s="152">
        <v>163.469977</v>
      </c>
      <c r="AF21" s="208">
        <f t="shared" ref="AF21" si="87">SUM(AC21:AE21)</f>
        <v>441.71820200000002</v>
      </c>
      <c r="AG21" s="220">
        <f t="shared" ref="AG21" si="88">AF21/1000</f>
        <v>0.441718202</v>
      </c>
      <c r="AH21" s="155">
        <v>164.77973499999996</v>
      </c>
      <c r="AI21" s="152">
        <v>274.22306300000002</v>
      </c>
      <c r="AJ21" s="208">
        <f>AH21+AI21</f>
        <v>439.00279799999998</v>
      </c>
      <c r="AK21" s="220">
        <f t="shared" ref="AK21" si="89">AJ21/1000</f>
        <v>0.43900279799999997</v>
      </c>
      <c r="AN21" s="233">
        <f t="shared" ref="AN21" si="90">AN19*2</f>
        <v>512</v>
      </c>
      <c r="AO21" s="153" t="s">
        <v>0</v>
      </c>
      <c r="AP21" s="155">
        <v>3.6198330000000283</v>
      </c>
      <c r="AQ21" s="152">
        <v>269.92746899999997</v>
      </c>
      <c r="AR21" s="152">
        <v>83.204971999999998</v>
      </c>
      <c r="AS21" s="208">
        <f t="shared" ref="AS21" si="91">SUM(AP21:AR21)</f>
        <v>356.752274</v>
      </c>
      <c r="AT21" s="220">
        <f t="shared" ref="AT21" si="92">AS21/500</f>
        <v>0.71350454799999996</v>
      </c>
      <c r="AU21" s="155">
        <v>84.34244799999999</v>
      </c>
      <c r="AV21" s="152">
        <v>268.80144799999999</v>
      </c>
      <c r="AW21" s="208">
        <f>AU21+AV21</f>
        <v>353.14389599999998</v>
      </c>
      <c r="AX21" s="220">
        <f t="shared" ref="AX21" si="93">AW21/500</f>
        <v>0.70628779199999991</v>
      </c>
    </row>
    <row r="22" spans="1:50" ht="15.75" thickBot="1" x14ac:dyDescent="0.3">
      <c r="A22" s="207"/>
      <c r="B22" s="153" t="s">
        <v>16</v>
      </c>
      <c r="C22" s="166">
        <v>9.0338000000000002E-2</v>
      </c>
      <c r="D22" s="130">
        <v>4.8544999999999998E-2</v>
      </c>
      <c r="E22" s="130">
        <v>0.416993</v>
      </c>
      <c r="F22" s="187"/>
      <c r="G22" s="210"/>
      <c r="H22" s="166">
        <v>5.5119000000000001E-2</v>
      </c>
      <c r="I22" s="130">
        <v>0.20585400000000001</v>
      </c>
      <c r="J22" s="187"/>
      <c r="K22" s="210"/>
      <c r="N22" s="207"/>
      <c r="O22" s="153" t="s">
        <v>16</v>
      </c>
      <c r="P22" s="166">
        <v>0.169347</v>
      </c>
      <c r="Q22" s="130">
        <v>0.148669</v>
      </c>
      <c r="R22" s="130">
        <v>2.3854E-2</v>
      </c>
      <c r="S22" s="187"/>
      <c r="T22" s="210"/>
      <c r="U22" s="166">
        <v>0.167987</v>
      </c>
      <c r="V22" s="130">
        <v>5.4354E-2</v>
      </c>
      <c r="W22" s="187"/>
      <c r="X22" s="210"/>
      <c r="AA22" s="234"/>
      <c r="AB22" s="153" t="s">
        <v>16</v>
      </c>
      <c r="AC22" s="166">
        <v>0.169347</v>
      </c>
      <c r="AD22" s="130">
        <v>0.148669</v>
      </c>
      <c r="AE22" s="130">
        <v>2.3854E-2</v>
      </c>
      <c r="AF22" s="187"/>
      <c r="AG22" s="210"/>
      <c r="AH22" s="166">
        <v>0.167987</v>
      </c>
      <c r="AI22" s="130">
        <v>5.4354E-2</v>
      </c>
      <c r="AJ22" s="187"/>
      <c r="AK22" s="210"/>
      <c r="AN22" s="234"/>
      <c r="AO22" s="153" t="s">
        <v>16</v>
      </c>
      <c r="AP22" s="166">
        <v>37.404311</v>
      </c>
      <c r="AQ22" s="130">
        <v>36.480159</v>
      </c>
      <c r="AR22" s="130">
        <v>1.9620329999999999</v>
      </c>
      <c r="AS22" s="187"/>
      <c r="AT22" s="210"/>
      <c r="AU22" s="166">
        <v>0.105332</v>
      </c>
      <c r="AV22" s="130">
        <v>5.8389999999999997E-2</v>
      </c>
      <c r="AW22" s="187"/>
      <c r="AX22" s="210"/>
    </row>
    <row r="23" spans="1:50" x14ac:dyDescent="0.25">
      <c r="A23" s="207">
        <v>1500</v>
      </c>
      <c r="B23" s="153" t="s">
        <v>0</v>
      </c>
      <c r="C23" s="155">
        <v>3.6174470000000838</v>
      </c>
      <c r="D23" s="27">
        <v>491.85840899999994</v>
      </c>
      <c r="E23" s="27">
        <v>243.84351699999999</v>
      </c>
      <c r="F23" s="208">
        <f t="shared" si="84"/>
        <v>739.31937300000004</v>
      </c>
      <c r="G23" s="209">
        <f>F23/A23</f>
        <v>0.49287958200000004</v>
      </c>
      <c r="H23" s="155">
        <v>245.14579899999995</v>
      </c>
      <c r="I23" s="27">
        <v>491.08508599999999</v>
      </c>
      <c r="J23" s="208">
        <f t="shared" ref="J23:J31" si="94">H23+I23</f>
        <v>736.23088499999994</v>
      </c>
      <c r="K23" s="209">
        <f>J23/A23</f>
        <v>0.49082058999999995</v>
      </c>
      <c r="N23" s="207">
        <v>1500</v>
      </c>
      <c r="O23" s="153" t="s">
        <v>0</v>
      </c>
      <c r="P23" s="155">
        <v>3.631097000000068</v>
      </c>
      <c r="Q23" s="152">
        <v>276.97767599999997</v>
      </c>
      <c r="R23" s="152">
        <v>244.107529</v>
      </c>
      <c r="S23" s="208">
        <f t="shared" ref="S23" si="95">SUM(P23:R23)</f>
        <v>524.71630200000004</v>
      </c>
      <c r="T23" s="209">
        <f>S23/N23</f>
        <v>0.34981086800000005</v>
      </c>
      <c r="U23" s="155">
        <v>245.26896099999999</v>
      </c>
      <c r="V23" s="152">
        <v>276.55745400000001</v>
      </c>
      <c r="W23" s="208">
        <f t="shared" ref="W23" si="96">U23+V23</f>
        <v>521.826415</v>
      </c>
      <c r="X23" s="209">
        <f>W23/N23</f>
        <v>0.34788427666666666</v>
      </c>
      <c r="AA23" s="233">
        <f>AA21*2</f>
        <v>1024</v>
      </c>
      <c r="AB23" s="153" t="s">
        <v>0</v>
      </c>
      <c r="AC23" s="155">
        <v>3.7869640000000118</v>
      </c>
      <c r="AD23" s="152">
        <v>479.94612200000006</v>
      </c>
      <c r="AE23" s="152">
        <v>163.25672499999999</v>
      </c>
      <c r="AF23" s="208">
        <f t="shared" ref="AF23" si="97">SUM(AC23:AE23)</f>
        <v>646.98981100000003</v>
      </c>
      <c r="AG23" s="220">
        <f t="shared" ref="AG23" si="98">AF23/1000</f>
        <v>0.64698981100000008</v>
      </c>
      <c r="AH23" s="155">
        <v>164.69207</v>
      </c>
      <c r="AI23" s="152">
        <v>479.16653000000002</v>
      </c>
      <c r="AJ23" s="208">
        <f t="shared" ref="AJ23" si="99">AH23+AI23</f>
        <v>643.85860000000002</v>
      </c>
      <c r="AK23" s="220">
        <f t="shared" ref="AK23" si="100">AJ23/1000</f>
        <v>0.64385860000000006</v>
      </c>
      <c r="AN23" s="233">
        <f>AN21*2</f>
        <v>1024</v>
      </c>
      <c r="AO23" s="153" t="s">
        <v>0</v>
      </c>
      <c r="AP23" s="155">
        <v>3.6722209999999791</v>
      </c>
      <c r="AQ23" s="152">
        <v>270.598725</v>
      </c>
      <c r="AR23" s="152">
        <v>83.150891999999999</v>
      </c>
      <c r="AS23" s="208">
        <f t="shared" ref="AS23" si="101">SUM(AP23:AR23)</f>
        <v>357.42183799999998</v>
      </c>
      <c r="AT23" s="220">
        <f t="shared" ref="AT23" si="102">AS23/500</f>
        <v>0.71484367599999998</v>
      </c>
      <c r="AU23" s="155">
        <v>84.598243999999966</v>
      </c>
      <c r="AV23" s="152">
        <v>270.26393100000001</v>
      </c>
      <c r="AW23" s="208">
        <f t="shared" ref="AW23" si="103">AU23+AV23</f>
        <v>354.86217499999998</v>
      </c>
      <c r="AX23" s="220">
        <f t="shared" ref="AX23" si="104">AW23/500</f>
        <v>0.70972435</v>
      </c>
    </row>
    <row r="24" spans="1:50" x14ac:dyDescent="0.25">
      <c r="A24" s="207"/>
      <c r="B24" s="153" t="s">
        <v>16</v>
      </c>
      <c r="C24" s="166">
        <v>6.9067000000000003E-2</v>
      </c>
      <c r="D24" s="130">
        <v>4.5489000000000002E-2</v>
      </c>
      <c r="E24" s="130">
        <v>0.10315299999999999</v>
      </c>
      <c r="F24" s="187"/>
      <c r="G24" s="210"/>
      <c r="H24" s="166">
        <v>4.2186000000000001E-2</v>
      </c>
      <c r="I24" s="130">
        <v>0.286219</v>
      </c>
      <c r="J24" s="187"/>
      <c r="K24" s="210"/>
      <c r="N24" s="207"/>
      <c r="O24" s="153" t="s">
        <v>16</v>
      </c>
      <c r="P24" s="166">
        <v>8.9577000000000004E-2</v>
      </c>
      <c r="Q24" s="130">
        <v>8.6897000000000002E-2</v>
      </c>
      <c r="R24" s="130">
        <v>2.1978000000000001E-2</v>
      </c>
      <c r="S24" s="187"/>
      <c r="T24" s="210"/>
      <c r="U24" s="166">
        <v>0.108208</v>
      </c>
      <c r="V24" s="130">
        <v>8.3736000000000005E-2</v>
      </c>
      <c r="W24" s="187"/>
      <c r="X24" s="210"/>
      <c r="AA24" s="234"/>
      <c r="AB24" s="153" t="s">
        <v>16</v>
      </c>
      <c r="AC24" s="166">
        <v>9.0338000000000002E-2</v>
      </c>
      <c r="AD24" s="130">
        <v>4.8544999999999998E-2</v>
      </c>
      <c r="AE24" s="130">
        <v>0.416993</v>
      </c>
      <c r="AF24" s="187"/>
      <c r="AG24" s="210"/>
      <c r="AH24" s="166">
        <v>5.5119000000000001E-2</v>
      </c>
      <c r="AI24" s="130">
        <v>0.20585400000000001</v>
      </c>
      <c r="AJ24" s="187"/>
      <c r="AK24" s="210"/>
      <c r="AN24" s="234"/>
      <c r="AO24" s="153" t="s">
        <v>16</v>
      </c>
      <c r="AP24" s="166">
        <v>7.4874999999999997E-2</v>
      </c>
      <c r="AQ24" s="130">
        <v>4.3062999999999997E-2</v>
      </c>
      <c r="AR24" s="130">
        <v>2.8306000000000001E-2</v>
      </c>
      <c r="AS24" s="187"/>
      <c r="AT24" s="210"/>
      <c r="AU24" s="166">
        <v>5.1577999999999999E-2</v>
      </c>
      <c r="AV24" s="130">
        <v>0.101849</v>
      </c>
      <c r="AW24" s="187"/>
      <c r="AX24" s="210"/>
    </row>
    <row r="25" spans="1:50" x14ac:dyDescent="0.25">
      <c r="A25" s="207">
        <v>2000</v>
      </c>
      <c r="B25" s="153" t="s">
        <v>0</v>
      </c>
      <c r="C25" s="155">
        <v>3.8475170000000389</v>
      </c>
      <c r="D25" s="27">
        <v>494.73350799999997</v>
      </c>
      <c r="E25" s="27">
        <v>323.93464999999998</v>
      </c>
      <c r="F25" s="208">
        <f t="shared" si="84"/>
        <v>822.51567499999999</v>
      </c>
      <c r="G25" s="209">
        <f>F25/A25</f>
        <v>0.4112578375</v>
      </c>
      <c r="H25" s="155">
        <v>325.29965399999998</v>
      </c>
      <c r="I25" s="27">
        <v>494.00844499999999</v>
      </c>
      <c r="J25" s="208">
        <f t="shared" si="94"/>
        <v>819.30809899999997</v>
      </c>
      <c r="K25" s="209">
        <f>J25/A25</f>
        <v>0.40965404950000001</v>
      </c>
      <c r="N25" s="207">
        <v>2000</v>
      </c>
      <c r="O25" s="153" t="s">
        <v>0</v>
      </c>
      <c r="P25" s="155">
        <v>3.597756000000004</v>
      </c>
      <c r="Q25" s="152">
        <v>279.27574900000002</v>
      </c>
      <c r="R25" s="152">
        <v>324.43110200000001</v>
      </c>
      <c r="S25" s="208">
        <f t="shared" ref="S25" si="105">SUM(P25:R25)</f>
        <v>607.30460700000003</v>
      </c>
      <c r="T25" s="209">
        <f>S25/N25</f>
        <v>0.3036523035</v>
      </c>
      <c r="U25" s="155">
        <v>325.39182199999993</v>
      </c>
      <c r="V25" s="152">
        <v>278.86904700000002</v>
      </c>
      <c r="W25" s="208">
        <f t="shared" ref="W25" si="106">U25+V25</f>
        <v>604.26086899999996</v>
      </c>
      <c r="X25" s="209">
        <f>W25/N25</f>
        <v>0.30213043449999999</v>
      </c>
      <c r="AA25" s="233"/>
      <c r="AB25" s="153" t="s">
        <v>0</v>
      </c>
      <c r="AC25" s="155"/>
      <c r="AD25" s="152"/>
      <c r="AE25" s="152"/>
      <c r="AF25" s="208"/>
      <c r="AG25" s="209"/>
      <c r="AH25" s="155"/>
      <c r="AI25" s="152"/>
      <c r="AJ25" s="208"/>
      <c r="AK25" s="209"/>
      <c r="AN25" s="233"/>
      <c r="AO25" s="153" t="s">
        <v>0</v>
      </c>
      <c r="AP25" s="155"/>
      <c r="AQ25" s="152"/>
      <c r="AR25" s="152"/>
      <c r="AS25" s="208"/>
      <c r="AT25" s="209"/>
      <c r="AU25" s="155"/>
      <c r="AV25" s="152"/>
      <c r="AW25" s="208"/>
      <c r="AX25" s="209"/>
    </row>
    <row r="26" spans="1:50" x14ac:dyDescent="0.25">
      <c r="A26" s="207"/>
      <c r="B26" s="153" t="s">
        <v>16</v>
      </c>
      <c r="C26" s="166">
        <v>0.20217099999999999</v>
      </c>
      <c r="D26" s="130">
        <v>0.19031699999999999</v>
      </c>
      <c r="E26" s="130">
        <v>1.7996000000000002E-2</v>
      </c>
      <c r="F26" s="187"/>
      <c r="G26" s="210"/>
      <c r="H26" s="166">
        <v>0.23968900000000001</v>
      </c>
      <c r="I26" s="130">
        <v>0.11133800000000001</v>
      </c>
      <c r="J26" s="187"/>
      <c r="K26" s="210"/>
      <c r="N26" s="207"/>
      <c r="O26" s="153" t="s">
        <v>16</v>
      </c>
      <c r="P26" s="166">
        <v>1.3172E-2</v>
      </c>
      <c r="Q26" s="130">
        <v>1.6386000000000001E-2</v>
      </c>
      <c r="R26" s="130">
        <v>1.4992E-2</v>
      </c>
      <c r="S26" s="187"/>
      <c r="T26" s="210"/>
      <c r="U26" s="166">
        <v>1.5720999999999999E-2</v>
      </c>
      <c r="V26" s="130">
        <v>7.3499999999999998E-4</v>
      </c>
      <c r="W26" s="187"/>
      <c r="X26" s="210"/>
      <c r="AA26" s="234"/>
      <c r="AB26" s="153" t="s">
        <v>16</v>
      </c>
      <c r="AC26" s="166"/>
      <c r="AD26" s="130"/>
      <c r="AE26" s="130"/>
      <c r="AF26" s="187"/>
      <c r="AG26" s="210"/>
      <c r="AH26" s="166"/>
      <c r="AI26" s="130"/>
      <c r="AJ26" s="187"/>
      <c r="AK26" s="210"/>
      <c r="AN26" s="234"/>
      <c r="AO26" s="153" t="s">
        <v>16</v>
      </c>
      <c r="AP26" s="166"/>
      <c r="AQ26" s="130"/>
      <c r="AR26" s="130"/>
      <c r="AS26" s="187"/>
      <c r="AT26" s="210"/>
      <c r="AU26" s="166"/>
      <c r="AV26" s="130"/>
      <c r="AW26" s="187"/>
      <c r="AX26" s="210"/>
    </row>
    <row r="27" spans="1:50" x14ac:dyDescent="0.25">
      <c r="A27" s="207">
        <v>2500</v>
      </c>
      <c r="B27" s="153" t="s">
        <v>0</v>
      </c>
      <c r="C27" s="155">
        <v>3.7790079999999762</v>
      </c>
      <c r="D27" s="27">
        <v>496.61091099999999</v>
      </c>
      <c r="E27" s="27">
        <v>419.53179</v>
      </c>
      <c r="F27" s="208">
        <f t="shared" si="84"/>
        <v>919.92170899999996</v>
      </c>
      <c r="G27" s="209">
        <f>F27/A27</f>
        <v>0.36796868360000001</v>
      </c>
      <c r="H27" s="155">
        <v>420.82946799999996</v>
      </c>
      <c r="I27" s="27">
        <v>495.87632300000001</v>
      </c>
      <c r="J27" s="208">
        <f t="shared" si="94"/>
        <v>916.70579099999998</v>
      </c>
      <c r="K27" s="209">
        <f>J27/A27</f>
        <v>0.36668231639999999</v>
      </c>
      <c r="N27" s="207">
        <v>2500</v>
      </c>
      <c r="O27" s="153" t="s">
        <v>0</v>
      </c>
      <c r="P27" s="155">
        <v>3.6619399999999587</v>
      </c>
      <c r="Q27" s="152">
        <v>280.26859200000007</v>
      </c>
      <c r="R27" s="152">
        <v>410.21108199999998</v>
      </c>
      <c r="S27" s="208">
        <f t="shared" ref="S27" si="107">SUM(P27:R27)</f>
        <v>694.141614</v>
      </c>
      <c r="T27" s="209">
        <f>S27/N27</f>
        <v>0.27765664560000003</v>
      </c>
      <c r="U27" s="155">
        <v>411.04795699999994</v>
      </c>
      <c r="V27" s="152">
        <v>279.85133100000002</v>
      </c>
      <c r="W27" s="208">
        <f t="shared" ref="W27" si="108">U27+V27</f>
        <v>690.89928799999996</v>
      </c>
      <c r="X27" s="209">
        <f>W27/N27</f>
        <v>0.27635971519999997</v>
      </c>
      <c r="AA27" s="233"/>
      <c r="AB27" s="153" t="s">
        <v>0</v>
      </c>
      <c r="AC27" s="155"/>
      <c r="AD27" s="152"/>
      <c r="AE27" s="152"/>
      <c r="AF27" s="208"/>
      <c r="AG27" s="209"/>
      <c r="AH27" s="155"/>
      <c r="AI27" s="152"/>
      <c r="AJ27" s="208"/>
      <c r="AK27" s="209"/>
      <c r="AN27" s="233"/>
      <c r="AO27" s="153" t="s">
        <v>0</v>
      </c>
      <c r="AP27" s="155"/>
      <c r="AQ27" s="152"/>
      <c r="AR27" s="152"/>
      <c r="AS27" s="208"/>
      <c r="AT27" s="209"/>
      <c r="AU27" s="155"/>
      <c r="AV27" s="152"/>
      <c r="AW27" s="208"/>
      <c r="AX27" s="209"/>
    </row>
    <row r="28" spans="1:50" x14ac:dyDescent="0.25">
      <c r="A28" s="207"/>
      <c r="B28" s="153" t="s">
        <v>16</v>
      </c>
      <c r="C28" s="166">
        <v>9.3850000000000003E-2</v>
      </c>
      <c r="D28" s="130">
        <v>7.1147000000000002E-2</v>
      </c>
      <c r="E28" s="130">
        <v>4.8799999999999998E-3</v>
      </c>
      <c r="F28" s="187"/>
      <c r="G28" s="210"/>
      <c r="H28" s="166">
        <v>0.15637799999999999</v>
      </c>
      <c r="I28" s="130">
        <v>5.6133000000000002E-2</v>
      </c>
      <c r="J28" s="187"/>
      <c r="K28" s="210"/>
      <c r="N28" s="207"/>
      <c r="O28" s="153" t="s">
        <v>16</v>
      </c>
      <c r="P28" s="166">
        <v>6.8200999999999998E-2</v>
      </c>
      <c r="Q28" s="130">
        <v>4.5241000000000003E-2</v>
      </c>
      <c r="R28" s="130">
        <v>4.8654999999999997E-2</v>
      </c>
      <c r="S28" s="187"/>
      <c r="T28" s="210"/>
      <c r="U28" s="166">
        <v>2.5308000000000001E-2</v>
      </c>
      <c r="V28" s="130">
        <v>1.1839999999999999E-3</v>
      </c>
      <c r="W28" s="187"/>
      <c r="X28" s="210"/>
      <c r="AA28" s="234"/>
      <c r="AB28" s="153" t="s">
        <v>16</v>
      </c>
      <c r="AC28" s="166"/>
      <c r="AD28" s="130"/>
      <c r="AE28" s="130"/>
      <c r="AF28" s="187"/>
      <c r="AG28" s="210"/>
      <c r="AH28" s="166"/>
      <c r="AI28" s="130"/>
      <c r="AJ28" s="187"/>
      <c r="AK28" s="210"/>
      <c r="AN28" s="234"/>
      <c r="AO28" s="153" t="s">
        <v>16</v>
      </c>
      <c r="AP28" s="166"/>
      <c r="AQ28" s="130"/>
      <c r="AR28" s="130"/>
      <c r="AS28" s="187"/>
      <c r="AT28" s="210"/>
      <c r="AU28" s="166"/>
      <c r="AV28" s="130"/>
      <c r="AW28" s="187"/>
      <c r="AX28" s="210"/>
    </row>
    <row r="29" spans="1:50" x14ac:dyDescent="0.25">
      <c r="A29" s="207">
        <v>3000</v>
      </c>
      <c r="B29" s="153" t="s">
        <v>0</v>
      </c>
      <c r="C29" s="155">
        <v>3.8628560000000789</v>
      </c>
      <c r="D29" s="27">
        <v>497.45683999999994</v>
      </c>
      <c r="E29" s="27">
        <v>502.186959</v>
      </c>
      <c r="F29" s="208">
        <f t="shared" si="84"/>
        <v>1003.506655</v>
      </c>
      <c r="G29" s="209">
        <f>F29/A29</f>
        <v>0.33450221833333332</v>
      </c>
      <c r="H29" s="155">
        <v>503.22130700000002</v>
      </c>
      <c r="I29" s="27">
        <v>496.72414700000002</v>
      </c>
      <c r="J29" s="208">
        <f t="shared" si="94"/>
        <v>999.94545400000004</v>
      </c>
      <c r="K29" s="209">
        <f>J29/A29</f>
        <v>0.33331515133333334</v>
      </c>
      <c r="N29" s="207">
        <v>3000</v>
      </c>
      <c r="O29" s="153" t="s">
        <v>0</v>
      </c>
      <c r="P29" s="155">
        <v>3.7305549999999812</v>
      </c>
      <c r="Q29" s="152">
        <v>280.472105</v>
      </c>
      <c r="R29" s="152">
        <v>489.09318400000001</v>
      </c>
      <c r="S29" s="208">
        <f t="shared" ref="S29" si="109">SUM(P29:R29)</f>
        <v>773.29584399999999</v>
      </c>
      <c r="T29" s="209">
        <f>S29/N29</f>
        <v>0.25776528133333332</v>
      </c>
      <c r="U29" s="155">
        <v>490.51815399999998</v>
      </c>
      <c r="V29" s="152">
        <v>280.01945000000001</v>
      </c>
      <c r="W29" s="208">
        <f t="shared" ref="W29" si="110">U29+V29</f>
        <v>770.53760399999999</v>
      </c>
      <c r="X29" s="209">
        <f>W29/N29</f>
        <v>0.25684586799999998</v>
      </c>
      <c r="AA29" s="207"/>
      <c r="AB29" s="153" t="s">
        <v>0</v>
      </c>
      <c r="AC29" s="155"/>
      <c r="AD29" s="152"/>
      <c r="AE29" s="152"/>
      <c r="AF29" s="208"/>
      <c r="AG29" s="209"/>
      <c r="AH29" s="155"/>
      <c r="AI29" s="152"/>
      <c r="AJ29" s="208"/>
      <c r="AK29" s="209"/>
      <c r="AN29" s="207"/>
      <c r="AO29" s="153" t="s">
        <v>0</v>
      </c>
      <c r="AP29" s="155"/>
      <c r="AQ29" s="152"/>
      <c r="AR29" s="152"/>
      <c r="AS29" s="208"/>
      <c r="AT29" s="209"/>
      <c r="AU29" s="155"/>
      <c r="AV29" s="152"/>
      <c r="AW29" s="208"/>
      <c r="AX29" s="209"/>
    </row>
    <row r="30" spans="1:50" x14ac:dyDescent="0.25">
      <c r="A30" s="207"/>
      <c r="B30" s="153" t="s">
        <v>16</v>
      </c>
      <c r="C30" s="166">
        <v>0.18931700000000001</v>
      </c>
      <c r="D30" s="130">
        <v>0.166353</v>
      </c>
      <c r="E30" s="130">
        <v>0.31872400000000001</v>
      </c>
      <c r="F30" s="187"/>
      <c r="G30" s="210"/>
      <c r="H30" s="166">
        <v>0.124801</v>
      </c>
      <c r="I30" s="130">
        <v>3.3360000000000001E-2</v>
      </c>
      <c r="J30" s="187"/>
      <c r="K30" s="210"/>
      <c r="N30" s="207"/>
      <c r="O30" s="153" t="s">
        <v>16</v>
      </c>
      <c r="P30" s="166">
        <v>7.6185000000000003E-2</v>
      </c>
      <c r="Q30" s="130">
        <v>7.0841000000000001E-2</v>
      </c>
      <c r="R30" s="130">
        <v>7.0111000000000007E-2</v>
      </c>
      <c r="S30" s="187"/>
      <c r="T30" s="210"/>
      <c r="U30" s="166">
        <v>8.5321999999999995E-2</v>
      </c>
      <c r="V30" s="130">
        <v>1.848E-3</v>
      </c>
      <c r="W30" s="187"/>
      <c r="X30" s="210"/>
      <c r="AA30" s="207"/>
      <c r="AB30" s="153" t="s">
        <v>16</v>
      </c>
      <c r="AC30" s="166"/>
      <c r="AD30" s="130"/>
      <c r="AE30" s="130"/>
      <c r="AF30" s="187"/>
      <c r="AG30" s="210"/>
      <c r="AH30" s="166"/>
      <c r="AI30" s="130"/>
      <c r="AJ30" s="187"/>
      <c r="AK30" s="210"/>
      <c r="AN30" s="207"/>
      <c r="AO30" s="153" t="s">
        <v>16</v>
      </c>
      <c r="AP30" s="166"/>
      <c r="AQ30" s="130"/>
      <c r="AR30" s="130"/>
      <c r="AS30" s="187"/>
      <c r="AT30" s="210"/>
      <c r="AU30" s="166"/>
      <c r="AV30" s="130"/>
      <c r="AW30" s="187"/>
      <c r="AX30" s="210"/>
    </row>
    <row r="31" spans="1:50" x14ac:dyDescent="0.25">
      <c r="A31" s="207">
        <v>3500</v>
      </c>
      <c r="B31" s="153" t="s">
        <v>0</v>
      </c>
      <c r="C31" s="155">
        <v>3.6571659999999611</v>
      </c>
      <c r="D31" s="27">
        <v>499.88463200000001</v>
      </c>
      <c r="E31" s="27">
        <v>574.505807</v>
      </c>
      <c r="F31" s="208">
        <f t="shared" si="84"/>
        <v>1078.047605</v>
      </c>
      <c r="G31" s="209">
        <f>F31/A31</f>
        <v>0.30801360142857143</v>
      </c>
      <c r="H31" s="155">
        <v>575.79059999999993</v>
      </c>
      <c r="I31" s="27">
        <v>499.02702699999998</v>
      </c>
      <c r="J31" s="208">
        <f t="shared" si="94"/>
        <v>1074.8176269999999</v>
      </c>
      <c r="K31" s="209">
        <f>J31/A31</f>
        <v>0.30709075057142854</v>
      </c>
      <c r="N31" s="207">
        <v>3500</v>
      </c>
      <c r="O31" s="153" t="s">
        <v>0</v>
      </c>
      <c r="P31" s="155"/>
      <c r="Q31" s="152"/>
      <c r="R31" s="152"/>
      <c r="S31" s="208">
        <f t="shared" ref="S31" si="111">SUM(P31:R31)</f>
        <v>0</v>
      </c>
      <c r="T31" s="209">
        <f>S31/N31</f>
        <v>0</v>
      </c>
      <c r="U31" s="155"/>
      <c r="V31" s="152"/>
      <c r="W31" s="208">
        <f t="shared" ref="W31" si="112">U31+V31</f>
        <v>0</v>
      </c>
      <c r="X31" s="209">
        <f>W31/N31</f>
        <v>0</v>
      </c>
      <c r="AA31" s="207"/>
      <c r="AB31" s="153" t="s">
        <v>0</v>
      </c>
      <c r="AC31" s="155"/>
      <c r="AD31" s="152"/>
      <c r="AE31" s="152"/>
      <c r="AF31" s="208"/>
      <c r="AG31" s="209"/>
      <c r="AH31" s="155"/>
      <c r="AI31" s="152"/>
      <c r="AJ31" s="208"/>
      <c r="AK31" s="209"/>
      <c r="AN31" s="207"/>
      <c r="AO31" s="153" t="s">
        <v>0</v>
      </c>
      <c r="AP31" s="155"/>
      <c r="AQ31" s="152"/>
      <c r="AR31" s="152"/>
      <c r="AS31" s="208"/>
      <c r="AT31" s="209"/>
      <c r="AU31" s="155"/>
      <c r="AV31" s="152"/>
      <c r="AW31" s="208"/>
      <c r="AX31" s="209"/>
    </row>
    <row r="32" spans="1:50" ht="15.75" thickBot="1" x14ac:dyDescent="0.3">
      <c r="A32" s="221"/>
      <c r="B32" s="163" t="s">
        <v>16</v>
      </c>
      <c r="C32" s="167">
        <v>7.016E-2</v>
      </c>
      <c r="D32" s="168">
        <v>5.4468000000000003E-2</v>
      </c>
      <c r="E32" s="168">
        <v>9.2261999999999997E-2</v>
      </c>
      <c r="F32" s="222"/>
      <c r="G32" s="223"/>
      <c r="H32" s="167">
        <v>0.113284</v>
      </c>
      <c r="I32" s="168">
        <v>6.1953000000000001E-2</v>
      </c>
      <c r="J32" s="222"/>
      <c r="K32" s="223"/>
      <c r="N32" s="221"/>
      <c r="O32" s="163" t="s">
        <v>16</v>
      </c>
      <c r="P32" s="167"/>
      <c r="Q32" s="168"/>
      <c r="R32" s="168"/>
      <c r="S32" s="222"/>
      <c r="T32" s="223"/>
      <c r="U32" s="167"/>
      <c r="V32" s="168"/>
      <c r="W32" s="222"/>
      <c r="X32" s="223"/>
      <c r="AA32" s="221"/>
      <c r="AB32" s="163" t="s">
        <v>16</v>
      </c>
      <c r="AC32" s="167"/>
      <c r="AD32" s="168"/>
      <c r="AE32" s="168"/>
      <c r="AF32" s="222"/>
      <c r="AG32" s="223"/>
      <c r="AH32" s="167"/>
      <c r="AI32" s="168"/>
      <c r="AJ32" s="222"/>
      <c r="AK32" s="223"/>
      <c r="AN32" s="221"/>
      <c r="AO32" s="163" t="s">
        <v>16</v>
      </c>
      <c r="AP32" s="167"/>
      <c r="AQ32" s="168"/>
      <c r="AR32" s="168"/>
      <c r="AS32" s="222"/>
      <c r="AT32" s="223"/>
      <c r="AU32" s="167"/>
      <c r="AV32" s="168"/>
      <c r="AW32" s="222"/>
      <c r="AX32" s="223"/>
    </row>
    <row r="33" spans="1:50" ht="15.75" thickBot="1" x14ac:dyDescent="0.3">
      <c r="G33" s="151"/>
      <c r="J33" s="150"/>
      <c r="K33" s="151"/>
      <c r="T33" s="151"/>
      <c r="W33" s="150"/>
      <c r="X33" s="151"/>
      <c r="AG33" s="151"/>
      <c r="AJ33" s="150"/>
      <c r="AK33" s="151"/>
      <c r="AT33" s="151"/>
      <c r="AW33" s="150"/>
      <c r="AX33" s="151"/>
    </row>
    <row r="34" spans="1:50" x14ac:dyDescent="0.25">
      <c r="A34" s="212" t="s">
        <v>142</v>
      </c>
      <c r="B34" s="213"/>
      <c r="C34" s="216" t="s">
        <v>25</v>
      </c>
      <c r="D34" s="211"/>
      <c r="E34" s="211"/>
      <c r="F34" s="217"/>
      <c r="G34" s="218"/>
      <c r="H34" s="216" t="s">
        <v>28</v>
      </c>
      <c r="I34" s="211"/>
      <c r="J34" s="217"/>
      <c r="K34" s="218"/>
      <c r="N34" s="212" t="s">
        <v>142</v>
      </c>
      <c r="O34" s="213"/>
      <c r="P34" s="216" t="s">
        <v>25</v>
      </c>
      <c r="Q34" s="211"/>
      <c r="R34" s="211"/>
      <c r="S34" s="217"/>
      <c r="T34" s="218"/>
      <c r="U34" s="216" t="s">
        <v>28</v>
      </c>
      <c r="V34" s="211"/>
      <c r="W34" s="217"/>
      <c r="X34" s="218"/>
      <c r="AA34" s="212" t="s">
        <v>142</v>
      </c>
      <c r="AB34" s="213"/>
      <c r="AC34" s="216" t="s">
        <v>25</v>
      </c>
      <c r="AD34" s="211"/>
      <c r="AE34" s="211"/>
      <c r="AF34" s="217"/>
      <c r="AG34" s="218"/>
      <c r="AH34" s="216" t="s">
        <v>28</v>
      </c>
      <c r="AI34" s="211"/>
      <c r="AJ34" s="217"/>
      <c r="AK34" s="218"/>
      <c r="AN34" s="212" t="s">
        <v>142</v>
      </c>
      <c r="AO34" s="213"/>
      <c r="AP34" s="216" t="s">
        <v>25</v>
      </c>
      <c r="AQ34" s="211"/>
      <c r="AR34" s="211"/>
      <c r="AS34" s="217"/>
      <c r="AT34" s="218"/>
      <c r="AU34" s="216" t="s">
        <v>28</v>
      </c>
      <c r="AV34" s="211"/>
      <c r="AW34" s="217"/>
      <c r="AX34" s="218"/>
    </row>
    <row r="35" spans="1:50" ht="15.75" thickBot="1" x14ac:dyDescent="0.3">
      <c r="A35" s="231"/>
      <c r="B35" s="232"/>
      <c r="C35" s="171" t="s">
        <v>98</v>
      </c>
      <c r="D35" s="44" t="s">
        <v>99</v>
      </c>
      <c r="E35" s="44" t="s">
        <v>100</v>
      </c>
      <c r="F35" s="44" t="s">
        <v>101</v>
      </c>
      <c r="G35" s="45" t="s">
        <v>143</v>
      </c>
      <c r="H35" s="171" t="s">
        <v>141</v>
      </c>
      <c r="I35" s="44" t="s">
        <v>99</v>
      </c>
      <c r="J35" s="44" t="s">
        <v>101</v>
      </c>
      <c r="K35" s="45" t="s">
        <v>143</v>
      </c>
      <c r="N35" s="231"/>
      <c r="O35" s="232"/>
      <c r="P35" s="171" t="s">
        <v>98</v>
      </c>
      <c r="Q35" s="44" t="s">
        <v>99</v>
      </c>
      <c r="R35" s="44" t="s">
        <v>100</v>
      </c>
      <c r="S35" s="44" t="s">
        <v>101</v>
      </c>
      <c r="T35" s="45" t="s">
        <v>143</v>
      </c>
      <c r="U35" s="171" t="s">
        <v>141</v>
      </c>
      <c r="V35" s="44" t="s">
        <v>99</v>
      </c>
      <c r="W35" s="44" t="s">
        <v>101</v>
      </c>
      <c r="X35" s="45" t="s">
        <v>143</v>
      </c>
      <c r="AA35" s="231"/>
      <c r="AB35" s="232"/>
      <c r="AC35" s="171" t="s">
        <v>98</v>
      </c>
      <c r="AD35" s="44" t="s">
        <v>99</v>
      </c>
      <c r="AE35" s="44" t="s">
        <v>100</v>
      </c>
      <c r="AF35" s="44" t="s">
        <v>101</v>
      </c>
      <c r="AG35" s="45" t="s">
        <v>143</v>
      </c>
      <c r="AH35" s="171" t="s">
        <v>141</v>
      </c>
      <c r="AI35" s="44" t="s">
        <v>99</v>
      </c>
      <c r="AJ35" s="44" t="s">
        <v>101</v>
      </c>
      <c r="AK35" s="45" t="s">
        <v>143</v>
      </c>
      <c r="AN35" s="231"/>
      <c r="AO35" s="232"/>
      <c r="AP35" s="171" t="s">
        <v>98</v>
      </c>
      <c r="AQ35" s="44" t="s">
        <v>99</v>
      </c>
      <c r="AR35" s="44" t="s">
        <v>100</v>
      </c>
      <c r="AS35" s="44" t="s">
        <v>101</v>
      </c>
      <c r="AT35" s="45" t="s">
        <v>143</v>
      </c>
      <c r="AU35" s="171" t="s">
        <v>141</v>
      </c>
      <c r="AV35" s="44" t="s">
        <v>99</v>
      </c>
      <c r="AW35" s="44" t="s">
        <v>101</v>
      </c>
      <c r="AX35" s="45" t="s">
        <v>143</v>
      </c>
    </row>
    <row r="36" spans="1:50" x14ac:dyDescent="0.25">
      <c r="A36" s="219">
        <v>100</v>
      </c>
      <c r="B36" s="169" t="s">
        <v>0</v>
      </c>
      <c r="C36" s="170">
        <f>C3</f>
        <v>3.6765769999999947</v>
      </c>
      <c r="D36" s="35">
        <f t="shared" ref="D36:E36" si="113">D3</f>
        <v>106.70293600000001</v>
      </c>
      <c r="E36" s="35">
        <f t="shared" si="113"/>
        <v>18.548114000000002</v>
      </c>
      <c r="F36" s="211">
        <f>SUM(C36:E36)</f>
        <v>128.927627</v>
      </c>
      <c r="G36" s="220">
        <f>F36/A36</f>
        <v>1.28927627</v>
      </c>
      <c r="H36" s="170">
        <f>H3</f>
        <v>19.847671000000005</v>
      </c>
      <c r="I36" s="35">
        <f>I3</f>
        <v>106.381592</v>
      </c>
      <c r="J36" s="211">
        <f>H36+I36</f>
        <v>126.229263</v>
      </c>
      <c r="K36" s="220">
        <f>J36/A36</f>
        <v>1.2622926300000001</v>
      </c>
      <c r="N36" s="219">
        <v>100</v>
      </c>
      <c r="O36" s="169" t="s">
        <v>0</v>
      </c>
      <c r="P36" s="170">
        <f>P3</f>
        <v>3.6765769999999947</v>
      </c>
      <c r="Q36" s="35">
        <f t="shared" ref="Q36:R36" si="114">Q3</f>
        <v>106.70293600000001</v>
      </c>
      <c r="R36" s="35">
        <f t="shared" si="114"/>
        <v>18.548114000000002</v>
      </c>
      <c r="S36" s="211">
        <f>SUM(P36:R36)</f>
        <v>128.927627</v>
      </c>
      <c r="T36" s="220">
        <f>S36/N36</f>
        <v>1.28927627</v>
      </c>
      <c r="U36" s="170">
        <f>U3</f>
        <v>19.847671000000005</v>
      </c>
      <c r="V36" s="35">
        <f>V3</f>
        <v>106.381592</v>
      </c>
      <c r="W36" s="211">
        <f>U36+V36</f>
        <v>126.229263</v>
      </c>
      <c r="X36" s="220">
        <f>W36/N36</f>
        <v>1.2622926300000001</v>
      </c>
      <c r="AA36" s="235">
        <v>1</v>
      </c>
      <c r="AB36" s="169" t="s">
        <v>0</v>
      </c>
      <c r="AC36" s="170">
        <f>AC3</f>
        <v>3.8933719999999994</v>
      </c>
      <c r="AD36" s="35">
        <f t="shared" ref="AD36:AE36" si="115">AD3</f>
        <v>149.56352799999999</v>
      </c>
      <c r="AE36" s="35">
        <f t="shared" si="115"/>
        <v>214.88430700000001</v>
      </c>
      <c r="AF36" s="211">
        <f>SUM(AC36:AE36)</f>
        <v>368.341207</v>
      </c>
      <c r="AG36" s="220">
        <f>AF36/1000</f>
        <v>0.368341207</v>
      </c>
      <c r="AH36" s="170">
        <f>AH3</f>
        <v>216.514104</v>
      </c>
      <c r="AI36" s="35">
        <f>AI3</f>
        <v>149.58412799999999</v>
      </c>
      <c r="AJ36" s="211">
        <f>AH36+AI36</f>
        <v>366.098232</v>
      </c>
      <c r="AK36" s="220">
        <f>AJ36/1000</f>
        <v>0.36609823200000002</v>
      </c>
      <c r="AN36" s="235">
        <v>1</v>
      </c>
      <c r="AO36" s="169" t="s">
        <v>0</v>
      </c>
      <c r="AP36" s="170">
        <f>AP3</f>
        <v>3.5997059999999976</v>
      </c>
      <c r="AQ36" s="35">
        <f t="shared" ref="AQ36:AR36" si="116">AQ3</f>
        <v>90.499050999999994</v>
      </c>
      <c r="AR36" s="35">
        <f t="shared" si="116"/>
        <v>110.604665</v>
      </c>
      <c r="AS36" s="211">
        <f>SUM(AP36:AR36)</f>
        <v>204.70342199999999</v>
      </c>
      <c r="AT36" s="220">
        <f>AS36/1000</f>
        <v>0.204703422</v>
      </c>
      <c r="AU36" s="170">
        <f>AU3</f>
        <v>111.87923999999998</v>
      </c>
      <c r="AV36" s="35">
        <f>AV3</f>
        <v>91.646871000000004</v>
      </c>
      <c r="AW36" s="211">
        <f>AU36+AV36</f>
        <v>203.52611099999999</v>
      </c>
      <c r="AX36" s="220">
        <f>AW36/1000</f>
        <v>0.20352611099999998</v>
      </c>
    </row>
    <row r="37" spans="1:50" ht="15.75" thickBot="1" x14ac:dyDescent="0.3">
      <c r="A37" s="207"/>
      <c r="B37" s="153" t="s">
        <v>16</v>
      </c>
      <c r="C37" s="166">
        <f>1.96*SQRT(C4)/SQRT(50)</f>
        <v>0.10611766540967625</v>
      </c>
      <c r="D37" s="130">
        <f t="shared" ref="D37:E37" si="117">1.96*SQRT(D4)/SQRT(50)</f>
        <v>9.7270122031382272E-2</v>
      </c>
      <c r="E37" s="130">
        <f t="shared" si="117"/>
        <v>1.1303610750552232E-2</v>
      </c>
      <c r="F37" s="187"/>
      <c r="G37" s="210"/>
      <c r="H37" s="166">
        <f t="shared" ref="H37:I37" si="118">1.96*SQRT(H4)/SQRT(50)</f>
        <v>0.11294464924023626</v>
      </c>
      <c r="I37" s="130">
        <f t="shared" si="118"/>
        <v>0.10291026615454843</v>
      </c>
      <c r="J37" s="187"/>
      <c r="K37" s="210"/>
      <c r="N37" s="207"/>
      <c r="O37" s="153" t="s">
        <v>16</v>
      </c>
      <c r="P37" s="166">
        <f>1.96*SQRT(P4)/SQRT(50)</f>
        <v>0.10611766540967625</v>
      </c>
      <c r="Q37" s="130">
        <f t="shared" ref="Q37:R37" si="119">1.96*SQRT(Q4)/SQRT(50)</f>
        <v>9.7270122031382272E-2</v>
      </c>
      <c r="R37" s="130">
        <f t="shared" si="119"/>
        <v>1.1303610750552232E-2</v>
      </c>
      <c r="S37" s="187"/>
      <c r="T37" s="210"/>
      <c r="U37" s="166">
        <f t="shared" ref="U37:V37" si="120">1.96*SQRT(U4)/SQRT(50)</f>
        <v>0.11294464924023626</v>
      </c>
      <c r="V37" s="130">
        <f t="shared" si="120"/>
        <v>0.10291026615454843</v>
      </c>
      <c r="W37" s="187"/>
      <c r="X37" s="210"/>
      <c r="AA37" s="234"/>
      <c r="AB37" s="153" t="s">
        <v>16</v>
      </c>
      <c r="AC37" s="166">
        <f>1.96*SQRT(AC4)/SQRT(50)</f>
        <v>0.62353813648244472</v>
      </c>
      <c r="AD37" s="130">
        <f t="shared" ref="AD37:AE37" si="121">1.96*SQRT(AD4)/SQRT(50)</f>
        <v>0.62151973950309891</v>
      </c>
      <c r="AE37" s="130">
        <f t="shared" si="121"/>
        <v>0.36329042808199613</v>
      </c>
      <c r="AF37" s="187"/>
      <c r="AG37" s="210"/>
      <c r="AH37" s="166">
        <f t="shared" ref="AH37:AI37" si="122">1.96*SQRT(AH4)/SQRT(50)</f>
        <v>0.72833299353523728</v>
      </c>
      <c r="AI37" s="130">
        <f t="shared" si="122"/>
        <v>0.34934051628747559</v>
      </c>
      <c r="AJ37" s="187"/>
      <c r="AK37" s="210"/>
      <c r="AN37" s="234"/>
      <c r="AO37" s="153" t="s">
        <v>16</v>
      </c>
      <c r="AP37" s="166">
        <f>1.96*SQRT(AP4)/SQRT(50)</f>
        <v>4.6182025594380331E-2</v>
      </c>
      <c r="AQ37" s="130">
        <f t="shared" ref="AQ37:AR37" si="123">1.96*SQRT(AQ4)/SQRT(50)</f>
        <v>4.3126235912724867E-2</v>
      </c>
      <c r="AR37" s="130">
        <f t="shared" si="123"/>
        <v>5.557559176473068E-3</v>
      </c>
      <c r="AS37" s="187"/>
      <c r="AT37" s="210"/>
      <c r="AU37" s="166">
        <f t="shared" ref="AU37:AV37" si="124">1.96*SQRT(AU4)/SQRT(50)</f>
        <v>7.7026254433147659E-2</v>
      </c>
      <c r="AV37" s="130">
        <f t="shared" si="124"/>
        <v>6.6799491495070529E-2</v>
      </c>
      <c r="AW37" s="187"/>
      <c r="AX37" s="210"/>
    </row>
    <row r="38" spans="1:50" x14ac:dyDescent="0.25">
      <c r="A38" s="207">
        <v>200</v>
      </c>
      <c r="B38" s="153" t="s">
        <v>0</v>
      </c>
      <c r="C38" s="155">
        <f>C5</f>
        <v>3.4987630000000252</v>
      </c>
      <c r="D38" s="152">
        <f t="shared" ref="D38:E38" si="125">D5</f>
        <v>146.33821</v>
      </c>
      <c r="E38" s="152">
        <f t="shared" si="125"/>
        <v>34.734493999999998</v>
      </c>
      <c r="F38" s="208">
        <f t="shared" ref="F38" si="126">SUM(C38:E38)</f>
        <v>184.57146700000004</v>
      </c>
      <c r="G38" s="209">
        <f>F38/A38</f>
        <v>0.92285733500000022</v>
      </c>
      <c r="H38" s="161">
        <f>H5</f>
        <v>36.082121999999998</v>
      </c>
      <c r="I38" s="154">
        <f>I5</f>
        <v>145.54037</v>
      </c>
      <c r="J38" s="208">
        <f>H38+I38</f>
        <v>181.62249199999999</v>
      </c>
      <c r="K38" s="209">
        <f>J38/A38</f>
        <v>0.90811246000000001</v>
      </c>
      <c r="N38" s="207">
        <v>200</v>
      </c>
      <c r="O38" s="153" t="s">
        <v>0</v>
      </c>
      <c r="P38" s="155">
        <f>P5</f>
        <v>3.4987630000000252</v>
      </c>
      <c r="Q38" s="152">
        <f t="shared" ref="Q38:R38" si="127">Q5</f>
        <v>146.33821</v>
      </c>
      <c r="R38" s="152">
        <f t="shared" si="127"/>
        <v>34.734493999999998</v>
      </c>
      <c r="S38" s="208">
        <f t="shared" ref="S38" si="128">SUM(P38:R38)</f>
        <v>184.57146700000004</v>
      </c>
      <c r="T38" s="209">
        <f>S38/N38</f>
        <v>0.92285733500000022</v>
      </c>
      <c r="U38" s="161">
        <f>U5</f>
        <v>36.082121999999998</v>
      </c>
      <c r="V38" s="154">
        <f>V5</f>
        <v>145.54037</v>
      </c>
      <c r="W38" s="208">
        <f>U38+V38</f>
        <v>181.62249199999999</v>
      </c>
      <c r="X38" s="209">
        <f>W38/N38</f>
        <v>0.90811246000000001</v>
      </c>
      <c r="AA38" s="233">
        <f>AA36*2</f>
        <v>2</v>
      </c>
      <c r="AB38" s="153" t="s">
        <v>0</v>
      </c>
      <c r="AC38" s="155">
        <f>AC5</f>
        <v>3.6128479999999854</v>
      </c>
      <c r="AD38" s="152">
        <f t="shared" ref="AD38:AE38" si="129">AD5</f>
        <v>94.149453999999992</v>
      </c>
      <c r="AE38" s="152">
        <f t="shared" si="129"/>
        <v>214.788094</v>
      </c>
      <c r="AF38" s="208">
        <f t="shared" ref="AF38" si="130">SUM(AC38:AE38)</f>
        <v>312.55039599999998</v>
      </c>
      <c r="AG38" s="220">
        <f t="shared" ref="AG38" si="131">AF38/1000</f>
        <v>0.31255039599999995</v>
      </c>
      <c r="AH38" s="161">
        <f>AH5</f>
        <v>216.01131800000002</v>
      </c>
      <c r="AI38" s="154">
        <f>AI5</f>
        <v>97.727506000000005</v>
      </c>
      <c r="AJ38" s="208">
        <f>AH38+AI38</f>
        <v>313.73882400000002</v>
      </c>
      <c r="AK38" s="220">
        <f t="shared" ref="AK38" si="132">AJ38/1000</f>
        <v>0.31373882400000003</v>
      </c>
      <c r="AN38" s="233">
        <f>AN36*2</f>
        <v>2</v>
      </c>
      <c r="AO38" s="153" t="s">
        <v>0</v>
      </c>
      <c r="AP38" s="155">
        <f>AP5</f>
        <v>3.6000160000000108</v>
      </c>
      <c r="AQ38" s="152">
        <f t="shared" ref="AQ38:AR38" si="133">AQ5</f>
        <v>81.015197999999998</v>
      </c>
      <c r="AR38" s="152">
        <f t="shared" si="133"/>
        <v>111.633668</v>
      </c>
      <c r="AS38" s="208">
        <f t="shared" ref="AS38" si="134">SUM(AP38:AR38)</f>
        <v>196.24888200000001</v>
      </c>
      <c r="AT38" s="220">
        <f t="shared" ref="AT38" si="135">AS38/1000</f>
        <v>0.19624888200000001</v>
      </c>
      <c r="AU38" s="161">
        <f>AU5</f>
        <v>112.89974199999999</v>
      </c>
      <c r="AV38" s="154">
        <f>AV5</f>
        <v>84.909260000000003</v>
      </c>
      <c r="AW38" s="208">
        <f>AU38+AV38</f>
        <v>197.80900199999999</v>
      </c>
      <c r="AX38" s="220">
        <f t="shared" ref="AX38" si="136">AW38/1000</f>
        <v>0.19780900199999998</v>
      </c>
    </row>
    <row r="39" spans="1:50" ht="15.75" thickBot="1" x14ac:dyDescent="0.3">
      <c r="A39" s="207"/>
      <c r="B39" s="153" t="s">
        <v>16</v>
      </c>
      <c r="C39" s="166">
        <f>1.96*SQRT(C6)/SQRT(50)</f>
        <v>9.4186106831103275E-2</v>
      </c>
      <c r="D39" s="130">
        <f t="shared" ref="D39:E39" si="137">1.96*SQRT(D6)/SQRT(50)</f>
        <v>8.9976169111604221E-2</v>
      </c>
      <c r="E39" s="130">
        <f t="shared" si="137"/>
        <v>7.2493508674915169E-3</v>
      </c>
      <c r="F39" s="187"/>
      <c r="G39" s="210"/>
      <c r="H39" s="166">
        <f t="shared" ref="H39:I39" si="138">1.96*SQRT(H6)/SQRT(50)</f>
        <v>0.10533974368679656</v>
      </c>
      <c r="I39" s="130">
        <f t="shared" si="138"/>
        <v>9.2458832179516517E-2</v>
      </c>
      <c r="J39" s="187"/>
      <c r="K39" s="210"/>
      <c r="N39" s="207"/>
      <c r="O39" s="153" t="s">
        <v>16</v>
      </c>
      <c r="P39" s="166">
        <f>1.96*SQRT(P6)/SQRT(50)</f>
        <v>9.4186106831103275E-2</v>
      </c>
      <c r="Q39" s="130">
        <f t="shared" ref="Q39:R39" si="139">1.96*SQRT(Q6)/SQRT(50)</f>
        <v>8.9976169111604221E-2</v>
      </c>
      <c r="R39" s="130">
        <f t="shared" si="139"/>
        <v>7.2493508674915169E-3</v>
      </c>
      <c r="S39" s="187"/>
      <c r="T39" s="210"/>
      <c r="U39" s="166">
        <f t="shared" ref="U39:V39" si="140">1.96*SQRT(U6)/SQRT(50)</f>
        <v>0.10533974368679656</v>
      </c>
      <c r="V39" s="130">
        <f t="shared" si="140"/>
        <v>9.2458832179516517E-2</v>
      </c>
      <c r="W39" s="187"/>
      <c r="X39" s="210"/>
      <c r="AA39" s="234"/>
      <c r="AB39" s="153" t="s">
        <v>16</v>
      </c>
      <c r="AC39" s="166">
        <f>1.96*SQRT(AC6)/SQRT(50)</f>
        <v>0.13246120253115626</v>
      </c>
      <c r="AD39" s="130">
        <f t="shared" ref="AD39:AE39" si="141">1.96*SQRT(AD6)/SQRT(50)</f>
        <v>0.12691813487441422</v>
      </c>
      <c r="AE39" s="130">
        <f t="shared" si="141"/>
        <v>1.7109351828751434E-2</v>
      </c>
      <c r="AF39" s="187"/>
      <c r="AG39" s="210"/>
      <c r="AH39" s="166">
        <f t="shared" ref="AH39:AI39" si="142">1.96*SQRT(AH6)/SQRT(50)</f>
        <v>0.15329255105190207</v>
      </c>
      <c r="AI39" s="130">
        <f t="shared" si="142"/>
        <v>0.13441856621761741</v>
      </c>
      <c r="AJ39" s="187"/>
      <c r="AK39" s="210"/>
      <c r="AN39" s="234"/>
      <c r="AO39" s="153" t="s">
        <v>16</v>
      </c>
      <c r="AP39" s="166">
        <f>1.96*SQRT(AP6)/SQRT(50)</f>
        <v>0.23381740294511866</v>
      </c>
      <c r="AQ39" s="130">
        <f t="shared" ref="AQ39:AR39" si="143">1.96*SQRT(AQ6)/SQRT(50)</f>
        <v>0.23250458176990835</v>
      </c>
      <c r="AR39" s="130">
        <f t="shared" si="143"/>
        <v>8.5927616049789254E-3</v>
      </c>
      <c r="AS39" s="187"/>
      <c r="AT39" s="210"/>
      <c r="AU39" s="166">
        <f t="shared" ref="AU39:AV39" si="144">1.96*SQRT(AU6)/SQRT(50)</f>
        <v>0.24006215701771905</v>
      </c>
      <c r="AV39" s="130">
        <f t="shared" si="144"/>
        <v>0.22854810259549299</v>
      </c>
      <c r="AW39" s="187"/>
      <c r="AX39" s="210"/>
    </row>
    <row r="40" spans="1:50" x14ac:dyDescent="0.25">
      <c r="A40" s="207">
        <v>300</v>
      </c>
      <c r="B40" s="153" t="s">
        <v>0</v>
      </c>
      <c r="C40" s="155">
        <f>C7</f>
        <v>3.6164699999999925</v>
      </c>
      <c r="D40" s="152">
        <f t="shared" ref="D40:E40" si="145">D7</f>
        <v>187.84648000000001</v>
      </c>
      <c r="E40" s="152">
        <f t="shared" si="145"/>
        <v>50.831505999999997</v>
      </c>
      <c r="F40" s="208">
        <f t="shared" ref="F40" si="146">SUM(C40:E40)</f>
        <v>242.294456</v>
      </c>
      <c r="G40" s="209">
        <f>F40/A40</f>
        <v>0.8076481866666666</v>
      </c>
      <c r="H40" s="161">
        <f>H7</f>
        <v>52.150013000000001</v>
      </c>
      <c r="I40" s="154">
        <f>I7</f>
        <v>186.969561</v>
      </c>
      <c r="J40" s="208">
        <f t="shared" ref="J40" si="147">H40+I40</f>
        <v>239.119574</v>
      </c>
      <c r="K40" s="209">
        <f>J40/A40</f>
        <v>0.79706524666666667</v>
      </c>
      <c r="N40" s="207">
        <v>300</v>
      </c>
      <c r="O40" s="153" t="s">
        <v>0</v>
      </c>
      <c r="P40" s="155">
        <f>P7</f>
        <v>3.6164699999999925</v>
      </c>
      <c r="Q40" s="152">
        <f t="shared" ref="Q40:R40" si="148">Q7</f>
        <v>187.84648000000001</v>
      </c>
      <c r="R40" s="152">
        <f t="shared" si="148"/>
        <v>50.831505999999997</v>
      </c>
      <c r="S40" s="208">
        <f t="shared" ref="S40" si="149">SUM(P40:R40)</f>
        <v>242.294456</v>
      </c>
      <c r="T40" s="209">
        <f>S40/N40</f>
        <v>0.8076481866666666</v>
      </c>
      <c r="U40" s="161">
        <f>U7</f>
        <v>52.150013000000001</v>
      </c>
      <c r="V40" s="154">
        <f>V7</f>
        <v>186.969561</v>
      </c>
      <c r="W40" s="208">
        <f t="shared" ref="W40" si="150">U40+V40</f>
        <v>239.119574</v>
      </c>
      <c r="X40" s="209">
        <f>W40/N40</f>
        <v>0.79706524666666667</v>
      </c>
      <c r="AA40" s="233">
        <f t="shared" ref="AA40" si="151">AA38*2</f>
        <v>4</v>
      </c>
      <c r="AB40" s="153" t="s">
        <v>0</v>
      </c>
      <c r="AC40" s="155">
        <f>AC7</f>
        <v>3.634698999999955</v>
      </c>
      <c r="AD40" s="152">
        <f t="shared" ref="AD40:AE40" si="152">AD7</f>
        <v>89.679258000000033</v>
      </c>
      <c r="AE40" s="152">
        <f t="shared" si="152"/>
        <v>216.14955399999999</v>
      </c>
      <c r="AF40" s="208">
        <f t="shared" ref="AF40" si="153">SUM(AC40:AE40)</f>
        <v>309.46351099999998</v>
      </c>
      <c r="AG40" s="220">
        <f t="shared" ref="AG40" si="154">AF40/1000</f>
        <v>0.30946351099999997</v>
      </c>
      <c r="AH40" s="161">
        <f>AH7</f>
        <v>217.07490100000001</v>
      </c>
      <c r="AI40" s="154">
        <f>AI7</f>
        <v>93.072942999999995</v>
      </c>
      <c r="AJ40" s="208">
        <f t="shared" ref="AJ40" si="155">AH40+AI40</f>
        <v>310.14784400000002</v>
      </c>
      <c r="AK40" s="220">
        <f t="shared" ref="AK40" si="156">AJ40/1000</f>
        <v>0.31014784400000001</v>
      </c>
      <c r="AN40" s="233">
        <f t="shared" ref="AN40" si="157">AN38*2</f>
        <v>4</v>
      </c>
      <c r="AO40" s="153" t="s">
        <v>0</v>
      </c>
      <c r="AP40" s="155">
        <f>AP7</f>
        <v>3.5886509999999987</v>
      </c>
      <c r="AQ40" s="152">
        <f t="shared" ref="AQ40:AR40" si="158">AQ7</f>
        <v>81.276299000000009</v>
      </c>
      <c r="AR40" s="152">
        <f t="shared" si="158"/>
        <v>111.957384</v>
      </c>
      <c r="AS40" s="208">
        <f t="shared" ref="AS40" si="159">SUM(AP40:AR40)</f>
        <v>196.82233400000001</v>
      </c>
      <c r="AT40" s="220">
        <f t="shared" ref="AT40" si="160">AS40/1000</f>
        <v>0.19682233400000002</v>
      </c>
      <c r="AU40" s="161">
        <f>AU7</f>
        <v>113.27375599999999</v>
      </c>
      <c r="AV40" s="154">
        <f>AV7</f>
        <v>83.965821000000005</v>
      </c>
      <c r="AW40" s="208">
        <f t="shared" ref="AW40" si="161">AU40+AV40</f>
        <v>197.239577</v>
      </c>
      <c r="AX40" s="220">
        <f t="shared" ref="AX40" si="162">AW40/1000</f>
        <v>0.197239577</v>
      </c>
    </row>
    <row r="41" spans="1:50" ht="15.75" thickBot="1" x14ac:dyDescent="0.3">
      <c r="A41" s="207"/>
      <c r="B41" s="153" t="s">
        <v>16</v>
      </c>
      <c r="C41" s="166">
        <f>1.96*SQRT(C8)/SQRT(50)</f>
        <v>9.3336755803916829E-2</v>
      </c>
      <c r="D41" s="130">
        <f t="shared" ref="D41:E41" si="163">1.96*SQRT(D8)/SQRT(50)</f>
        <v>8.1804116864617527E-2</v>
      </c>
      <c r="E41" s="130">
        <f t="shared" si="163"/>
        <v>1.3382652651847465E-2</v>
      </c>
      <c r="F41" s="187"/>
      <c r="G41" s="210"/>
      <c r="H41" s="166">
        <f t="shared" ref="H41:I41" si="164">1.96*SQRT(H8)/SQRT(50)</f>
        <v>9.1695746466234726E-2</v>
      </c>
      <c r="I41" s="130">
        <f t="shared" si="164"/>
        <v>8.3365230929926662E-2</v>
      </c>
      <c r="J41" s="187"/>
      <c r="K41" s="210"/>
      <c r="N41" s="207"/>
      <c r="O41" s="153" t="s">
        <v>16</v>
      </c>
      <c r="P41" s="166">
        <f>1.96*SQRT(P8)/SQRT(50)</f>
        <v>9.3336755803916829E-2</v>
      </c>
      <c r="Q41" s="130">
        <f t="shared" ref="Q41:R41" si="165">1.96*SQRT(Q8)/SQRT(50)</f>
        <v>8.1804116864617527E-2</v>
      </c>
      <c r="R41" s="130">
        <f t="shared" si="165"/>
        <v>1.3382652651847465E-2</v>
      </c>
      <c r="S41" s="187"/>
      <c r="T41" s="210"/>
      <c r="U41" s="166">
        <f t="shared" ref="U41:V41" si="166">1.96*SQRT(U8)/SQRT(50)</f>
        <v>9.1695746466234726E-2</v>
      </c>
      <c r="V41" s="130">
        <f t="shared" si="166"/>
        <v>8.3365230929926662E-2</v>
      </c>
      <c r="W41" s="187"/>
      <c r="X41" s="210"/>
      <c r="AA41" s="234"/>
      <c r="AB41" s="153" t="s">
        <v>16</v>
      </c>
      <c r="AC41" s="166">
        <f>1.96*SQRT(AC8)/SQRT(50)</f>
        <v>1.1665898924712146</v>
      </c>
      <c r="AD41" s="130">
        <f t="shared" ref="AD41:AE41" si="167">1.96*SQRT(AD8)/SQRT(50)</f>
        <v>1.1467266391603537</v>
      </c>
      <c r="AE41" s="130">
        <f t="shared" si="167"/>
        <v>0.80864469444620724</v>
      </c>
      <c r="AF41" s="187"/>
      <c r="AG41" s="210"/>
      <c r="AH41" s="166">
        <f t="shared" ref="AH41:AI41" si="168">1.96*SQRT(AH8)/SQRT(50)</f>
        <v>0.16905315301407423</v>
      </c>
      <c r="AI41" s="130">
        <f t="shared" si="168"/>
        <v>0.13137469308812863</v>
      </c>
      <c r="AJ41" s="187"/>
      <c r="AK41" s="210"/>
      <c r="AN41" s="234"/>
      <c r="AO41" s="153" t="s">
        <v>16</v>
      </c>
      <c r="AP41" s="166">
        <f>1.96*SQRT(AP8)/SQRT(50)</f>
        <v>0.15840850472117965</v>
      </c>
      <c r="AQ41" s="130">
        <f t="shared" ref="AQ41:AR41" si="169">1.96*SQRT(AQ8)/SQRT(50)</f>
        <v>0.15937752985913664</v>
      </c>
      <c r="AR41" s="130">
        <f t="shared" si="169"/>
        <v>7.2780160373552352E-2</v>
      </c>
      <c r="AS41" s="187"/>
      <c r="AT41" s="210"/>
      <c r="AU41" s="166">
        <f t="shared" ref="AU41:AV41" si="170">1.96*SQRT(AU8)/SQRT(50)</f>
        <v>0.14044408686733661</v>
      </c>
      <c r="AV41" s="130">
        <f t="shared" si="170"/>
        <v>0.14315998860016718</v>
      </c>
      <c r="AW41" s="187"/>
      <c r="AX41" s="210"/>
    </row>
    <row r="42" spans="1:50" x14ac:dyDescent="0.25">
      <c r="A42" s="207">
        <v>400</v>
      </c>
      <c r="B42" s="153" t="s">
        <v>0</v>
      </c>
      <c r="C42" s="155">
        <f>C9</f>
        <v>3.5086459999999988</v>
      </c>
      <c r="D42" s="152">
        <f t="shared" ref="D42:E42" si="171">D9</f>
        <v>232.89554299999998</v>
      </c>
      <c r="E42" s="152">
        <f t="shared" si="171"/>
        <v>66.816568000000004</v>
      </c>
      <c r="F42" s="208">
        <f t="shared" ref="F42" si="172">SUM(C42:E42)</f>
        <v>303.22075699999999</v>
      </c>
      <c r="G42" s="209">
        <f>F42/A42</f>
        <v>0.75805189249999994</v>
      </c>
      <c r="H42" s="161">
        <f>H9</f>
        <v>68.339635999999985</v>
      </c>
      <c r="I42" s="154">
        <f>I9</f>
        <v>232.16998699999999</v>
      </c>
      <c r="J42" s="208">
        <f t="shared" ref="J42" si="173">H42+I42</f>
        <v>300.50962299999998</v>
      </c>
      <c r="K42" s="209">
        <f>J42/A42</f>
        <v>0.75127405749999998</v>
      </c>
      <c r="N42" s="207">
        <v>400</v>
      </c>
      <c r="O42" s="153" t="s">
        <v>0</v>
      </c>
      <c r="P42" s="155">
        <f>P9</f>
        <v>3.5086459999999988</v>
      </c>
      <c r="Q42" s="152">
        <f t="shared" ref="Q42:R42" si="174">Q9</f>
        <v>232.89554299999998</v>
      </c>
      <c r="R42" s="152">
        <f t="shared" si="174"/>
        <v>66.816568000000004</v>
      </c>
      <c r="S42" s="208">
        <f t="shared" ref="S42" si="175">SUM(P42:R42)</f>
        <v>303.22075699999999</v>
      </c>
      <c r="T42" s="209">
        <f>S42/N42</f>
        <v>0.75805189249999994</v>
      </c>
      <c r="U42" s="161">
        <f>U9</f>
        <v>68.339635999999985</v>
      </c>
      <c r="V42" s="154">
        <f>V9</f>
        <v>232.16998699999999</v>
      </c>
      <c r="W42" s="208">
        <f t="shared" ref="W42" si="176">U42+V42</f>
        <v>300.50962299999998</v>
      </c>
      <c r="X42" s="209">
        <f>W42/N42</f>
        <v>0.75127405749999998</v>
      </c>
      <c r="AA42" s="233">
        <f t="shared" ref="AA42" si="177">AA40*2</f>
        <v>8</v>
      </c>
      <c r="AB42" s="153" t="s">
        <v>0</v>
      </c>
      <c r="AC42" s="155">
        <f>AC9</f>
        <v>3.6250579999999673</v>
      </c>
      <c r="AD42" s="152">
        <f t="shared" ref="AD42:AE42" si="178">AD9</f>
        <v>88.605606000000023</v>
      </c>
      <c r="AE42" s="152">
        <f t="shared" si="178"/>
        <v>213.270039</v>
      </c>
      <c r="AF42" s="208">
        <f t="shared" ref="AF42" si="179">SUM(AC42:AE42)</f>
        <v>305.50070299999999</v>
      </c>
      <c r="AG42" s="220">
        <f t="shared" ref="AG42" si="180">AF42/1000</f>
        <v>0.30550070299999998</v>
      </c>
      <c r="AH42" s="161">
        <f>AH9</f>
        <v>214.97248999999999</v>
      </c>
      <c r="AI42" s="154">
        <f>AI9</f>
        <v>88.952746000000005</v>
      </c>
      <c r="AJ42" s="208">
        <f t="shared" ref="AJ42" si="181">AH42+AI42</f>
        <v>303.92523599999998</v>
      </c>
      <c r="AK42" s="220">
        <f t="shared" ref="AK42" si="182">AJ42/1000</f>
        <v>0.30392523599999999</v>
      </c>
      <c r="AN42" s="233">
        <f t="shared" ref="AN42" si="183">AN40*2</f>
        <v>8</v>
      </c>
      <c r="AO42" s="153" t="s">
        <v>0</v>
      </c>
      <c r="AP42" s="155">
        <f>AP9</f>
        <v>3.5792979999999943</v>
      </c>
      <c r="AQ42" s="152">
        <f t="shared" ref="AQ42:AR42" si="184">AQ9</f>
        <v>78.300695000000005</v>
      </c>
      <c r="AR42" s="152">
        <f t="shared" si="184"/>
        <v>86.725545999999994</v>
      </c>
      <c r="AS42" s="208">
        <f t="shared" ref="AS42" si="185">SUM(AP42:AR42)</f>
        <v>168.60553899999999</v>
      </c>
      <c r="AT42" s="220">
        <f t="shared" ref="AT42" si="186">AS42/1000</f>
        <v>0.168605539</v>
      </c>
      <c r="AU42" s="161">
        <f>AU9</f>
        <v>87.497533000000004</v>
      </c>
      <c r="AV42" s="154">
        <f>AV9</f>
        <v>78.883173999999997</v>
      </c>
      <c r="AW42" s="208">
        <f t="shared" ref="AW42" si="187">AU42+AV42</f>
        <v>166.380707</v>
      </c>
      <c r="AX42" s="220">
        <f t="shared" ref="AX42" si="188">AW42/1000</f>
        <v>0.16638070699999999</v>
      </c>
    </row>
    <row r="43" spans="1:50" ht="15.75" thickBot="1" x14ac:dyDescent="0.3">
      <c r="A43" s="207"/>
      <c r="B43" s="153" t="s">
        <v>16</v>
      </c>
      <c r="C43" s="166">
        <f>1.96*SQRT(C10)/SQRT(50)</f>
        <v>9.5035143141892514E-2</v>
      </c>
      <c r="D43" s="130">
        <f t="shared" ref="D43:E43" si="189">1.96*SQRT(D10)/SQRT(50)</f>
        <v>9.3419447739750625E-2</v>
      </c>
      <c r="E43" s="130">
        <f t="shared" si="189"/>
        <v>1.6339865360522406E-2</v>
      </c>
      <c r="F43" s="187"/>
      <c r="G43" s="210"/>
      <c r="H43" s="166">
        <f t="shared" ref="H43:I43" si="190">1.96*SQRT(H10)/SQRT(50)</f>
        <v>0.10047786637862091</v>
      </c>
      <c r="I43" s="130">
        <f t="shared" si="190"/>
        <v>7.988869597133251E-2</v>
      </c>
      <c r="J43" s="187"/>
      <c r="K43" s="210"/>
      <c r="N43" s="207"/>
      <c r="O43" s="153" t="s">
        <v>16</v>
      </c>
      <c r="P43" s="166">
        <f>1.96*SQRT(P10)/SQRT(50)</f>
        <v>9.5035143141892514E-2</v>
      </c>
      <c r="Q43" s="130">
        <f t="shared" ref="Q43:R43" si="191">1.96*SQRT(Q10)/SQRT(50)</f>
        <v>9.3419447739750625E-2</v>
      </c>
      <c r="R43" s="130">
        <f t="shared" si="191"/>
        <v>1.6339865360522406E-2</v>
      </c>
      <c r="S43" s="187"/>
      <c r="T43" s="210"/>
      <c r="U43" s="166">
        <f t="shared" ref="U43:V43" si="192">1.96*SQRT(U10)/SQRT(50)</f>
        <v>0.10047786637862091</v>
      </c>
      <c r="V43" s="130">
        <f t="shared" si="192"/>
        <v>7.988869597133251E-2</v>
      </c>
      <c r="W43" s="187"/>
      <c r="X43" s="210"/>
      <c r="AA43" s="234"/>
      <c r="AB43" s="153" t="s">
        <v>16</v>
      </c>
      <c r="AC43" s="166">
        <f>1.96*SQRT(AC10)/SQRT(50)</f>
        <v>0.19339033059592198</v>
      </c>
      <c r="AD43" s="130">
        <f t="shared" ref="AD43:AE43" si="193">1.96*SQRT(AD10)/SQRT(50)</f>
        <v>0.18949804659679212</v>
      </c>
      <c r="AE43" s="130">
        <f t="shared" si="193"/>
        <v>8.2039990443685443E-2</v>
      </c>
      <c r="AF43" s="187"/>
      <c r="AG43" s="210"/>
      <c r="AH43" s="166">
        <f t="shared" ref="AH43:AI43" si="194">1.96*SQRT(AH10)/SQRT(50)</f>
        <v>0.16825752395658267</v>
      </c>
      <c r="AI43" s="130">
        <f t="shared" si="194"/>
        <v>0.12692903100551897</v>
      </c>
      <c r="AJ43" s="187"/>
      <c r="AK43" s="210"/>
      <c r="AN43" s="234"/>
      <c r="AO43" s="153" t="s">
        <v>16</v>
      </c>
      <c r="AP43" s="166">
        <f>1.96*SQRT(AP10)/SQRT(50)</f>
        <v>0.27967558606356757</v>
      </c>
      <c r="AQ43" s="130">
        <f t="shared" ref="AQ43:AR43" si="195">1.96*SQRT(AQ10)/SQRT(50)</f>
        <v>0.28027300970303937</v>
      </c>
      <c r="AR43" s="130">
        <f t="shared" si="195"/>
        <v>0.23405666438706674</v>
      </c>
      <c r="AS43" s="187"/>
      <c r="AT43" s="210"/>
      <c r="AU43" s="166">
        <f t="shared" ref="AU43:AV43" si="196">1.96*SQRT(AU10)/SQRT(50)</f>
        <v>0.27298824836245239</v>
      </c>
      <c r="AV43" s="130">
        <f t="shared" si="196"/>
        <v>0.15258294730408109</v>
      </c>
      <c r="AW43" s="187"/>
      <c r="AX43" s="210"/>
    </row>
    <row r="44" spans="1:50" x14ac:dyDescent="0.25">
      <c r="A44" s="219">
        <v>500</v>
      </c>
      <c r="B44" s="169" t="s">
        <v>0</v>
      </c>
      <c r="C44" s="170">
        <f>C11</f>
        <v>3.6722209999999791</v>
      </c>
      <c r="D44" s="35">
        <f>D11</f>
        <v>270.598725</v>
      </c>
      <c r="E44" s="35">
        <f>E11</f>
        <v>83.150891999999999</v>
      </c>
      <c r="F44" s="211">
        <f>SUM(C44:E44)</f>
        <v>357.42183799999998</v>
      </c>
      <c r="G44" s="220">
        <f>F44/A44</f>
        <v>0.71484367599999998</v>
      </c>
      <c r="H44" s="170">
        <f>H11</f>
        <v>84.598243999999966</v>
      </c>
      <c r="I44" s="35">
        <f>I11</f>
        <v>270.26393100000001</v>
      </c>
      <c r="J44" s="211">
        <f>H44+I44</f>
        <v>354.86217499999998</v>
      </c>
      <c r="K44" s="220">
        <f>J44/A44</f>
        <v>0.70972435</v>
      </c>
      <c r="N44" s="219">
        <v>500</v>
      </c>
      <c r="O44" s="169" t="s">
        <v>0</v>
      </c>
      <c r="P44" s="170">
        <f>P11</f>
        <v>3.6722209999999791</v>
      </c>
      <c r="Q44" s="35">
        <f>Q11</f>
        <v>270.598725</v>
      </c>
      <c r="R44" s="35">
        <f>R11</f>
        <v>83.150891999999999</v>
      </c>
      <c r="S44" s="211">
        <f>SUM(P44:R44)</f>
        <v>357.42183799999998</v>
      </c>
      <c r="T44" s="220">
        <f>S44/N44</f>
        <v>0.71484367599999998</v>
      </c>
      <c r="U44" s="170">
        <f>U11</f>
        <v>84.598243999999966</v>
      </c>
      <c r="V44" s="35">
        <f>V11</f>
        <v>270.26393100000001</v>
      </c>
      <c r="W44" s="211">
        <f>U44+V44</f>
        <v>354.86217499999998</v>
      </c>
      <c r="X44" s="220">
        <f>W44/N44</f>
        <v>0.70972435</v>
      </c>
      <c r="AA44" s="233">
        <f t="shared" ref="AA44" si="197">AA42*2</f>
        <v>16</v>
      </c>
      <c r="AB44" s="169" t="s">
        <v>0</v>
      </c>
      <c r="AC44" s="170">
        <f>AC11</f>
        <v>3.5766399999999976</v>
      </c>
      <c r="AD44" s="35">
        <f>AD11</f>
        <v>84.593624999999975</v>
      </c>
      <c r="AE44" s="35">
        <f>AE11</f>
        <v>179.43454600000001</v>
      </c>
      <c r="AF44" s="211">
        <f>SUM(AC44:AE44)</f>
        <v>267.60481099999998</v>
      </c>
      <c r="AG44" s="220">
        <f t="shared" ref="AG44" si="198">AF44/1000</f>
        <v>0.267604811</v>
      </c>
      <c r="AH44" s="170">
        <f>AH11</f>
        <v>180.59085799999997</v>
      </c>
      <c r="AI44" s="35">
        <f>AI11</f>
        <v>84.619433999999998</v>
      </c>
      <c r="AJ44" s="211">
        <f>AH44+AI44</f>
        <v>265.21029199999998</v>
      </c>
      <c r="AK44" s="220">
        <f t="shared" ref="AK44" si="199">AJ44/1000</f>
        <v>0.26521029199999996</v>
      </c>
      <c r="AN44" s="233">
        <f t="shared" ref="AN44" si="200">AN42*2</f>
        <v>16</v>
      </c>
      <c r="AO44" s="169" t="s">
        <v>0</v>
      </c>
      <c r="AP44" s="170">
        <f>AP11</f>
        <v>3.5654520000000218</v>
      </c>
      <c r="AQ44" s="35">
        <f>AQ11</f>
        <v>80.175264999999996</v>
      </c>
      <c r="AR44" s="35">
        <f>AR11</f>
        <v>83.240061999999995</v>
      </c>
      <c r="AS44" s="211">
        <f>SUM(AP44:AR44)</f>
        <v>166.98077900000001</v>
      </c>
      <c r="AT44" s="220">
        <f t="shared" ref="AT44" si="201">AS44/1000</f>
        <v>0.16698077900000002</v>
      </c>
      <c r="AU44" s="170">
        <f>AU11</f>
        <v>84.575753999999989</v>
      </c>
      <c r="AV44" s="35">
        <f>AV11</f>
        <v>79.732650000000007</v>
      </c>
      <c r="AW44" s="211">
        <f>AU44+AV44</f>
        <v>164.308404</v>
      </c>
      <c r="AX44" s="220">
        <f t="shared" ref="AX44" si="202">AW44/1000</f>
        <v>0.16430840399999999</v>
      </c>
    </row>
    <row r="45" spans="1:50" ht="15.75" thickBot="1" x14ac:dyDescent="0.3">
      <c r="A45" s="207"/>
      <c r="B45" s="153" t="s">
        <v>16</v>
      </c>
      <c r="C45" s="166">
        <f>1.96*SQRT(C12)/SQRT(50)</f>
        <v>7.584718847788624E-2</v>
      </c>
      <c r="D45" s="130">
        <f>1.96*SQRT(D12)/SQRT(50)</f>
        <v>5.7520573849710502E-2</v>
      </c>
      <c r="E45" s="130">
        <f>1.96*SQRT(E12)/SQRT(50)</f>
        <v>4.663482166793393E-2</v>
      </c>
      <c r="F45" s="187"/>
      <c r="G45" s="210"/>
      <c r="H45" s="166">
        <f>1.96*SQRT(H12)/SQRT(50)</f>
        <v>6.2951099243778091E-2</v>
      </c>
      <c r="I45" s="130">
        <f>1.96*SQRT(I12)/SQRT(50)</f>
        <v>8.8460513043956496E-2</v>
      </c>
      <c r="J45" s="187"/>
      <c r="K45" s="210"/>
      <c r="N45" s="207"/>
      <c r="O45" s="153" t="s">
        <v>16</v>
      </c>
      <c r="P45" s="166">
        <f>1.96*SQRT(P12)/SQRT(50)</f>
        <v>7.584718847788624E-2</v>
      </c>
      <c r="Q45" s="130">
        <f>1.96*SQRT(Q12)/SQRT(50)</f>
        <v>5.7520573849710502E-2</v>
      </c>
      <c r="R45" s="130">
        <f>1.96*SQRT(R12)/SQRT(50)</f>
        <v>4.663482166793393E-2</v>
      </c>
      <c r="S45" s="187"/>
      <c r="T45" s="210"/>
      <c r="U45" s="166">
        <f>1.96*SQRT(U12)/SQRT(50)</f>
        <v>6.2951099243778091E-2</v>
      </c>
      <c r="V45" s="130">
        <f>1.96*SQRT(V12)/SQRT(50)</f>
        <v>8.8460513043956496E-2</v>
      </c>
      <c r="W45" s="187"/>
      <c r="X45" s="210"/>
      <c r="AA45" s="234"/>
      <c r="AB45" s="153" t="s">
        <v>16</v>
      </c>
      <c r="AC45" s="166">
        <f>1.96*SQRT(AC12)/SQRT(50)</f>
        <v>0.45273785400383737</v>
      </c>
      <c r="AD45" s="130">
        <f>1.96*SQRT(AD12)/SQRT(50)</f>
        <v>0.4555906905458012</v>
      </c>
      <c r="AE45" s="130">
        <f>1.96*SQRT(AE12)/SQRT(50)</f>
        <v>0.44631020516228392</v>
      </c>
      <c r="AF45" s="187"/>
      <c r="AG45" s="210"/>
      <c r="AH45" s="166">
        <f>1.96*SQRT(AH12)/SQRT(50)</f>
        <v>0.41111979988319708</v>
      </c>
      <c r="AI45" s="130">
        <f>1.96*SQRT(AI12)/SQRT(50)</f>
        <v>0.14591538534369841</v>
      </c>
      <c r="AJ45" s="187"/>
      <c r="AK45" s="210"/>
      <c r="AN45" s="234"/>
      <c r="AO45" s="153" t="s">
        <v>16</v>
      </c>
      <c r="AP45" s="166">
        <f>1.96*SQRT(AP12)/SQRT(50)</f>
        <v>9.7383009770698706E-2</v>
      </c>
      <c r="AQ45" s="130">
        <f>1.96*SQRT(AQ12)/SQRT(50)</f>
        <v>9.6887064482313628E-2</v>
      </c>
      <c r="AR45" s="130">
        <f>1.96*SQRT(AR12)/SQRT(50)</f>
        <v>2.576337803937985E-2</v>
      </c>
      <c r="AS45" s="187"/>
      <c r="AT45" s="210"/>
      <c r="AU45" s="166">
        <f>1.96*SQRT(AU12)/SQRT(50)</f>
        <v>0.10468712104170216</v>
      </c>
      <c r="AV45" s="130">
        <f>1.96*SQRT(AV12)/SQRT(50)</f>
        <v>7.2638562540843277E-2</v>
      </c>
      <c r="AW45" s="187"/>
      <c r="AX45" s="210"/>
    </row>
    <row r="46" spans="1:50" x14ac:dyDescent="0.25">
      <c r="A46" s="219">
        <v>600</v>
      </c>
      <c r="B46" s="169" t="s">
        <v>0</v>
      </c>
      <c r="C46" s="170">
        <f>C13</f>
        <v>0</v>
      </c>
      <c r="D46" s="35">
        <f t="shared" ref="D46:E46" si="203">D13</f>
        <v>0</v>
      </c>
      <c r="E46" s="35">
        <f t="shared" si="203"/>
        <v>0</v>
      </c>
      <c r="F46" s="211">
        <f>SUM(C46:E46)</f>
        <v>0</v>
      </c>
      <c r="G46" s="220">
        <f>F46/A46</f>
        <v>0</v>
      </c>
      <c r="H46" s="170">
        <f>H13</f>
        <v>0</v>
      </c>
      <c r="I46" s="35">
        <f>I13</f>
        <v>0</v>
      </c>
      <c r="J46" s="211">
        <f>H46+I46</f>
        <v>0</v>
      </c>
      <c r="K46" s="220">
        <f>J46/A46</f>
        <v>0</v>
      </c>
      <c r="N46" s="219">
        <v>600</v>
      </c>
      <c r="O46" s="169" t="s">
        <v>0</v>
      </c>
      <c r="P46" s="170">
        <f>P13</f>
        <v>3.5139920000000302</v>
      </c>
      <c r="Q46" s="35">
        <f t="shared" ref="Q46:R46" si="204">Q13</f>
        <v>274.743403</v>
      </c>
      <c r="R46" s="35">
        <f t="shared" si="204"/>
        <v>99.259257000000005</v>
      </c>
      <c r="S46" s="211">
        <f>SUM(P46:R46)</f>
        <v>377.51665200000002</v>
      </c>
      <c r="T46" s="220">
        <f>S46/N46</f>
        <v>0.62919442000000003</v>
      </c>
      <c r="U46" s="170">
        <f>U13</f>
        <v>100.47582500000004</v>
      </c>
      <c r="V46" s="35">
        <f>V13</f>
        <v>274.32498399999997</v>
      </c>
      <c r="W46" s="211">
        <f>U46+V46</f>
        <v>374.80080900000002</v>
      </c>
      <c r="X46" s="220">
        <f>W46/N46</f>
        <v>0.62466801500000002</v>
      </c>
      <c r="AA46" s="233">
        <f t="shared" ref="AA46" si="205">AA44*2</f>
        <v>32</v>
      </c>
      <c r="AB46" s="169" t="s">
        <v>0</v>
      </c>
      <c r="AC46" s="170">
        <f>AC13</f>
        <v>3.5739590000000021</v>
      </c>
      <c r="AD46" s="35">
        <f t="shared" ref="AD46:AE46" si="206">AD13</f>
        <v>86.060580000000016</v>
      </c>
      <c r="AE46" s="35">
        <f t="shared" si="206"/>
        <v>164.28814399999999</v>
      </c>
      <c r="AF46" s="211">
        <f>SUM(AC46:AE46)</f>
        <v>253.92268300000001</v>
      </c>
      <c r="AG46" s="220">
        <f t="shared" ref="AG46" si="207">AF46/1000</f>
        <v>0.25392268299999998</v>
      </c>
      <c r="AH46" s="170">
        <f>AH13</f>
        <v>165.08361600000001</v>
      </c>
      <c r="AI46" s="35">
        <f>AI13</f>
        <v>85.345416</v>
      </c>
      <c r="AJ46" s="211">
        <f>AH46+AI46</f>
        <v>250.42903200000001</v>
      </c>
      <c r="AK46" s="220">
        <f t="shared" ref="AK46" si="208">AJ46/1000</f>
        <v>0.250429032</v>
      </c>
      <c r="AN46" s="233">
        <f t="shared" ref="AN46" si="209">AN44*2</f>
        <v>32</v>
      </c>
      <c r="AO46" s="169" t="s">
        <v>0</v>
      </c>
      <c r="AP46" s="170">
        <f>AP13</f>
        <v>3.5390579999999829</v>
      </c>
      <c r="AQ46" s="35">
        <f t="shared" ref="AQ46:AR46" si="210">AQ13</f>
        <v>87.354160000000007</v>
      </c>
      <c r="AR46" s="35">
        <f t="shared" si="210"/>
        <v>83.180632000000003</v>
      </c>
      <c r="AS46" s="211">
        <f>SUM(AP46:AR46)</f>
        <v>174.07384999999999</v>
      </c>
      <c r="AT46" s="220">
        <f t="shared" ref="AT46" si="211">AS46/1000</f>
        <v>0.17407385</v>
      </c>
      <c r="AU46" s="170">
        <f>AU13</f>
        <v>84.489713000000009</v>
      </c>
      <c r="AV46" s="35">
        <f>AV13</f>
        <v>86.943078</v>
      </c>
      <c r="AW46" s="211">
        <f>AU46+AV46</f>
        <v>171.43279100000001</v>
      </c>
      <c r="AX46" s="220">
        <f t="shared" ref="AX46" si="212">AW46/1000</f>
        <v>0.171432791</v>
      </c>
    </row>
    <row r="47" spans="1:50" ht="15.75" thickBot="1" x14ac:dyDescent="0.3">
      <c r="A47" s="207"/>
      <c r="B47" s="153" t="s">
        <v>16</v>
      </c>
      <c r="C47" s="166">
        <f>1.96*SQRT(C14)/SQRT(50)</f>
        <v>0</v>
      </c>
      <c r="D47" s="130">
        <f t="shared" ref="D47:E47" si="213">1.96*SQRT(D14)/SQRT(50)</f>
        <v>0</v>
      </c>
      <c r="E47" s="130">
        <f t="shared" si="213"/>
        <v>0</v>
      </c>
      <c r="F47" s="187"/>
      <c r="G47" s="210"/>
      <c r="H47" s="166">
        <f t="shared" ref="H47:I47" si="214">1.96*SQRT(H14)/SQRT(50)</f>
        <v>0</v>
      </c>
      <c r="I47" s="130">
        <f t="shared" si="214"/>
        <v>0</v>
      </c>
      <c r="J47" s="187"/>
      <c r="K47" s="210"/>
      <c r="N47" s="207"/>
      <c r="O47" s="153" t="s">
        <v>16</v>
      </c>
      <c r="P47" s="166">
        <f>1.96*SQRT(P14)/SQRT(50)</f>
        <v>1.6716398655212791E-2</v>
      </c>
      <c r="Q47" s="130">
        <f t="shared" ref="Q47:R47" si="215">1.96*SQRT(Q14)/SQRT(50)</f>
        <v>1.5594014236238211E-2</v>
      </c>
      <c r="R47" s="130">
        <f t="shared" si="215"/>
        <v>9.885863846928097E-3</v>
      </c>
      <c r="S47" s="187"/>
      <c r="T47" s="210"/>
      <c r="U47" s="166">
        <f t="shared" ref="U47:V47" si="216">1.96*SQRT(U14)/SQRT(50)</f>
        <v>1.9899550949707381E-2</v>
      </c>
      <c r="V47" s="130">
        <f t="shared" si="216"/>
        <v>1.3635741270646049E-2</v>
      </c>
      <c r="W47" s="187"/>
      <c r="X47" s="210"/>
      <c r="AA47" s="234"/>
      <c r="AB47" s="153" t="s">
        <v>16</v>
      </c>
      <c r="AC47" s="166">
        <f>1.96*SQRT(AC14)/SQRT(50)</f>
        <v>1.3927615467868146</v>
      </c>
      <c r="AD47" s="130">
        <f t="shared" ref="AD47:AE47" si="217">1.96*SQRT(AD14)/SQRT(50)</f>
        <v>1.3765466385008536</v>
      </c>
      <c r="AE47" s="130">
        <f t="shared" si="217"/>
        <v>0.89472121557499673</v>
      </c>
      <c r="AF47" s="187"/>
      <c r="AG47" s="210"/>
      <c r="AH47" s="166">
        <f t="shared" ref="AH47:AI47" si="218">1.96*SQRT(AH14)/SQRT(50)</f>
        <v>0.13665009798752431</v>
      </c>
      <c r="AI47" s="130">
        <f t="shared" si="218"/>
        <v>8.6418887194871924E-2</v>
      </c>
      <c r="AJ47" s="187"/>
      <c r="AK47" s="210"/>
      <c r="AN47" s="234"/>
      <c r="AO47" s="153" t="s">
        <v>16</v>
      </c>
      <c r="AP47" s="166">
        <f>1.96*SQRT(AP14)/SQRT(50)</f>
        <v>9.9331593362836978E-2</v>
      </c>
      <c r="AQ47" s="130">
        <f t="shared" ref="AQ47:AR47" si="219">1.96*SQRT(AQ14)/SQRT(50)</f>
        <v>0.10002185537171362</v>
      </c>
      <c r="AR47" s="130">
        <f t="shared" si="219"/>
        <v>3.9170588966723485E-2</v>
      </c>
      <c r="AS47" s="187"/>
      <c r="AT47" s="210"/>
      <c r="AU47" s="166">
        <f t="shared" ref="AU47:AV47" si="220">1.96*SQRT(AU14)/SQRT(50)</f>
        <v>0.11302659113677631</v>
      </c>
      <c r="AV47" s="130">
        <f t="shared" si="220"/>
        <v>8.5934768935512926E-2</v>
      </c>
      <c r="AW47" s="187"/>
      <c r="AX47" s="210"/>
    </row>
    <row r="48" spans="1:50" x14ac:dyDescent="0.25">
      <c r="A48" s="207">
        <v>700</v>
      </c>
      <c r="B48" s="153" t="s">
        <v>0</v>
      </c>
      <c r="C48" s="155">
        <f>C15</f>
        <v>0</v>
      </c>
      <c r="D48" s="152">
        <f t="shared" ref="D48:E48" si="221">D15</f>
        <v>0</v>
      </c>
      <c r="E48" s="152">
        <f t="shared" si="221"/>
        <v>0</v>
      </c>
      <c r="F48" s="208">
        <f t="shared" ref="F48" si="222">SUM(C48:E48)</f>
        <v>0</v>
      </c>
      <c r="G48" s="209">
        <f>F48/A48</f>
        <v>0</v>
      </c>
      <c r="H48" s="161">
        <f>H15</f>
        <v>0</v>
      </c>
      <c r="I48" s="154">
        <f>I15</f>
        <v>0</v>
      </c>
      <c r="J48" s="208">
        <f>H48+I48</f>
        <v>0</v>
      </c>
      <c r="K48" s="209">
        <f>J48/A48</f>
        <v>0</v>
      </c>
      <c r="N48" s="207">
        <v>700</v>
      </c>
      <c r="O48" s="153" t="s">
        <v>0</v>
      </c>
      <c r="P48" s="155">
        <f>P15</f>
        <v>3.5270929999999794</v>
      </c>
      <c r="Q48" s="152">
        <f t="shared" ref="Q48:R48" si="223">Q15</f>
        <v>274.58058500000004</v>
      </c>
      <c r="R48" s="152">
        <f t="shared" si="223"/>
        <v>115.388498</v>
      </c>
      <c r="S48" s="208">
        <f t="shared" ref="S48" si="224">SUM(P48:R48)</f>
        <v>393.49617599999999</v>
      </c>
      <c r="T48" s="209">
        <f>S48/N48</f>
        <v>0.5621373942857143</v>
      </c>
      <c r="U48" s="161">
        <f>U15</f>
        <v>116.65772399999997</v>
      </c>
      <c r="V48" s="154">
        <f>V15</f>
        <v>273.85120000000001</v>
      </c>
      <c r="W48" s="208">
        <f>U48+V48</f>
        <v>390.50892399999998</v>
      </c>
      <c r="X48" s="209">
        <f>W48/N48</f>
        <v>0.55786989142857135</v>
      </c>
      <c r="AA48" s="233">
        <f t="shared" ref="AA48" si="225">AA46*2</f>
        <v>64</v>
      </c>
      <c r="AB48" s="153" t="s">
        <v>0</v>
      </c>
      <c r="AC48" s="155">
        <f>AC15</f>
        <v>3.5218330000000151</v>
      </c>
      <c r="AD48" s="152">
        <f t="shared" ref="AD48:AE48" si="226">AD15</f>
        <v>95.344961000000012</v>
      </c>
      <c r="AE48" s="152">
        <f t="shared" si="226"/>
        <v>163.79739699999999</v>
      </c>
      <c r="AF48" s="208">
        <f t="shared" ref="AF48" si="227">SUM(AC48:AE48)</f>
        <v>262.66419100000002</v>
      </c>
      <c r="AG48" s="220">
        <f t="shared" ref="AG48" si="228">AF48/1000</f>
        <v>0.26266419099999999</v>
      </c>
      <c r="AH48" s="161">
        <f>AH15</f>
        <v>165.16838799999999</v>
      </c>
      <c r="AI48" s="154">
        <f>AI15</f>
        <v>94.790878000000006</v>
      </c>
      <c r="AJ48" s="208">
        <f>AH48+AI48</f>
        <v>259.95926600000001</v>
      </c>
      <c r="AK48" s="220">
        <f t="shared" ref="AK48" si="229">AJ48/1000</f>
        <v>0.25995926600000002</v>
      </c>
      <c r="AN48" s="233">
        <f t="shared" ref="AN48" si="230">AN46*2</f>
        <v>64</v>
      </c>
      <c r="AO48" s="153" t="s">
        <v>0</v>
      </c>
      <c r="AP48" s="155">
        <f>AP15</f>
        <v>3.5547820000000172</v>
      </c>
      <c r="AQ48" s="152">
        <f t="shared" ref="AQ48:AR48" si="231">AQ15</f>
        <v>95.392279999999985</v>
      </c>
      <c r="AR48" s="152">
        <f t="shared" si="231"/>
        <v>83.106126000000003</v>
      </c>
      <c r="AS48" s="208">
        <f t="shared" ref="AS48" si="232">SUM(AP48:AR48)</f>
        <v>182.05318800000001</v>
      </c>
      <c r="AT48" s="220">
        <f t="shared" ref="AT48" si="233">AS48/1000</f>
        <v>0.182053188</v>
      </c>
      <c r="AU48" s="161">
        <f>AU15</f>
        <v>84.446573999999998</v>
      </c>
      <c r="AV48" s="154">
        <f>AV15</f>
        <v>94.965371000000005</v>
      </c>
      <c r="AW48" s="208">
        <f>AU48+AV48</f>
        <v>179.411945</v>
      </c>
      <c r="AX48" s="220">
        <f t="shared" ref="AX48" si="234">AW48/1000</f>
        <v>0.17941194499999999</v>
      </c>
    </row>
    <row r="49" spans="1:50" ht="15.75" thickBot="1" x14ac:dyDescent="0.3">
      <c r="A49" s="207"/>
      <c r="B49" s="153" t="s">
        <v>16</v>
      </c>
      <c r="C49" s="166">
        <f>1.96*SQRT(C16)/SQRT(50)</f>
        <v>0</v>
      </c>
      <c r="D49" s="130">
        <f t="shared" ref="D49:E49" si="235">1.96*SQRT(D16)/SQRT(50)</f>
        <v>0</v>
      </c>
      <c r="E49" s="130">
        <f t="shared" si="235"/>
        <v>0</v>
      </c>
      <c r="F49" s="187"/>
      <c r="G49" s="210"/>
      <c r="H49" s="166">
        <f t="shared" ref="H49:I49" si="236">1.96*SQRT(H16)/SQRT(50)</f>
        <v>0</v>
      </c>
      <c r="I49" s="130">
        <f t="shared" si="236"/>
        <v>0</v>
      </c>
      <c r="J49" s="187"/>
      <c r="K49" s="210"/>
      <c r="N49" s="207"/>
      <c r="O49" s="153" t="s">
        <v>16</v>
      </c>
      <c r="P49" s="166">
        <f>1.96*SQRT(P16)/SQRT(50)</f>
        <v>1.2340219771138599E-2</v>
      </c>
      <c r="Q49" s="130">
        <f t="shared" ref="Q49:R49" si="237">1.96*SQRT(Q16)/SQRT(50)</f>
        <v>1.0667154822163218E-2</v>
      </c>
      <c r="R49" s="130">
        <f t="shared" si="237"/>
        <v>3.4951806820248932E-3</v>
      </c>
      <c r="S49" s="187"/>
      <c r="T49" s="210"/>
      <c r="U49" s="166">
        <f t="shared" ref="U49:V49" si="238">1.96*SQRT(U16)/SQRT(50)</f>
        <v>9.0425912215470625E-2</v>
      </c>
      <c r="V49" s="130">
        <f t="shared" si="238"/>
        <v>6.6030768100939122E-2</v>
      </c>
      <c r="W49" s="187"/>
      <c r="X49" s="210"/>
      <c r="AA49" s="234"/>
      <c r="AB49" s="153" t="s">
        <v>16</v>
      </c>
      <c r="AC49" s="166">
        <f>1.96*SQRT(AC16)/SQRT(50)</f>
        <v>0.11881997865678987</v>
      </c>
      <c r="AD49" s="130">
        <f t="shared" ref="AD49:AE49" si="239">1.96*SQRT(AD16)/SQRT(50)</f>
        <v>0.12017149851774338</v>
      </c>
      <c r="AE49" s="130">
        <f t="shared" si="239"/>
        <v>4.7353372847137296E-2</v>
      </c>
      <c r="AF49" s="187"/>
      <c r="AG49" s="210"/>
      <c r="AH49" s="166">
        <f t="shared" ref="AH49:AI49" si="240">1.96*SQRT(AH16)/SQRT(50)</f>
        <v>0.13883470148345478</v>
      </c>
      <c r="AI49" s="130">
        <f t="shared" si="240"/>
        <v>8.9341177426761051E-2</v>
      </c>
      <c r="AJ49" s="187"/>
      <c r="AK49" s="210"/>
      <c r="AN49" s="234"/>
      <c r="AO49" s="153" t="s">
        <v>16</v>
      </c>
      <c r="AP49" s="166">
        <f>1.96*SQRT(AP16)/SQRT(50)</f>
        <v>0.11572268908040463</v>
      </c>
      <c r="AQ49" s="130">
        <f t="shared" ref="AQ49:AR49" si="241">1.96*SQRT(AQ16)/SQRT(50)</f>
        <v>0.1153169793569013</v>
      </c>
      <c r="AR49" s="130">
        <f t="shared" si="241"/>
        <v>2.3041465231187011E-2</v>
      </c>
      <c r="AS49" s="187"/>
      <c r="AT49" s="210"/>
      <c r="AU49" s="166">
        <f t="shared" ref="AU49:AV49" si="242">1.96*SQRT(AU16)/SQRT(50)</f>
        <v>0.10692154806211888</v>
      </c>
      <c r="AV49" s="130">
        <f t="shared" si="242"/>
        <v>8.165370350449512E-2</v>
      </c>
      <c r="AW49" s="187"/>
      <c r="AX49" s="210"/>
    </row>
    <row r="50" spans="1:50" x14ac:dyDescent="0.25">
      <c r="A50" s="207">
        <v>800</v>
      </c>
      <c r="B50" s="153" t="s">
        <v>0</v>
      </c>
      <c r="C50" s="155">
        <f>C17</f>
        <v>0</v>
      </c>
      <c r="D50" s="152">
        <f t="shared" ref="D50:E50" si="243">D17</f>
        <v>0</v>
      </c>
      <c r="E50" s="152">
        <f t="shared" si="243"/>
        <v>0</v>
      </c>
      <c r="F50" s="208">
        <f t="shared" ref="F50" si="244">SUM(C50:E50)</f>
        <v>0</v>
      </c>
      <c r="G50" s="209">
        <f>F50/A50</f>
        <v>0</v>
      </c>
      <c r="H50" s="161">
        <f>H17</f>
        <v>0</v>
      </c>
      <c r="I50" s="154">
        <f>I17</f>
        <v>0</v>
      </c>
      <c r="J50" s="208">
        <f t="shared" ref="J50" si="245">H50+I50</f>
        <v>0</v>
      </c>
      <c r="K50" s="209">
        <f>J50/A50</f>
        <v>0</v>
      </c>
      <c r="N50" s="207">
        <v>800</v>
      </c>
      <c r="O50" s="153" t="s">
        <v>0</v>
      </c>
      <c r="P50" s="155">
        <f>P17</f>
        <v>3.831027000000006</v>
      </c>
      <c r="Q50" s="152">
        <f t="shared" ref="Q50:R50" si="246">Q17</f>
        <v>274.38090799999998</v>
      </c>
      <c r="R50" s="152">
        <f t="shared" si="246"/>
        <v>131.55477400000001</v>
      </c>
      <c r="S50" s="208">
        <f t="shared" ref="S50" si="247">SUM(P50:R50)</f>
        <v>409.76670899999999</v>
      </c>
      <c r="T50" s="209">
        <f>S50/N50</f>
        <v>0.51220838624999998</v>
      </c>
      <c r="U50" s="161">
        <f>U17</f>
        <v>133.21897200000001</v>
      </c>
      <c r="V50" s="154">
        <f>V17</f>
        <v>273.960509</v>
      </c>
      <c r="W50" s="208">
        <f t="shared" ref="W50" si="248">U50+V50</f>
        <v>407.17948100000001</v>
      </c>
      <c r="X50" s="209">
        <f>W50/N50</f>
        <v>0.50897435125000001</v>
      </c>
      <c r="AA50" s="233">
        <f>AA48*2</f>
        <v>128</v>
      </c>
      <c r="AB50" s="153" t="s">
        <v>0</v>
      </c>
      <c r="AC50" s="155">
        <f>AC17</f>
        <v>3.5337349999999788</v>
      </c>
      <c r="AD50" s="152">
        <f t="shared" ref="AD50:AE50" si="249">AD17</f>
        <v>116.22693200000003</v>
      </c>
      <c r="AE50" s="152">
        <f t="shared" si="249"/>
        <v>163.67268899999999</v>
      </c>
      <c r="AF50" s="208">
        <f t="shared" ref="AF50" si="250">SUM(AC50:AE50)</f>
        <v>283.433356</v>
      </c>
      <c r="AG50" s="220">
        <f t="shared" ref="AG50" si="251">AF50/1000</f>
        <v>0.28343335600000003</v>
      </c>
      <c r="AH50" s="161">
        <f>AH17</f>
        <v>165.40854800000002</v>
      </c>
      <c r="AI50" s="154">
        <f>AI17</f>
        <v>115.865893</v>
      </c>
      <c r="AJ50" s="208">
        <f t="shared" ref="AJ50" si="252">AH50+AI50</f>
        <v>281.27444100000002</v>
      </c>
      <c r="AK50" s="220">
        <f t="shared" ref="AK50" si="253">AJ50/1000</f>
        <v>0.28127444100000004</v>
      </c>
      <c r="AN50" s="233">
        <f>AN48*2</f>
        <v>128</v>
      </c>
      <c r="AO50" s="153" t="s">
        <v>0</v>
      </c>
      <c r="AP50" s="155">
        <f>AP17</f>
        <v>3.5754359999999963</v>
      </c>
      <c r="AQ50" s="152">
        <f t="shared" ref="AQ50:AR50" si="254">AQ17</f>
        <v>116.21947599999999</v>
      </c>
      <c r="AR50" s="152">
        <f t="shared" si="254"/>
        <v>83.039207000000005</v>
      </c>
      <c r="AS50" s="208">
        <f t="shared" ref="AS50" si="255">SUM(AP50:AR50)</f>
        <v>202.83411899999999</v>
      </c>
      <c r="AT50" s="220">
        <f t="shared" ref="AT50" si="256">AS50/1000</f>
        <v>0.20283411899999998</v>
      </c>
      <c r="AU50" s="161">
        <f>AU17</f>
        <v>84.493319999999997</v>
      </c>
      <c r="AV50" s="154">
        <f>AV17</f>
        <v>115.70706800000001</v>
      </c>
      <c r="AW50" s="208">
        <f t="shared" ref="AW50" si="257">AU50+AV50</f>
        <v>200.200388</v>
      </c>
      <c r="AX50" s="220">
        <f t="shared" ref="AX50" si="258">AW50/1000</f>
        <v>0.20020038800000001</v>
      </c>
    </row>
    <row r="51" spans="1:50" ht="15.75" thickBot="1" x14ac:dyDescent="0.3">
      <c r="A51" s="207"/>
      <c r="B51" s="153" t="s">
        <v>16</v>
      </c>
      <c r="C51" s="166">
        <f>1.96*SQRT(C18)/SQRT(50)</f>
        <v>0</v>
      </c>
      <c r="D51" s="130">
        <f t="shared" ref="D51:E51" si="259">1.96*SQRT(D18)/SQRT(50)</f>
        <v>0</v>
      </c>
      <c r="E51" s="130">
        <f t="shared" si="259"/>
        <v>0</v>
      </c>
      <c r="F51" s="187"/>
      <c r="G51" s="210"/>
      <c r="H51" s="166">
        <f t="shared" ref="H51:I51" si="260">1.96*SQRT(H18)/SQRT(50)</f>
        <v>0</v>
      </c>
      <c r="I51" s="130">
        <f t="shared" si="260"/>
        <v>0</v>
      </c>
      <c r="J51" s="187"/>
      <c r="K51" s="210"/>
      <c r="N51" s="207"/>
      <c r="O51" s="153" t="s">
        <v>16</v>
      </c>
      <c r="P51" s="166">
        <f>1.96*SQRT(P18)/SQRT(50)</f>
        <v>0.10147009159353311</v>
      </c>
      <c r="Q51" s="130">
        <f t="shared" ref="Q51:R51" si="261">1.96*SQRT(Q18)/SQRT(50)</f>
        <v>9.6739055856463668E-2</v>
      </c>
      <c r="R51" s="130">
        <f t="shared" si="261"/>
        <v>3.6271122618413677E-2</v>
      </c>
      <c r="S51" s="187"/>
      <c r="T51" s="210"/>
      <c r="U51" s="166">
        <f t="shared" ref="U51:V51" si="262">1.96*SQRT(U18)/SQRT(50)</f>
        <v>9.7859955937043011E-2</v>
      </c>
      <c r="V51" s="130">
        <f t="shared" si="262"/>
        <v>6.6164444348909932E-2</v>
      </c>
      <c r="W51" s="187"/>
      <c r="X51" s="210"/>
      <c r="AA51" s="234"/>
      <c r="AB51" s="153" t="s">
        <v>16</v>
      </c>
      <c r="AC51" s="166">
        <f>1.96*SQRT(AC18)/SQRT(50)</f>
        <v>0.1166978798779138</v>
      </c>
      <c r="AD51" s="130">
        <f t="shared" ref="AD51:AE51" si="263">1.96*SQRT(AD18)/SQRT(50)</f>
        <v>0.11774658198011524</v>
      </c>
      <c r="AE51" s="130">
        <f t="shared" si="263"/>
        <v>4.5357804885157303E-2</v>
      </c>
      <c r="AF51" s="187"/>
      <c r="AG51" s="210"/>
      <c r="AH51" s="166">
        <f t="shared" ref="AH51:AI51" si="264">1.96*SQRT(AH18)/SQRT(50)</f>
        <v>1.1092194320836612</v>
      </c>
      <c r="AI51" s="130">
        <f t="shared" si="264"/>
        <v>0.46747606597129654</v>
      </c>
      <c r="AJ51" s="187"/>
      <c r="AK51" s="210"/>
      <c r="AN51" s="234"/>
      <c r="AO51" s="153" t="s">
        <v>16</v>
      </c>
      <c r="AP51" s="166">
        <f>1.96*SQRT(AP18)/SQRT(50)</f>
        <v>0.10485102391488602</v>
      </c>
      <c r="AQ51" s="130">
        <f t="shared" ref="AQ51:AR51" si="265">1.96*SQRT(AQ18)/SQRT(50)</f>
        <v>0.10284230382483658</v>
      </c>
      <c r="AR51" s="130">
        <f t="shared" si="265"/>
        <v>2.502821000391358E-2</v>
      </c>
      <c r="AS51" s="187"/>
      <c r="AT51" s="210"/>
      <c r="AU51" s="166">
        <f t="shared" ref="AU51:AV51" si="266">1.96*SQRT(AU18)/SQRT(50)</f>
        <v>0.10313847033963611</v>
      </c>
      <c r="AV51" s="130">
        <f t="shared" si="266"/>
        <v>7.6744950687325356E-2</v>
      </c>
      <c r="AW51" s="187"/>
      <c r="AX51" s="210"/>
    </row>
    <row r="52" spans="1:50" x14ac:dyDescent="0.25">
      <c r="A52" s="207">
        <v>900</v>
      </c>
      <c r="B52" s="153" t="s">
        <v>0</v>
      </c>
      <c r="C52" s="155">
        <f>C19</f>
        <v>0</v>
      </c>
      <c r="D52" s="152">
        <f t="shared" ref="D52:E52" si="267">D19</f>
        <v>0</v>
      </c>
      <c r="E52" s="152">
        <f t="shared" si="267"/>
        <v>0</v>
      </c>
      <c r="F52" s="208">
        <f t="shared" ref="F52" si="268">SUM(C52:E52)</f>
        <v>0</v>
      </c>
      <c r="G52" s="209">
        <f>F52/A52</f>
        <v>0</v>
      </c>
      <c r="H52" s="161">
        <f>H19</f>
        <v>0</v>
      </c>
      <c r="I52" s="154">
        <f>I19</f>
        <v>0</v>
      </c>
      <c r="J52" s="208">
        <f t="shared" ref="J52" si="269">H52+I52</f>
        <v>0</v>
      </c>
      <c r="K52" s="209">
        <f>J52/A52</f>
        <v>0</v>
      </c>
      <c r="N52" s="207">
        <v>900</v>
      </c>
      <c r="O52" s="153" t="s">
        <v>0</v>
      </c>
      <c r="P52" s="155">
        <f>P19</f>
        <v>3.354061999999999</v>
      </c>
      <c r="Q52" s="152">
        <f t="shared" ref="Q52:R52" si="270">Q19</f>
        <v>260.64100699999995</v>
      </c>
      <c r="R52" s="152">
        <f t="shared" si="270"/>
        <v>140.24016800000001</v>
      </c>
      <c r="S52" s="208">
        <f t="shared" ref="S52" si="271">SUM(P52:R52)</f>
        <v>404.23523699999998</v>
      </c>
      <c r="T52" s="209">
        <f>S52/N52</f>
        <v>0.4491502633333333</v>
      </c>
      <c r="U52" s="161">
        <f>U19</f>
        <v>141.38738499999999</v>
      </c>
      <c r="V52" s="154">
        <f>V19</f>
        <v>260.25756899999999</v>
      </c>
      <c r="W52" s="208">
        <f t="shared" ref="W52" si="272">U52+V52</f>
        <v>401.64495399999998</v>
      </c>
      <c r="X52" s="209">
        <f>W52/N52</f>
        <v>0.44627217111111112</v>
      </c>
      <c r="AA52" s="233">
        <f t="shared" ref="AA52" si="273">AA50*2</f>
        <v>256</v>
      </c>
      <c r="AB52" s="153" t="s">
        <v>0</v>
      </c>
      <c r="AC52" s="155">
        <f>AC19</f>
        <v>3.8180320000000165</v>
      </c>
      <c r="AD52" s="152">
        <f t="shared" ref="AD52:AE52" si="274">AD19</f>
        <v>169.35273799999999</v>
      </c>
      <c r="AE52" s="152">
        <f t="shared" si="274"/>
        <v>163.553923</v>
      </c>
      <c r="AF52" s="208">
        <f t="shared" ref="AF52" si="275">SUM(AC52:AE52)</f>
        <v>336.724693</v>
      </c>
      <c r="AG52" s="220">
        <f t="shared" ref="AG52" si="276">AF52/1000</f>
        <v>0.33672469300000002</v>
      </c>
      <c r="AH52" s="161">
        <f>AH19</f>
        <v>165.005651</v>
      </c>
      <c r="AI52" s="154">
        <f>AI19</f>
        <v>168.38571300000001</v>
      </c>
      <c r="AJ52" s="208">
        <f t="shared" ref="AJ52" si="277">AH52+AI52</f>
        <v>333.39136400000001</v>
      </c>
      <c r="AK52" s="220">
        <f t="shared" ref="AK52" si="278">AJ52/1000</f>
        <v>0.33339136400000002</v>
      </c>
      <c r="AN52" s="233">
        <f t="shared" ref="AN52" si="279">AN50*2</f>
        <v>256</v>
      </c>
      <c r="AO52" s="153" t="s">
        <v>0</v>
      </c>
      <c r="AP52" s="155">
        <f>AP19</f>
        <v>3.5278529999999932</v>
      </c>
      <c r="AQ52" s="152">
        <f t="shared" ref="AQ52:AR52" si="280">AQ19</f>
        <v>168.56622300000001</v>
      </c>
      <c r="AR52" s="152">
        <f t="shared" si="280"/>
        <v>83.023787999999996</v>
      </c>
      <c r="AS52" s="208">
        <f t="shared" ref="AS52" si="281">SUM(AP52:AR52)</f>
        <v>255.117864</v>
      </c>
      <c r="AT52" s="220">
        <f t="shared" ref="AT52" si="282">AS52/1000</f>
        <v>0.25511786399999997</v>
      </c>
      <c r="AU52" s="161">
        <f>AU19</f>
        <v>84.453147000000001</v>
      </c>
      <c r="AV52" s="154">
        <f>AV19</f>
        <v>167.60222400000001</v>
      </c>
      <c r="AW52" s="208">
        <f t="shared" ref="AW52" si="283">AU52+AV52</f>
        <v>252.05537100000001</v>
      </c>
      <c r="AX52" s="220">
        <f t="shared" ref="AX52" si="284">AW52/1000</f>
        <v>0.25205537100000003</v>
      </c>
    </row>
    <row r="53" spans="1:50" ht="15.75" thickBot="1" x14ac:dyDescent="0.3">
      <c r="A53" s="207"/>
      <c r="B53" s="153" t="s">
        <v>16</v>
      </c>
      <c r="C53" s="166">
        <f>1.96*SQRT(C20)/SQRT(50)</f>
        <v>0</v>
      </c>
      <c r="D53" s="130">
        <f t="shared" ref="D53:E53" si="285">1.96*SQRT(D20)/SQRT(50)</f>
        <v>0</v>
      </c>
      <c r="E53" s="130">
        <f t="shared" si="285"/>
        <v>0</v>
      </c>
      <c r="F53" s="187"/>
      <c r="G53" s="210"/>
      <c r="H53" s="166">
        <f t="shared" ref="H53:I53" si="286">1.96*SQRT(H20)/SQRT(50)</f>
        <v>0</v>
      </c>
      <c r="I53" s="130">
        <f t="shared" si="286"/>
        <v>0</v>
      </c>
      <c r="J53" s="187"/>
      <c r="K53" s="210"/>
      <c r="N53" s="207"/>
      <c r="O53" s="153" t="s">
        <v>16</v>
      </c>
      <c r="P53" s="166">
        <f>1.96*SQRT(P20)/SQRT(50)</f>
        <v>0.10651261093410488</v>
      </c>
      <c r="Q53" s="130">
        <f t="shared" ref="Q53:R53" si="287">1.96*SQRT(Q20)/SQRT(50)</f>
        <v>0.10759311056010974</v>
      </c>
      <c r="R53" s="130">
        <f t="shared" si="287"/>
        <v>4.9193266856349345E-2</v>
      </c>
      <c r="S53" s="187"/>
      <c r="T53" s="210"/>
      <c r="U53" s="166">
        <f t="shared" ref="U53:V53" si="288">1.96*SQRT(U20)/SQRT(50)</f>
        <v>0.10522845546714064</v>
      </c>
      <c r="V53" s="130">
        <f t="shared" si="288"/>
        <v>6.5014709720185623E-2</v>
      </c>
      <c r="W53" s="187"/>
      <c r="X53" s="210"/>
      <c r="AA53" s="234"/>
      <c r="AB53" s="153" t="s">
        <v>16</v>
      </c>
      <c r="AC53" s="166">
        <f>1.96*SQRT(AC20)/SQRT(50)</f>
        <v>0.12595619416289142</v>
      </c>
      <c r="AD53" s="130">
        <f t="shared" ref="AD53:AE53" si="289">1.96*SQRT(AD20)/SQRT(50)</f>
        <v>0.12051816712844582</v>
      </c>
      <c r="AE53" s="130">
        <f t="shared" si="289"/>
        <v>4.7999595664963673E-2</v>
      </c>
      <c r="AF53" s="187"/>
      <c r="AG53" s="210"/>
      <c r="AH53" s="166">
        <f t="shared" ref="AH53:AI53" si="290">1.96*SQRT(AH20)/SQRT(50)</f>
        <v>0.13243828920670939</v>
      </c>
      <c r="AI53" s="130">
        <f t="shared" si="290"/>
        <v>8.0548607933346686E-2</v>
      </c>
      <c r="AJ53" s="187"/>
      <c r="AK53" s="210"/>
      <c r="AN53" s="234"/>
      <c r="AO53" s="153" t="s">
        <v>16</v>
      </c>
      <c r="AP53" s="166">
        <f>1.96*SQRT(AP20)/SQRT(50)</f>
        <v>0.10508963640626034</v>
      </c>
      <c r="AQ53" s="130">
        <f t="shared" ref="AQ53:AR53" si="291">1.96*SQRT(AQ20)/SQRT(50)</f>
        <v>0.10369863412793826</v>
      </c>
      <c r="AR53" s="130">
        <f t="shared" si="291"/>
        <v>2.4666426737571859E-2</v>
      </c>
      <c r="AS53" s="187"/>
      <c r="AT53" s="210"/>
      <c r="AU53" s="166">
        <f t="shared" ref="AU53:AV53" si="292">1.96*SQRT(AU20)/SQRT(50)</f>
        <v>0.11082166546303118</v>
      </c>
      <c r="AV53" s="130">
        <f t="shared" si="292"/>
        <v>8.1858573454464748E-2</v>
      </c>
      <c r="AW53" s="187"/>
      <c r="AX53" s="210"/>
    </row>
    <row r="54" spans="1:50" x14ac:dyDescent="0.25">
      <c r="A54" s="207">
        <v>1000</v>
      </c>
      <c r="B54" s="153" t="s">
        <v>0</v>
      </c>
      <c r="C54" s="155">
        <f>C21</f>
        <v>3.7869640000000118</v>
      </c>
      <c r="D54" s="152">
        <f t="shared" ref="D54:E64" si="293">D21</f>
        <v>479.94612200000006</v>
      </c>
      <c r="E54" s="152">
        <f t="shared" si="293"/>
        <v>163.25672499999999</v>
      </c>
      <c r="F54" s="208">
        <f t="shared" ref="F54" si="294">SUM(C54:E54)</f>
        <v>646.98981100000003</v>
      </c>
      <c r="G54" s="209">
        <f>F54/A54</f>
        <v>0.64698981100000008</v>
      </c>
      <c r="H54" s="161">
        <f>H21</f>
        <v>164.69207</v>
      </c>
      <c r="I54" s="154">
        <f>I21</f>
        <v>479.16653000000002</v>
      </c>
      <c r="J54" s="208">
        <f>H54+I54</f>
        <v>643.85860000000002</v>
      </c>
      <c r="K54" s="209">
        <f>J54/A54</f>
        <v>0.64385860000000006</v>
      </c>
      <c r="N54" s="207">
        <v>1000</v>
      </c>
      <c r="O54" s="153" t="s">
        <v>0</v>
      </c>
      <c r="P54" s="155">
        <f>P21</f>
        <v>3.548684000000037</v>
      </c>
      <c r="Q54" s="152">
        <f t="shared" ref="Q54:R54" si="295">Q21</f>
        <v>274.69954099999995</v>
      </c>
      <c r="R54" s="152">
        <f t="shared" si="295"/>
        <v>163.469977</v>
      </c>
      <c r="S54" s="208">
        <f t="shared" ref="S54" si="296">SUM(P54:R54)</f>
        <v>441.71820200000002</v>
      </c>
      <c r="T54" s="209">
        <f>S54/N54</f>
        <v>0.441718202</v>
      </c>
      <c r="U54" s="161">
        <f>U21</f>
        <v>164.77973499999996</v>
      </c>
      <c r="V54" s="154">
        <f>V21</f>
        <v>274.22306300000002</v>
      </c>
      <c r="W54" s="208">
        <f>U54+V54</f>
        <v>439.00279799999998</v>
      </c>
      <c r="X54" s="209">
        <f>W54/N54</f>
        <v>0.43900279799999997</v>
      </c>
      <c r="AA54" s="233">
        <f t="shared" ref="AA54" si="297">AA52*2</f>
        <v>512</v>
      </c>
      <c r="AB54" s="153" t="s">
        <v>0</v>
      </c>
      <c r="AC54" s="155">
        <f>AC21</f>
        <v>3.548684000000037</v>
      </c>
      <c r="AD54" s="152">
        <f t="shared" ref="AD54:AE54" si="298">AD21</f>
        <v>274.69954099999995</v>
      </c>
      <c r="AE54" s="152">
        <f t="shared" si="298"/>
        <v>163.469977</v>
      </c>
      <c r="AF54" s="208">
        <f t="shared" ref="AF54" si="299">SUM(AC54:AE54)</f>
        <v>441.71820200000002</v>
      </c>
      <c r="AG54" s="220">
        <f t="shared" ref="AG54" si="300">AF54/1000</f>
        <v>0.441718202</v>
      </c>
      <c r="AH54" s="161">
        <f>AH21</f>
        <v>164.77973499999996</v>
      </c>
      <c r="AI54" s="154">
        <f>AI21</f>
        <v>274.22306300000002</v>
      </c>
      <c r="AJ54" s="208">
        <f>AH54+AI54</f>
        <v>439.00279799999998</v>
      </c>
      <c r="AK54" s="220">
        <f t="shared" ref="AK54" si="301">AJ54/1000</f>
        <v>0.43900279799999997</v>
      </c>
      <c r="AN54" s="233">
        <f t="shared" ref="AN54" si="302">AN52*2</f>
        <v>512</v>
      </c>
      <c r="AO54" s="153" t="s">
        <v>0</v>
      </c>
      <c r="AP54" s="155">
        <f>AP21</f>
        <v>3.6198330000000283</v>
      </c>
      <c r="AQ54" s="152">
        <f t="shared" ref="AQ54:AR54" si="303">AQ21</f>
        <v>269.92746899999997</v>
      </c>
      <c r="AR54" s="152">
        <f t="shared" si="303"/>
        <v>83.204971999999998</v>
      </c>
      <c r="AS54" s="208">
        <f t="shared" ref="AS54" si="304">SUM(AP54:AR54)</f>
        <v>356.752274</v>
      </c>
      <c r="AT54" s="220">
        <f t="shared" ref="AT54" si="305">AS54/1000</f>
        <v>0.35675227399999998</v>
      </c>
      <c r="AU54" s="161">
        <f>AU21</f>
        <v>84.34244799999999</v>
      </c>
      <c r="AV54" s="154">
        <f>AV21</f>
        <v>268.80144799999999</v>
      </c>
      <c r="AW54" s="208">
        <f>AU54+AV54</f>
        <v>353.14389599999998</v>
      </c>
      <c r="AX54" s="220">
        <f t="shared" ref="AX54" si="306">AW54/1000</f>
        <v>0.35314389599999996</v>
      </c>
    </row>
    <row r="55" spans="1:50" ht="15.75" thickBot="1" x14ac:dyDescent="0.3">
      <c r="A55" s="207"/>
      <c r="B55" s="153" t="s">
        <v>16</v>
      </c>
      <c r="C55" s="166">
        <f>1.96*SQRT(C22)/SQRT(50)</f>
        <v>8.3311759169999527E-2</v>
      </c>
      <c r="D55" s="130">
        <f t="shared" ref="D55:I65" si="307">1.96*SQRT(D22)/SQRT(50)</f>
        <v>6.1072165836819632E-2</v>
      </c>
      <c r="E55" s="130">
        <f t="shared" si="307"/>
        <v>0.17899275453492525</v>
      </c>
      <c r="F55" s="187"/>
      <c r="G55" s="210"/>
      <c r="H55" s="166">
        <f t="shared" si="307"/>
        <v>6.5076132398906431E-2</v>
      </c>
      <c r="I55" s="130">
        <f t="shared" si="307"/>
        <v>0.12576237326004946</v>
      </c>
      <c r="J55" s="187"/>
      <c r="K55" s="210"/>
      <c r="N55" s="207"/>
      <c r="O55" s="153" t="s">
        <v>16</v>
      </c>
      <c r="P55" s="166">
        <f>1.96*SQRT(P22)/SQRT(50)</f>
        <v>0.11406694834175235</v>
      </c>
      <c r="Q55" s="130">
        <f t="shared" ref="Q55:R55" si="308">1.96*SQRT(Q22)/SQRT(50)</f>
        <v>0.10687626774920612</v>
      </c>
      <c r="R55" s="130">
        <f t="shared" si="308"/>
        <v>4.2810635687875499E-2</v>
      </c>
      <c r="S55" s="187"/>
      <c r="T55" s="210"/>
      <c r="U55" s="166">
        <f t="shared" ref="U55:V55" si="309">1.96*SQRT(U22)/SQRT(50)</f>
        <v>0.11360799788747269</v>
      </c>
      <c r="V55" s="130">
        <f t="shared" si="309"/>
        <v>6.4622956664021486E-2</v>
      </c>
      <c r="W55" s="187"/>
      <c r="X55" s="210"/>
      <c r="AA55" s="234"/>
      <c r="AB55" s="153" t="s">
        <v>16</v>
      </c>
      <c r="AC55" s="166">
        <f>1.96*SQRT(AC22)/SQRT(50)</f>
        <v>0.11406694834175235</v>
      </c>
      <c r="AD55" s="130">
        <f t="shared" ref="AD55:AE55" si="310">1.96*SQRT(AD22)/SQRT(50)</f>
        <v>0.10687626774920612</v>
      </c>
      <c r="AE55" s="130">
        <f t="shared" si="310"/>
        <v>4.2810635687875499E-2</v>
      </c>
      <c r="AF55" s="187"/>
      <c r="AG55" s="210"/>
      <c r="AH55" s="166">
        <f t="shared" ref="AH55:AI55" si="311">1.96*SQRT(AH22)/SQRT(50)</f>
        <v>0.11360799788747269</v>
      </c>
      <c r="AI55" s="130">
        <f t="shared" si="311"/>
        <v>6.4622956664021486E-2</v>
      </c>
      <c r="AJ55" s="187"/>
      <c r="AK55" s="210"/>
      <c r="AN55" s="234"/>
      <c r="AO55" s="153" t="s">
        <v>16</v>
      </c>
      <c r="AP55" s="166">
        <f>1.96*SQRT(AP22)/SQRT(50)</f>
        <v>1.6952427621883541</v>
      </c>
      <c r="AQ55" s="130">
        <f t="shared" ref="AQ55:AR55" si="312">1.96*SQRT(AQ22)/SQRT(50)</f>
        <v>1.6741695183845631</v>
      </c>
      <c r="AR55" s="130">
        <f t="shared" si="312"/>
        <v>0.38826140608615728</v>
      </c>
      <c r="AS55" s="187"/>
      <c r="AT55" s="210"/>
      <c r="AU55" s="166">
        <f t="shared" ref="AU55:AV55" si="313">1.96*SQRT(AU22)/SQRT(50)</f>
        <v>8.9960370297148054E-2</v>
      </c>
      <c r="AV55" s="130">
        <f t="shared" si="313"/>
        <v>6.6979254101549979E-2</v>
      </c>
      <c r="AW55" s="187"/>
      <c r="AX55" s="210"/>
    </row>
    <row r="56" spans="1:50" x14ac:dyDescent="0.25">
      <c r="A56" s="207">
        <v>1500</v>
      </c>
      <c r="B56" s="153" t="s">
        <v>0</v>
      </c>
      <c r="C56" s="155">
        <f>C23</f>
        <v>3.6174470000000838</v>
      </c>
      <c r="D56" s="152">
        <f t="shared" si="293"/>
        <v>491.85840899999994</v>
      </c>
      <c r="E56" s="152">
        <f t="shared" si="293"/>
        <v>243.84351699999999</v>
      </c>
      <c r="F56" s="208">
        <f t="shared" ref="F56" si="314">SUM(C56:E56)</f>
        <v>739.31937300000004</v>
      </c>
      <c r="G56" s="209">
        <f>F56/A56</f>
        <v>0.49287958200000004</v>
      </c>
      <c r="H56" s="161">
        <f>H23</f>
        <v>245.14579899999995</v>
      </c>
      <c r="I56" s="154">
        <f>I23</f>
        <v>491.08508599999999</v>
      </c>
      <c r="J56" s="208">
        <f t="shared" ref="J56" si="315">H56+I56</f>
        <v>736.23088499999994</v>
      </c>
      <c r="K56" s="209">
        <f>J56/A56</f>
        <v>0.49082058999999995</v>
      </c>
      <c r="N56" s="207">
        <v>1500</v>
      </c>
      <c r="O56" s="153" t="s">
        <v>0</v>
      </c>
      <c r="P56" s="155">
        <f>P23</f>
        <v>3.631097000000068</v>
      </c>
      <c r="Q56" s="152">
        <f t="shared" ref="Q56:R56" si="316">Q23</f>
        <v>276.97767599999997</v>
      </c>
      <c r="R56" s="152">
        <f t="shared" si="316"/>
        <v>244.107529</v>
      </c>
      <c r="S56" s="208">
        <f t="shared" ref="S56" si="317">SUM(P56:R56)</f>
        <v>524.71630200000004</v>
      </c>
      <c r="T56" s="209">
        <f>S56/N56</f>
        <v>0.34981086800000005</v>
      </c>
      <c r="U56" s="161">
        <f>U23</f>
        <v>245.26896099999999</v>
      </c>
      <c r="V56" s="154">
        <f>V23</f>
        <v>276.55745400000001</v>
      </c>
      <c r="W56" s="208">
        <f t="shared" ref="W56" si="318">U56+V56</f>
        <v>521.826415</v>
      </c>
      <c r="X56" s="209">
        <f>W56/N56</f>
        <v>0.34788427666666666</v>
      </c>
      <c r="AA56" s="233">
        <f>AA54*2</f>
        <v>1024</v>
      </c>
      <c r="AB56" s="153" t="s">
        <v>0</v>
      </c>
      <c r="AC56" s="155">
        <f>AC23</f>
        <v>3.7869640000000118</v>
      </c>
      <c r="AD56" s="152">
        <f t="shared" ref="AD56:AE56" si="319">AD23</f>
        <v>479.94612200000006</v>
      </c>
      <c r="AE56" s="152">
        <f t="shared" si="319"/>
        <v>163.25672499999999</v>
      </c>
      <c r="AF56" s="208">
        <f t="shared" ref="AF56" si="320">SUM(AC56:AE56)</f>
        <v>646.98981100000003</v>
      </c>
      <c r="AG56" s="220">
        <f t="shared" ref="AG56" si="321">AF56/1000</f>
        <v>0.64698981100000008</v>
      </c>
      <c r="AH56" s="161">
        <f>AH23</f>
        <v>164.69207</v>
      </c>
      <c r="AI56" s="154">
        <f>AI23</f>
        <v>479.16653000000002</v>
      </c>
      <c r="AJ56" s="208">
        <f t="shared" ref="AJ56" si="322">AH56+AI56</f>
        <v>643.85860000000002</v>
      </c>
      <c r="AK56" s="220">
        <f t="shared" ref="AK56" si="323">AJ56/1000</f>
        <v>0.64385860000000006</v>
      </c>
      <c r="AN56" s="233">
        <f>AN54*2</f>
        <v>1024</v>
      </c>
      <c r="AO56" s="153" t="s">
        <v>0</v>
      </c>
      <c r="AP56" s="155">
        <f>AP23</f>
        <v>3.6722209999999791</v>
      </c>
      <c r="AQ56" s="152">
        <f t="shared" ref="AQ56:AR56" si="324">AQ23</f>
        <v>270.598725</v>
      </c>
      <c r="AR56" s="152">
        <f t="shared" si="324"/>
        <v>83.150891999999999</v>
      </c>
      <c r="AS56" s="208">
        <f t="shared" ref="AS56" si="325">SUM(AP56:AR56)</f>
        <v>357.42183799999998</v>
      </c>
      <c r="AT56" s="220">
        <f t="shared" ref="AT56" si="326">AS56/1000</f>
        <v>0.35742183799999999</v>
      </c>
      <c r="AU56" s="161">
        <f>AU23</f>
        <v>84.598243999999966</v>
      </c>
      <c r="AV56" s="154">
        <f>AV23</f>
        <v>270.26393100000001</v>
      </c>
      <c r="AW56" s="208">
        <f t="shared" ref="AW56" si="327">AU56+AV56</f>
        <v>354.86217499999998</v>
      </c>
      <c r="AX56" s="220">
        <f t="shared" ref="AX56" si="328">AW56/1000</f>
        <v>0.354862175</v>
      </c>
    </row>
    <row r="57" spans="1:50" ht="15.75" thickBot="1" x14ac:dyDescent="0.3">
      <c r="A57" s="207"/>
      <c r="B57" s="153" t="s">
        <v>16</v>
      </c>
      <c r="C57" s="166">
        <f>1.96*SQRT(C24)/SQRT(50)</f>
        <v>7.2846110012820847E-2</v>
      </c>
      <c r="D57" s="130">
        <f t="shared" si="307"/>
        <v>5.9118616763249796E-2</v>
      </c>
      <c r="E57" s="130">
        <f t="shared" si="307"/>
        <v>8.9025003768604241E-2</v>
      </c>
      <c r="F57" s="187"/>
      <c r="G57" s="210"/>
      <c r="H57" s="166">
        <f t="shared" si="307"/>
        <v>5.6931843040604259E-2</v>
      </c>
      <c r="I57" s="130">
        <f t="shared" si="307"/>
        <v>0.14829287982907341</v>
      </c>
      <c r="J57" s="187"/>
      <c r="K57" s="210"/>
      <c r="N57" s="207"/>
      <c r="O57" s="153" t="s">
        <v>16</v>
      </c>
      <c r="P57" s="166">
        <f>1.96*SQRT(P24)/SQRT(50)</f>
        <v>8.2960111282471161E-2</v>
      </c>
      <c r="Q57" s="130">
        <f t="shared" ref="Q57:R57" si="329">1.96*SQRT(Q24)/SQRT(50)</f>
        <v>8.1709670810743082E-2</v>
      </c>
      <c r="R57" s="130">
        <f t="shared" si="329"/>
        <v>4.1092745053111258E-2</v>
      </c>
      <c r="S57" s="187"/>
      <c r="T57" s="210"/>
      <c r="U57" s="166">
        <f t="shared" ref="U57:V57" si="330">1.96*SQRT(U24)/SQRT(50)</f>
        <v>9.1180244877933941E-2</v>
      </c>
      <c r="V57" s="130">
        <f t="shared" si="330"/>
        <v>8.0209752225025618E-2</v>
      </c>
      <c r="W57" s="187"/>
      <c r="X57" s="210"/>
      <c r="AA57" s="234"/>
      <c r="AB57" s="153" t="s">
        <v>16</v>
      </c>
      <c r="AC57" s="166">
        <f>1.96*SQRT(AC24)/SQRT(50)</f>
        <v>8.3311759169999527E-2</v>
      </c>
      <c r="AD57" s="130">
        <f t="shared" ref="AD57:AE57" si="331">1.96*SQRT(AD24)/SQRT(50)</f>
        <v>6.1072165836819632E-2</v>
      </c>
      <c r="AE57" s="130">
        <f t="shared" si="331"/>
        <v>0.17899275453492525</v>
      </c>
      <c r="AF57" s="187"/>
      <c r="AG57" s="210"/>
      <c r="AH57" s="166">
        <f t="shared" ref="AH57:AI57" si="332">1.96*SQRT(AH24)/SQRT(50)</f>
        <v>6.5076132398906431E-2</v>
      </c>
      <c r="AI57" s="130">
        <f t="shared" si="332"/>
        <v>0.12576237326004946</v>
      </c>
      <c r="AJ57" s="187"/>
      <c r="AK57" s="210"/>
      <c r="AN57" s="234"/>
      <c r="AO57" s="153" t="s">
        <v>16</v>
      </c>
      <c r="AP57" s="166">
        <f>1.96*SQRT(AP24)/SQRT(50)</f>
        <v>7.584718847788624E-2</v>
      </c>
      <c r="AQ57" s="130">
        <f t="shared" ref="AQ57:AR57" si="333">1.96*SQRT(AQ24)/SQRT(50)</f>
        <v>5.7520573849710502E-2</v>
      </c>
      <c r="AR57" s="130">
        <f t="shared" si="333"/>
        <v>4.663482166793393E-2</v>
      </c>
      <c r="AS57" s="187"/>
      <c r="AT57" s="210"/>
      <c r="AU57" s="166">
        <f t="shared" ref="AU57:AV57" si="334">1.96*SQRT(AU24)/SQRT(50)</f>
        <v>6.2951099243778091E-2</v>
      </c>
      <c r="AV57" s="130">
        <f t="shared" si="334"/>
        <v>8.8460513043956496E-2</v>
      </c>
      <c r="AW57" s="187"/>
      <c r="AX57" s="210"/>
    </row>
    <row r="58" spans="1:50" x14ac:dyDescent="0.25">
      <c r="A58" s="207">
        <v>2000</v>
      </c>
      <c r="B58" s="153" t="s">
        <v>0</v>
      </c>
      <c r="C58" s="155">
        <f>C25</f>
        <v>3.8475170000000389</v>
      </c>
      <c r="D58" s="152">
        <f t="shared" si="293"/>
        <v>494.73350799999997</v>
      </c>
      <c r="E58" s="152">
        <f t="shared" si="293"/>
        <v>323.93464999999998</v>
      </c>
      <c r="F58" s="208">
        <f t="shared" ref="F58" si="335">SUM(C58:E58)</f>
        <v>822.51567499999999</v>
      </c>
      <c r="G58" s="209">
        <f>F58/A58</f>
        <v>0.4112578375</v>
      </c>
      <c r="H58" s="161">
        <f>H25</f>
        <v>325.29965399999998</v>
      </c>
      <c r="I58" s="154">
        <f>I25</f>
        <v>494.00844499999999</v>
      </c>
      <c r="J58" s="208">
        <f t="shared" ref="J58" si="336">H58+I58</f>
        <v>819.30809899999997</v>
      </c>
      <c r="K58" s="209">
        <f>J58/A58</f>
        <v>0.40965404950000001</v>
      </c>
      <c r="N58" s="207">
        <v>2000</v>
      </c>
      <c r="O58" s="153" t="s">
        <v>0</v>
      </c>
      <c r="P58" s="155">
        <f>P25</f>
        <v>3.597756000000004</v>
      </c>
      <c r="Q58" s="152">
        <f t="shared" ref="Q58:R58" si="337">Q25</f>
        <v>279.27574900000002</v>
      </c>
      <c r="R58" s="152">
        <f t="shared" si="337"/>
        <v>324.43110200000001</v>
      </c>
      <c r="S58" s="208">
        <f t="shared" ref="S58" si="338">SUM(P58:R58)</f>
        <v>607.30460700000003</v>
      </c>
      <c r="T58" s="209">
        <f>S58/N58</f>
        <v>0.3036523035</v>
      </c>
      <c r="U58" s="161">
        <f>U25</f>
        <v>325.39182199999993</v>
      </c>
      <c r="V58" s="154">
        <f>V25</f>
        <v>278.86904700000002</v>
      </c>
      <c r="W58" s="208">
        <f t="shared" ref="W58" si="339">U58+V58</f>
        <v>604.26086899999996</v>
      </c>
      <c r="X58" s="209">
        <f>W58/N58</f>
        <v>0.30213043449999999</v>
      </c>
      <c r="AA58" s="207"/>
      <c r="AB58" s="153"/>
      <c r="AC58" s="155"/>
      <c r="AD58" s="152"/>
      <c r="AE58" s="152"/>
      <c r="AF58" s="208"/>
      <c r="AG58" s="209"/>
      <c r="AH58" s="161"/>
      <c r="AI58" s="154"/>
      <c r="AJ58" s="208"/>
      <c r="AK58" s="209"/>
      <c r="AN58" s="207"/>
      <c r="AO58" s="153"/>
      <c r="AP58" s="155"/>
      <c r="AQ58" s="152"/>
      <c r="AR58" s="152"/>
      <c r="AS58" s="208"/>
      <c r="AT58" s="209"/>
      <c r="AU58" s="161"/>
      <c r="AV58" s="154"/>
      <c r="AW58" s="208"/>
      <c r="AX58" s="209"/>
    </row>
    <row r="59" spans="1:50" ht="15.75" thickBot="1" x14ac:dyDescent="0.3">
      <c r="A59" s="207"/>
      <c r="B59" s="153" t="s">
        <v>16</v>
      </c>
      <c r="C59" s="166">
        <f>1.96*SQRT(C26)/SQRT(50)</f>
        <v>0.12463226818123786</v>
      </c>
      <c r="D59" s="130">
        <f t="shared" si="307"/>
        <v>0.1209232638659741</v>
      </c>
      <c r="E59" s="130">
        <f t="shared" si="307"/>
        <v>3.7184253011187413E-2</v>
      </c>
      <c r="F59" s="187"/>
      <c r="G59" s="210"/>
      <c r="H59" s="166">
        <f t="shared" si="307"/>
        <v>0.13570477238476175</v>
      </c>
      <c r="I59" s="130">
        <f t="shared" si="307"/>
        <v>9.2489573552914608E-2</v>
      </c>
      <c r="J59" s="187"/>
      <c r="K59" s="210"/>
      <c r="N59" s="207"/>
      <c r="O59" s="153" t="s">
        <v>16</v>
      </c>
      <c r="P59" s="166">
        <f>1.96*SQRT(P26)/SQRT(50)</f>
        <v>3.1812436310348816E-2</v>
      </c>
      <c r="Q59" s="130">
        <f t="shared" ref="Q59:R59" si="340">1.96*SQRT(Q26)/SQRT(50)</f>
        <v>3.548195530125136E-2</v>
      </c>
      <c r="R59" s="130">
        <f t="shared" si="340"/>
        <v>3.3939141768760152E-2</v>
      </c>
      <c r="S59" s="187"/>
      <c r="T59" s="210"/>
      <c r="U59" s="166">
        <f t="shared" ref="U59:V59" si="341">1.96*SQRT(U26)/SQRT(50)</f>
        <v>3.4754508657151233E-2</v>
      </c>
      <c r="V59" s="130">
        <f t="shared" si="341"/>
        <v>7.5147534889708784E-3</v>
      </c>
      <c r="W59" s="187"/>
      <c r="X59" s="210"/>
      <c r="AA59" s="207"/>
      <c r="AB59" s="153"/>
      <c r="AC59" s="166"/>
      <c r="AD59" s="130"/>
      <c r="AE59" s="130"/>
      <c r="AF59" s="187"/>
      <c r="AG59" s="210"/>
      <c r="AH59" s="166"/>
      <c r="AI59" s="130"/>
      <c r="AJ59" s="187"/>
      <c r="AK59" s="210"/>
      <c r="AN59" s="207"/>
      <c r="AO59" s="153"/>
      <c r="AP59" s="166"/>
      <c r="AQ59" s="130"/>
      <c r="AR59" s="130"/>
      <c r="AS59" s="187"/>
      <c r="AT59" s="210"/>
      <c r="AU59" s="166"/>
      <c r="AV59" s="130"/>
      <c r="AW59" s="187"/>
      <c r="AX59" s="210"/>
    </row>
    <row r="60" spans="1:50" x14ac:dyDescent="0.25">
      <c r="A60" s="207">
        <v>2500</v>
      </c>
      <c r="B60" s="153" t="s">
        <v>0</v>
      </c>
      <c r="C60" s="155">
        <f>C27</f>
        <v>3.7790079999999762</v>
      </c>
      <c r="D60" s="152">
        <f t="shared" si="293"/>
        <v>496.61091099999999</v>
      </c>
      <c r="E60" s="152">
        <f t="shared" si="293"/>
        <v>419.53179</v>
      </c>
      <c r="F60" s="208">
        <f t="shared" ref="F60" si="342">SUM(C60:E60)</f>
        <v>919.92170899999996</v>
      </c>
      <c r="G60" s="209">
        <f>F60/A60</f>
        <v>0.36796868360000001</v>
      </c>
      <c r="H60" s="161">
        <f>H27</f>
        <v>420.82946799999996</v>
      </c>
      <c r="I60" s="154">
        <f>I27</f>
        <v>495.87632300000001</v>
      </c>
      <c r="J60" s="208">
        <f t="shared" ref="J60" si="343">H60+I60</f>
        <v>916.70579099999998</v>
      </c>
      <c r="K60" s="209">
        <f>J60/A60</f>
        <v>0.36668231639999999</v>
      </c>
      <c r="N60" s="207">
        <v>2500</v>
      </c>
      <c r="O60" s="153" t="s">
        <v>0</v>
      </c>
      <c r="P60" s="155">
        <f>P27</f>
        <v>3.6619399999999587</v>
      </c>
      <c r="Q60" s="152">
        <f t="shared" ref="Q60:R60" si="344">Q27</f>
        <v>280.26859200000007</v>
      </c>
      <c r="R60" s="152">
        <f t="shared" si="344"/>
        <v>410.21108199999998</v>
      </c>
      <c r="S60" s="208">
        <f t="shared" ref="S60" si="345">SUM(P60:R60)</f>
        <v>694.141614</v>
      </c>
      <c r="T60" s="209">
        <f>S60/N60</f>
        <v>0.27765664560000003</v>
      </c>
      <c r="U60" s="161">
        <f>U27</f>
        <v>411.04795699999994</v>
      </c>
      <c r="V60" s="154">
        <f>V27</f>
        <v>279.85133100000002</v>
      </c>
      <c r="W60" s="208">
        <f t="shared" ref="W60" si="346">U60+V60</f>
        <v>690.89928799999996</v>
      </c>
      <c r="X60" s="209">
        <f>W60/N60</f>
        <v>0.27635971519999997</v>
      </c>
      <c r="AA60" s="207"/>
      <c r="AB60" s="153"/>
      <c r="AC60" s="155"/>
      <c r="AD60" s="152"/>
      <c r="AE60" s="152"/>
      <c r="AF60" s="208"/>
      <c r="AG60" s="209"/>
      <c r="AH60" s="161"/>
      <c r="AI60" s="154"/>
      <c r="AJ60" s="208"/>
      <c r="AK60" s="209"/>
      <c r="AN60" s="207"/>
      <c r="AO60" s="153"/>
      <c r="AP60" s="155"/>
      <c r="AQ60" s="152"/>
      <c r="AR60" s="152"/>
      <c r="AS60" s="208"/>
      <c r="AT60" s="209"/>
      <c r="AU60" s="161"/>
      <c r="AV60" s="154"/>
      <c r="AW60" s="208"/>
      <c r="AX60" s="209"/>
    </row>
    <row r="61" spans="1:50" ht="15.75" thickBot="1" x14ac:dyDescent="0.3">
      <c r="A61" s="207"/>
      <c r="B61" s="153" t="s">
        <v>16</v>
      </c>
      <c r="C61" s="166">
        <f>1.96*SQRT(C28)/SQRT(50)</f>
        <v>8.4915741767943129E-2</v>
      </c>
      <c r="D61" s="130">
        <f t="shared" si="307"/>
        <v>7.3934878805608367E-2</v>
      </c>
      <c r="E61" s="130">
        <f t="shared" si="307"/>
        <v>1.936337160723824E-2</v>
      </c>
      <c r="F61" s="187"/>
      <c r="G61" s="210"/>
      <c r="H61" s="166">
        <f t="shared" si="307"/>
        <v>0.1096122004888142</v>
      </c>
      <c r="I61" s="130">
        <f t="shared" si="307"/>
        <v>6.5671992934583603E-2</v>
      </c>
      <c r="J61" s="187"/>
      <c r="K61" s="210"/>
      <c r="N61" s="207"/>
      <c r="O61" s="153" t="s">
        <v>16</v>
      </c>
      <c r="P61" s="166">
        <f>1.96*SQRT(P28)/SQRT(50)</f>
        <v>7.2387977123276492E-2</v>
      </c>
      <c r="Q61" s="130">
        <f t="shared" ref="Q61:R61" si="347">1.96*SQRT(Q28)/SQRT(50)</f>
        <v>5.8957243083441406E-2</v>
      </c>
      <c r="R61" s="130">
        <f t="shared" si="347"/>
        <v>6.1141319580133364E-2</v>
      </c>
      <c r="S61" s="187"/>
      <c r="T61" s="210"/>
      <c r="U61" s="166">
        <f t="shared" ref="U61:V61" si="348">1.96*SQRT(U28)/SQRT(50)</f>
        <v>4.4096079825762288E-2</v>
      </c>
      <c r="V61" s="130">
        <f t="shared" si="348"/>
        <v>9.537771647507607E-3</v>
      </c>
      <c r="W61" s="187"/>
      <c r="X61" s="210"/>
      <c r="AA61" s="207"/>
      <c r="AB61" s="153"/>
      <c r="AC61" s="166"/>
      <c r="AD61" s="130"/>
      <c r="AE61" s="130"/>
      <c r="AF61" s="187"/>
      <c r="AG61" s="210"/>
      <c r="AH61" s="166"/>
      <c r="AI61" s="130"/>
      <c r="AJ61" s="187"/>
      <c r="AK61" s="210"/>
      <c r="AN61" s="207"/>
      <c r="AO61" s="153"/>
      <c r="AP61" s="166"/>
      <c r="AQ61" s="130"/>
      <c r="AR61" s="130"/>
      <c r="AS61" s="187"/>
      <c r="AT61" s="210"/>
      <c r="AU61" s="166"/>
      <c r="AV61" s="130"/>
      <c r="AW61" s="187"/>
      <c r="AX61" s="210"/>
    </row>
    <row r="62" spans="1:50" x14ac:dyDescent="0.25">
      <c r="A62" s="207">
        <v>3000</v>
      </c>
      <c r="B62" s="153" t="s">
        <v>0</v>
      </c>
      <c r="C62" s="155">
        <f>C29</f>
        <v>3.8628560000000789</v>
      </c>
      <c r="D62" s="152">
        <f t="shared" si="293"/>
        <v>497.45683999999994</v>
      </c>
      <c r="E62" s="152">
        <f t="shared" si="293"/>
        <v>502.186959</v>
      </c>
      <c r="F62" s="208">
        <f t="shared" ref="F62" si="349">SUM(C62:E62)</f>
        <v>1003.506655</v>
      </c>
      <c r="G62" s="209">
        <f>F62/A62</f>
        <v>0.33450221833333332</v>
      </c>
      <c r="H62" s="161">
        <f>H29</f>
        <v>503.22130700000002</v>
      </c>
      <c r="I62" s="154">
        <f>I29</f>
        <v>496.72414700000002</v>
      </c>
      <c r="J62" s="208">
        <f t="shared" ref="J62" si="350">H62+I62</f>
        <v>999.94545400000004</v>
      </c>
      <c r="K62" s="209">
        <f>J62/A62</f>
        <v>0.33331515133333334</v>
      </c>
      <c r="N62" s="207">
        <v>3000</v>
      </c>
      <c r="O62" s="153" t="s">
        <v>0</v>
      </c>
      <c r="P62" s="155">
        <f>P29</f>
        <v>3.7305549999999812</v>
      </c>
      <c r="Q62" s="152">
        <f t="shared" ref="Q62:R62" si="351">Q29</f>
        <v>280.472105</v>
      </c>
      <c r="R62" s="152">
        <f t="shared" si="351"/>
        <v>489.09318400000001</v>
      </c>
      <c r="S62" s="208">
        <f t="shared" ref="S62" si="352">SUM(P62:R62)</f>
        <v>773.29584399999999</v>
      </c>
      <c r="T62" s="209">
        <f>S62/N62</f>
        <v>0.25776528133333332</v>
      </c>
      <c r="U62" s="161">
        <f>U29</f>
        <v>490.51815399999998</v>
      </c>
      <c r="V62" s="154">
        <f>V29</f>
        <v>280.01945000000001</v>
      </c>
      <c r="W62" s="208">
        <f t="shared" ref="W62" si="353">U62+V62</f>
        <v>770.53760399999999</v>
      </c>
      <c r="X62" s="209">
        <f>W62/N62</f>
        <v>0.25684586799999998</v>
      </c>
      <c r="AA62" s="207"/>
      <c r="AB62" s="153"/>
      <c r="AC62" s="155"/>
      <c r="AD62" s="152"/>
      <c r="AE62" s="152"/>
      <c r="AF62" s="208"/>
      <c r="AG62" s="209"/>
      <c r="AH62" s="161"/>
      <c r="AI62" s="154"/>
      <c r="AJ62" s="208"/>
      <c r="AK62" s="209"/>
      <c r="AN62" s="207"/>
      <c r="AO62" s="153"/>
      <c r="AP62" s="155"/>
      <c r="AQ62" s="152"/>
      <c r="AR62" s="152"/>
      <c r="AS62" s="208"/>
      <c r="AT62" s="209"/>
      <c r="AU62" s="161"/>
      <c r="AV62" s="154"/>
      <c r="AW62" s="208"/>
      <c r="AX62" s="209"/>
    </row>
    <row r="63" spans="1:50" ht="15.75" thickBot="1" x14ac:dyDescent="0.3">
      <c r="A63" s="207"/>
      <c r="B63" s="153" t="s">
        <v>16</v>
      </c>
      <c r="C63" s="166">
        <f>1.96*SQRT(C30)/SQRT(50)</f>
        <v>0.12060515637401246</v>
      </c>
      <c r="D63" s="130">
        <f t="shared" si="307"/>
        <v>0.11305411843891403</v>
      </c>
      <c r="E63" s="130">
        <f t="shared" si="307"/>
        <v>0.15648706773404633</v>
      </c>
      <c r="F63" s="187"/>
      <c r="G63" s="210"/>
      <c r="H63" s="166">
        <f t="shared" si="307"/>
        <v>9.7921960928077811E-2</v>
      </c>
      <c r="I63" s="130">
        <f t="shared" si="307"/>
        <v>5.0627221136459774E-2</v>
      </c>
      <c r="J63" s="187"/>
      <c r="K63" s="210"/>
      <c r="N63" s="207"/>
      <c r="O63" s="153" t="s">
        <v>16</v>
      </c>
      <c r="P63" s="166">
        <f>1.96*SQRT(P30)/SQRT(50)</f>
        <v>7.6507816071300846E-2</v>
      </c>
      <c r="Q63" s="130">
        <f t="shared" ref="Q63:R63" si="354">1.96*SQRT(Q30)/SQRT(50)</f>
        <v>7.3775712209371444E-2</v>
      </c>
      <c r="R63" s="130">
        <f t="shared" si="354"/>
        <v>7.339460710433704E-2</v>
      </c>
      <c r="S63" s="187"/>
      <c r="T63" s="210"/>
      <c r="U63" s="166">
        <f t="shared" ref="U63:V63" si="355">1.96*SQRT(U30)/SQRT(50)</f>
        <v>8.0965794654285952E-2</v>
      </c>
      <c r="V63" s="130">
        <f t="shared" si="355"/>
        <v>1.1915768376399398E-2</v>
      </c>
      <c r="W63" s="187"/>
      <c r="X63" s="210"/>
      <c r="AA63" s="207"/>
      <c r="AB63" s="153"/>
      <c r="AC63" s="166"/>
      <c r="AD63" s="130"/>
      <c r="AE63" s="130"/>
      <c r="AF63" s="187"/>
      <c r="AG63" s="210"/>
      <c r="AH63" s="166"/>
      <c r="AI63" s="130"/>
      <c r="AJ63" s="187"/>
      <c r="AK63" s="210"/>
      <c r="AN63" s="207"/>
      <c r="AO63" s="153"/>
      <c r="AP63" s="166"/>
      <c r="AQ63" s="130"/>
      <c r="AR63" s="130"/>
      <c r="AS63" s="187"/>
      <c r="AT63" s="210"/>
      <c r="AU63" s="166"/>
      <c r="AV63" s="130"/>
      <c r="AW63" s="187"/>
      <c r="AX63" s="210"/>
    </row>
    <row r="64" spans="1:50" x14ac:dyDescent="0.25">
      <c r="A64" s="207">
        <v>3500</v>
      </c>
      <c r="B64" s="153" t="s">
        <v>0</v>
      </c>
      <c r="C64" s="155">
        <f>C31</f>
        <v>3.6571659999999611</v>
      </c>
      <c r="D64" s="152">
        <f t="shared" si="293"/>
        <v>499.88463200000001</v>
      </c>
      <c r="E64" s="152">
        <f t="shared" si="293"/>
        <v>574.505807</v>
      </c>
      <c r="F64" s="208">
        <f t="shared" ref="F64" si="356">SUM(C64:E64)</f>
        <v>1078.047605</v>
      </c>
      <c r="G64" s="209">
        <f>F64/A64</f>
        <v>0.30801360142857143</v>
      </c>
      <c r="H64" s="161">
        <f>H31</f>
        <v>575.79059999999993</v>
      </c>
      <c r="I64" s="154">
        <f>I31</f>
        <v>499.02702699999998</v>
      </c>
      <c r="J64" s="208">
        <f t="shared" ref="J64" si="357">H64+I64</f>
        <v>1074.8176269999999</v>
      </c>
      <c r="K64" s="209">
        <f>J64/A64</f>
        <v>0.30709075057142854</v>
      </c>
      <c r="N64" s="207">
        <v>3500</v>
      </c>
      <c r="O64" s="153" t="s">
        <v>0</v>
      </c>
      <c r="P64" s="155">
        <f>P31</f>
        <v>0</v>
      </c>
      <c r="Q64" s="152">
        <f t="shared" ref="Q64:R64" si="358">Q31</f>
        <v>0</v>
      </c>
      <c r="R64" s="152">
        <f t="shared" si="358"/>
        <v>0</v>
      </c>
      <c r="S64" s="208">
        <f t="shared" ref="S64" si="359">SUM(P64:R64)</f>
        <v>0</v>
      </c>
      <c r="T64" s="209">
        <f>S64/N64</f>
        <v>0</v>
      </c>
      <c r="U64" s="161">
        <f>U31</f>
        <v>0</v>
      </c>
      <c r="V64" s="154">
        <f>V31</f>
        <v>0</v>
      </c>
      <c r="W64" s="208">
        <f t="shared" ref="W64" si="360">U64+V64</f>
        <v>0</v>
      </c>
      <c r="X64" s="209">
        <f>W64/N64</f>
        <v>0</v>
      </c>
      <c r="AA64" s="207"/>
      <c r="AB64" s="153"/>
      <c r="AC64" s="155"/>
      <c r="AD64" s="152"/>
      <c r="AE64" s="152"/>
      <c r="AF64" s="208"/>
      <c r="AG64" s="209"/>
      <c r="AH64" s="161"/>
      <c r="AI64" s="154"/>
      <c r="AJ64" s="208"/>
      <c r="AK64" s="209"/>
      <c r="AN64" s="207"/>
      <c r="AO64" s="153"/>
      <c r="AP64" s="155"/>
      <c r="AQ64" s="152"/>
      <c r="AR64" s="152"/>
      <c r="AS64" s="208"/>
      <c r="AT64" s="209"/>
      <c r="AU64" s="161"/>
      <c r="AV64" s="154"/>
      <c r="AW64" s="208"/>
      <c r="AX64" s="209"/>
    </row>
    <row r="65" spans="1:50" ht="15.75" thickBot="1" x14ac:dyDescent="0.3">
      <c r="A65" s="221"/>
      <c r="B65" s="163" t="s">
        <v>16</v>
      </c>
      <c r="C65" s="167">
        <f>1.96*SQRT(C32)/SQRT(50)</f>
        <v>7.3420250067675469E-2</v>
      </c>
      <c r="D65" s="168">
        <f t="shared" si="307"/>
        <v>6.4690690025690709E-2</v>
      </c>
      <c r="E65" s="168">
        <f t="shared" si="307"/>
        <v>8.4194263367524044E-2</v>
      </c>
      <c r="F65" s="222"/>
      <c r="G65" s="223"/>
      <c r="H65" s="167">
        <f t="shared" si="307"/>
        <v>9.3294352926637514E-2</v>
      </c>
      <c r="I65" s="168">
        <f t="shared" si="307"/>
        <v>6.8992556815934858E-2</v>
      </c>
      <c r="J65" s="222"/>
      <c r="K65" s="223"/>
      <c r="N65" s="221"/>
      <c r="O65" s="163" t="s">
        <v>16</v>
      </c>
      <c r="P65" s="167">
        <f>1.96*SQRT(P32)/SQRT(50)</f>
        <v>0</v>
      </c>
      <c r="Q65" s="168">
        <f t="shared" ref="Q65:R65" si="361">1.96*SQRT(Q32)/SQRT(50)</f>
        <v>0</v>
      </c>
      <c r="R65" s="168">
        <f t="shared" si="361"/>
        <v>0</v>
      </c>
      <c r="S65" s="222"/>
      <c r="T65" s="223"/>
      <c r="U65" s="167">
        <f t="shared" ref="U65:V65" si="362">1.96*SQRT(U32)/SQRT(50)</f>
        <v>0</v>
      </c>
      <c r="V65" s="168">
        <f t="shared" si="362"/>
        <v>0</v>
      </c>
      <c r="W65" s="222"/>
      <c r="X65" s="223"/>
      <c r="AA65" s="221"/>
      <c r="AB65" s="163"/>
      <c r="AC65" s="167"/>
      <c r="AD65" s="168"/>
      <c r="AE65" s="168"/>
      <c r="AF65" s="222"/>
      <c r="AG65" s="223"/>
      <c r="AH65" s="167"/>
      <c r="AI65" s="168"/>
      <c r="AJ65" s="222"/>
      <c r="AK65" s="223"/>
      <c r="AN65" s="221"/>
      <c r="AO65" s="163"/>
      <c r="AP65" s="167"/>
      <c r="AQ65" s="168"/>
      <c r="AR65" s="168"/>
      <c r="AS65" s="222"/>
      <c r="AT65" s="223"/>
      <c r="AU65" s="167"/>
      <c r="AV65" s="168"/>
      <c r="AW65" s="222"/>
      <c r="AX65" s="223"/>
    </row>
    <row r="66" spans="1:50" ht="15.75" thickBot="1" x14ac:dyDescent="0.3">
      <c r="J66" s="150"/>
      <c r="W66" s="150"/>
      <c r="AJ66" s="150"/>
      <c r="AW66" s="150"/>
    </row>
    <row r="67" spans="1:50" x14ac:dyDescent="0.25">
      <c r="A67" s="212" t="s">
        <v>142</v>
      </c>
      <c r="B67" s="213"/>
      <c r="C67" s="216" t="s">
        <v>25</v>
      </c>
      <c r="D67" s="211"/>
      <c r="E67" s="211"/>
      <c r="F67" s="217"/>
      <c r="G67" s="218"/>
      <c r="H67" s="216" t="s">
        <v>28</v>
      </c>
      <c r="I67" s="211"/>
      <c r="J67" s="217"/>
      <c r="K67" s="218"/>
      <c r="N67" s="212" t="s">
        <v>142</v>
      </c>
      <c r="O67" s="213"/>
      <c r="P67" s="216" t="s">
        <v>25</v>
      </c>
      <c r="Q67" s="211"/>
      <c r="R67" s="211"/>
      <c r="S67" s="217"/>
      <c r="T67" s="218"/>
      <c r="U67" s="216" t="s">
        <v>28</v>
      </c>
      <c r="V67" s="211"/>
      <c r="W67" s="217"/>
      <c r="X67" s="218"/>
      <c r="AA67" s="212" t="s">
        <v>142</v>
      </c>
      <c r="AB67" s="213"/>
      <c r="AC67" s="216" t="s">
        <v>25</v>
      </c>
      <c r="AD67" s="211"/>
      <c r="AE67" s="211"/>
      <c r="AF67" s="217"/>
      <c r="AG67" s="218"/>
      <c r="AH67" s="216" t="s">
        <v>28</v>
      </c>
      <c r="AI67" s="211"/>
      <c r="AJ67" s="217"/>
      <c r="AK67" s="218"/>
      <c r="AN67" s="212" t="s">
        <v>142</v>
      </c>
      <c r="AO67" s="213"/>
      <c r="AP67" s="216" t="s">
        <v>25</v>
      </c>
      <c r="AQ67" s="211"/>
      <c r="AR67" s="211"/>
      <c r="AS67" s="217"/>
      <c r="AT67" s="218"/>
      <c r="AU67" s="216" t="s">
        <v>28</v>
      </c>
      <c r="AV67" s="211"/>
      <c r="AW67" s="217"/>
      <c r="AX67" s="218"/>
    </row>
    <row r="68" spans="1:50" ht="15.75" thickBot="1" x14ac:dyDescent="0.3">
      <c r="A68" s="214"/>
      <c r="B68" s="215"/>
      <c r="C68" s="157" t="s">
        <v>98</v>
      </c>
      <c r="D68" s="158" t="s">
        <v>99</v>
      </c>
      <c r="E68" s="158" t="s">
        <v>100</v>
      </c>
      <c r="F68" s="158" t="s">
        <v>101</v>
      </c>
      <c r="G68" s="159" t="s">
        <v>143</v>
      </c>
      <c r="H68" s="157" t="s">
        <v>141</v>
      </c>
      <c r="I68" s="158" t="s">
        <v>99</v>
      </c>
      <c r="J68" s="158" t="s">
        <v>101</v>
      </c>
      <c r="K68" s="159" t="s">
        <v>143</v>
      </c>
      <c r="N68" s="214"/>
      <c r="O68" s="215"/>
      <c r="P68" s="157" t="s">
        <v>98</v>
      </c>
      <c r="Q68" s="158" t="s">
        <v>99</v>
      </c>
      <c r="R68" s="158" t="s">
        <v>100</v>
      </c>
      <c r="S68" s="158" t="s">
        <v>101</v>
      </c>
      <c r="T68" s="159" t="s">
        <v>143</v>
      </c>
      <c r="U68" s="157" t="s">
        <v>141</v>
      </c>
      <c r="V68" s="158" t="s">
        <v>99</v>
      </c>
      <c r="W68" s="158" t="s">
        <v>101</v>
      </c>
      <c r="X68" s="159" t="s">
        <v>143</v>
      </c>
      <c r="AA68" s="214"/>
      <c r="AB68" s="215"/>
      <c r="AC68" s="157" t="s">
        <v>98</v>
      </c>
      <c r="AD68" s="158" t="s">
        <v>99</v>
      </c>
      <c r="AE68" s="158" t="s">
        <v>100</v>
      </c>
      <c r="AF68" s="158" t="s">
        <v>101</v>
      </c>
      <c r="AG68" s="159" t="s">
        <v>143</v>
      </c>
      <c r="AH68" s="157" t="s">
        <v>141</v>
      </c>
      <c r="AI68" s="158" t="s">
        <v>99</v>
      </c>
      <c r="AJ68" s="158" t="s">
        <v>101</v>
      </c>
      <c r="AK68" s="159" t="s">
        <v>143</v>
      </c>
      <c r="AN68" s="214"/>
      <c r="AO68" s="215"/>
      <c r="AP68" s="157" t="s">
        <v>98</v>
      </c>
      <c r="AQ68" s="158" t="s">
        <v>99</v>
      </c>
      <c r="AR68" s="158" t="s">
        <v>100</v>
      </c>
      <c r="AS68" s="158" t="s">
        <v>101</v>
      </c>
      <c r="AT68" s="159" t="s">
        <v>143</v>
      </c>
      <c r="AU68" s="157" t="s">
        <v>141</v>
      </c>
      <c r="AV68" s="158" t="s">
        <v>99</v>
      </c>
      <c r="AW68" s="158" t="s">
        <v>101</v>
      </c>
      <c r="AX68" s="159" t="s">
        <v>143</v>
      </c>
    </row>
    <row r="69" spans="1:50" x14ac:dyDescent="0.25">
      <c r="A69" s="219">
        <v>500</v>
      </c>
      <c r="B69" s="160" t="s">
        <v>0</v>
      </c>
      <c r="C69" s="161">
        <v>4.0989730000000009</v>
      </c>
      <c r="D69" s="154">
        <v>335.47283000000004</v>
      </c>
      <c r="E69" s="154">
        <v>152.327305</v>
      </c>
      <c r="F69" s="211">
        <f>SUM(C69:E69)</f>
        <v>491.89910800000007</v>
      </c>
      <c r="G69" s="220">
        <f>F69/A69</f>
        <v>0.98379821600000017</v>
      </c>
      <c r="H69" s="161">
        <v>153.991873</v>
      </c>
      <c r="I69" s="154">
        <v>335.53663699999998</v>
      </c>
      <c r="J69" s="211">
        <f>H69+I69</f>
        <v>489.52850999999998</v>
      </c>
      <c r="K69" s="220">
        <f>J69/A69</f>
        <v>0.97905701999999994</v>
      </c>
      <c r="N69" s="219">
        <v>500</v>
      </c>
      <c r="O69" s="160" t="s">
        <v>0</v>
      </c>
      <c r="P69" s="161">
        <v>4.0989730000000009</v>
      </c>
      <c r="Q69" s="154">
        <v>335.47283000000004</v>
      </c>
      <c r="R69" s="154">
        <v>152.327305</v>
      </c>
      <c r="S69" s="211">
        <f>SUM(P69:R69)</f>
        <v>491.89910800000007</v>
      </c>
      <c r="T69" s="220">
        <f>S69/N69</f>
        <v>0.98379821600000017</v>
      </c>
      <c r="U69" s="161">
        <v>153.991873</v>
      </c>
      <c r="V69" s="154">
        <v>335.53663699999998</v>
      </c>
      <c r="W69" s="211">
        <f>U69+V69</f>
        <v>489.52850999999998</v>
      </c>
      <c r="X69" s="220">
        <f>W69/N69</f>
        <v>0.97905701999999994</v>
      </c>
      <c r="AA69" s="219">
        <v>500</v>
      </c>
      <c r="AB69" s="160" t="s">
        <v>0</v>
      </c>
      <c r="AC69" s="161">
        <v>4.0989730000000009</v>
      </c>
      <c r="AD69" s="154">
        <v>335.47283000000004</v>
      </c>
      <c r="AE69" s="154">
        <v>152.327305</v>
      </c>
      <c r="AF69" s="211">
        <f>SUM(AC69:AE69)</f>
        <v>491.89910800000007</v>
      </c>
      <c r="AG69" s="220">
        <f>AF69/AA69</f>
        <v>0.98379821600000017</v>
      </c>
      <c r="AH69" s="161">
        <v>153.991873</v>
      </c>
      <c r="AI69" s="154">
        <v>335.53663699999998</v>
      </c>
      <c r="AJ69" s="211">
        <f>AH69+AI69</f>
        <v>489.52850999999998</v>
      </c>
      <c r="AK69" s="220">
        <f>AJ69/AA69</f>
        <v>0.97905701999999994</v>
      </c>
      <c r="AN69" s="219">
        <v>500</v>
      </c>
      <c r="AO69" s="160" t="s">
        <v>0</v>
      </c>
      <c r="AP69" s="161">
        <v>4.0989730000000009</v>
      </c>
      <c r="AQ69" s="154">
        <v>335.47283000000004</v>
      </c>
      <c r="AR69" s="154">
        <v>152.327305</v>
      </c>
      <c r="AS69" s="211">
        <f>SUM(AP69:AR69)</f>
        <v>491.89910800000007</v>
      </c>
      <c r="AT69" s="220">
        <f>AS69/AN69</f>
        <v>0.98379821600000017</v>
      </c>
      <c r="AU69" s="161">
        <v>153.991873</v>
      </c>
      <c r="AV69" s="154">
        <v>335.53663699999998</v>
      </c>
      <c r="AW69" s="211">
        <f>AU69+AV69</f>
        <v>489.52850999999998</v>
      </c>
      <c r="AX69" s="220">
        <f>AW69/AN69</f>
        <v>0.97905701999999994</v>
      </c>
    </row>
    <row r="70" spans="1:50" x14ac:dyDescent="0.25">
      <c r="A70" s="207"/>
      <c r="B70" s="153" t="s">
        <v>16</v>
      </c>
      <c r="C70" s="166">
        <v>3.1497999999999998E-2</v>
      </c>
      <c r="D70" s="130">
        <v>3.0679000000000001E-2</v>
      </c>
      <c r="E70" s="130">
        <v>9.2169999999999995E-3</v>
      </c>
      <c r="F70" s="187"/>
      <c r="G70" s="210"/>
      <c r="H70" s="166">
        <v>6.3611000000000001E-2</v>
      </c>
      <c r="I70" s="130">
        <v>2.2013999999999999E-2</v>
      </c>
      <c r="J70" s="187"/>
      <c r="K70" s="210"/>
      <c r="N70" s="207"/>
      <c r="O70" s="153" t="s">
        <v>16</v>
      </c>
      <c r="P70" s="166">
        <v>3.1497999999999998E-2</v>
      </c>
      <c r="Q70" s="130">
        <v>3.0679000000000001E-2</v>
      </c>
      <c r="R70" s="130">
        <v>9.2169999999999995E-3</v>
      </c>
      <c r="S70" s="187"/>
      <c r="T70" s="210"/>
      <c r="U70" s="166">
        <v>6.3611000000000001E-2</v>
      </c>
      <c r="V70" s="130">
        <v>2.2013999999999999E-2</v>
      </c>
      <c r="W70" s="187"/>
      <c r="X70" s="210"/>
      <c r="AA70" s="207"/>
      <c r="AB70" s="153" t="s">
        <v>16</v>
      </c>
      <c r="AC70" s="166">
        <v>3.1497999999999998E-2</v>
      </c>
      <c r="AD70" s="130">
        <v>3.0679000000000001E-2</v>
      </c>
      <c r="AE70" s="130">
        <v>9.2169999999999995E-3</v>
      </c>
      <c r="AF70" s="187"/>
      <c r="AG70" s="210"/>
      <c r="AH70" s="166">
        <v>6.3611000000000001E-2</v>
      </c>
      <c r="AI70" s="130">
        <v>2.2013999999999999E-2</v>
      </c>
      <c r="AJ70" s="187"/>
      <c r="AK70" s="210"/>
      <c r="AN70" s="207"/>
      <c r="AO70" s="153" t="s">
        <v>16</v>
      </c>
      <c r="AP70" s="166">
        <v>3.1497999999999998E-2</v>
      </c>
      <c r="AQ70" s="130">
        <v>3.0679000000000001E-2</v>
      </c>
      <c r="AR70" s="130">
        <v>9.2169999999999995E-3</v>
      </c>
      <c r="AS70" s="187"/>
      <c r="AT70" s="210"/>
      <c r="AU70" s="166">
        <v>6.3611000000000001E-2</v>
      </c>
      <c r="AV70" s="130">
        <v>2.2013999999999999E-2</v>
      </c>
      <c r="AW70" s="187"/>
      <c r="AX70" s="210"/>
    </row>
    <row r="71" spans="1:50" x14ac:dyDescent="0.25">
      <c r="A71" s="207">
        <v>1000</v>
      </c>
      <c r="B71" s="153" t="s">
        <v>0</v>
      </c>
      <c r="C71" s="155">
        <v>4.3214289999999664</v>
      </c>
      <c r="D71" s="152">
        <v>633.51590499999998</v>
      </c>
      <c r="E71" s="152">
        <v>302.04636199999999</v>
      </c>
      <c r="F71" s="208">
        <f t="shared" ref="F71" si="363">SUM(C71:E71)</f>
        <v>939.88369599999987</v>
      </c>
      <c r="G71" s="209">
        <f>F71/A71</f>
        <v>0.93988369599999988</v>
      </c>
      <c r="H71" s="155">
        <v>304.07807500000001</v>
      </c>
      <c r="I71" s="152">
        <v>633.67819599999996</v>
      </c>
      <c r="J71" s="208">
        <f>H71+I71</f>
        <v>937.75627099999997</v>
      </c>
      <c r="K71" s="209">
        <f>J71/A71</f>
        <v>0.93775627099999992</v>
      </c>
      <c r="N71" s="207">
        <v>1000</v>
      </c>
      <c r="O71" s="153" t="s">
        <v>0</v>
      </c>
      <c r="P71" s="155">
        <v>4.3214289999999664</v>
      </c>
      <c r="Q71" s="152">
        <v>633.51590499999998</v>
      </c>
      <c r="R71" s="152">
        <v>302.04636199999999</v>
      </c>
      <c r="S71" s="208">
        <f t="shared" ref="S71" si="364">SUM(P71:R71)</f>
        <v>939.88369599999987</v>
      </c>
      <c r="T71" s="209">
        <f>S71/N71</f>
        <v>0.93988369599999988</v>
      </c>
      <c r="U71" s="155">
        <v>304.07807500000001</v>
      </c>
      <c r="V71" s="152">
        <v>633.67819599999996</v>
      </c>
      <c r="W71" s="208">
        <f>U71+V71</f>
        <v>937.75627099999997</v>
      </c>
      <c r="X71" s="209">
        <f>W71/N71</f>
        <v>0.93775627099999992</v>
      </c>
      <c r="AA71" s="207">
        <v>1000</v>
      </c>
      <c r="AB71" s="153" t="s">
        <v>0</v>
      </c>
      <c r="AC71" s="155">
        <v>4.3214289999999664</v>
      </c>
      <c r="AD71" s="152">
        <v>633.51590499999998</v>
      </c>
      <c r="AE71" s="152">
        <v>302.04636199999999</v>
      </c>
      <c r="AF71" s="208">
        <f t="shared" ref="AF71" si="365">SUM(AC71:AE71)</f>
        <v>939.88369599999987</v>
      </c>
      <c r="AG71" s="209">
        <f>AF71/AA71</f>
        <v>0.93988369599999988</v>
      </c>
      <c r="AH71" s="155">
        <v>304.07807500000001</v>
      </c>
      <c r="AI71" s="152">
        <v>633.67819599999996</v>
      </c>
      <c r="AJ71" s="208">
        <f>AH71+AI71</f>
        <v>937.75627099999997</v>
      </c>
      <c r="AK71" s="209">
        <f>AJ71/AA71</f>
        <v>0.93775627099999992</v>
      </c>
      <c r="AN71" s="207">
        <v>1000</v>
      </c>
      <c r="AO71" s="153" t="s">
        <v>0</v>
      </c>
      <c r="AP71" s="155">
        <v>4.3214289999999664</v>
      </c>
      <c r="AQ71" s="152">
        <v>633.51590499999998</v>
      </c>
      <c r="AR71" s="152">
        <v>302.04636199999999</v>
      </c>
      <c r="AS71" s="208">
        <f t="shared" ref="AS71" si="366">SUM(AP71:AR71)</f>
        <v>939.88369599999987</v>
      </c>
      <c r="AT71" s="209">
        <f>AS71/AN71</f>
        <v>0.93988369599999988</v>
      </c>
      <c r="AU71" s="155">
        <v>304.07807500000001</v>
      </c>
      <c r="AV71" s="152">
        <v>633.67819599999996</v>
      </c>
      <c r="AW71" s="208">
        <f>AU71+AV71</f>
        <v>937.75627099999997</v>
      </c>
      <c r="AX71" s="209">
        <f>AW71/AN71</f>
        <v>0.93775627099999992</v>
      </c>
    </row>
    <row r="72" spans="1:50" x14ac:dyDescent="0.25">
      <c r="A72" s="207"/>
      <c r="B72" s="153" t="s">
        <v>16</v>
      </c>
      <c r="C72" s="166">
        <v>2.5194999999999999E-2</v>
      </c>
      <c r="D72" s="130">
        <v>2.6970999999999998E-2</v>
      </c>
      <c r="E72" s="130">
        <v>1.1063E-2</v>
      </c>
      <c r="F72" s="187"/>
      <c r="G72" s="210"/>
      <c r="H72" s="166">
        <v>0.12034</v>
      </c>
      <c r="I72" s="130">
        <v>1.4385E-2</v>
      </c>
      <c r="J72" s="187"/>
      <c r="K72" s="210"/>
      <c r="N72" s="207"/>
      <c r="O72" s="153" t="s">
        <v>16</v>
      </c>
      <c r="P72" s="166">
        <v>2.5194999999999999E-2</v>
      </c>
      <c r="Q72" s="130">
        <v>2.6970999999999998E-2</v>
      </c>
      <c r="R72" s="130">
        <v>1.1063E-2</v>
      </c>
      <c r="S72" s="187"/>
      <c r="T72" s="210"/>
      <c r="U72" s="166">
        <v>0.12034</v>
      </c>
      <c r="V72" s="130">
        <v>1.4385E-2</v>
      </c>
      <c r="W72" s="187"/>
      <c r="X72" s="210"/>
      <c r="AA72" s="207"/>
      <c r="AB72" s="153" t="s">
        <v>16</v>
      </c>
      <c r="AC72" s="166">
        <v>2.5194999999999999E-2</v>
      </c>
      <c r="AD72" s="130">
        <v>2.6970999999999998E-2</v>
      </c>
      <c r="AE72" s="130">
        <v>1.1063E-2</v>
      </c>
      <c r="AF72" s="187"/>
      <c r="AG72" s="210"/>
      <c r="AH72" s="166">
        <v>0.12034</v>
      </c>
      <c r="AI72" s="130">
        <v>1.4385E-2</v>
      </c>
      <c r="AJ72" s="187"/>
      <c r="AK72" s="210"/>
      <c r="AN72" s="207"/>
      <c r="AO72" s="153" t="s">
        <v>16</v>
      </c>
      <c r="AP72" s="166">
        <v>2.5194999999999999E-2</v>
      </c>
      <c r="AQ72" s="130">
        <v>2.6970999999999998E-2</v>
      </c>
      <c r="AR72" s="130">
        <v>1.1063E-2</v>
      </c>
      <c r="AS72" s="187"/>
      <c r="AT72" s="210"/>
      <c r="AU72" s="166">
        <v>0.12034</v>
      </c>
      <c r="AV72" s="130">
        <v>1.4385E-2</v>
      </c>
      <c r="AW72" s="187"/>
      <c r="AX72" s="210"/>
    </row>
    <row r="73" spans="1:50" x14ac:dyDescent="0.25">
      <c r="A73" s="207">
        <v>1500</v>
      </c>
      <c r="B73" s="153" t="s">
        <v>0</v>
      </c>
      <c r="C73" s="155">
        <v>4.3281670000001213</v>
      </c>
      <c r="D73" s="152">
        <v>935.2325239999999</v>
      </c>
      <c r="E73" s="152">
        <v>451.69636000000003</v>
      </c>
      <c r="F73" s="208">
        <f t="shared" ref="F73" si="367">SUM(C73:E73)</f>
        <v>1391.257051</v>
      </c>
      <c r="G73" s="209">
        <f>F73/A73</f>
        <v>0.92750470066666668</v>
      </c>
      <c r="H73" s="155">
        <v>453.71775600000001</v>
      </c>
      <c r="I73" s="152">
        <v>935.33049400000004</v>
      </c>
      <c r="J73" s="208">
        <f t="shared" ref="J73" si="368">H73+I73</f>
        <v>1389.0482500000001</v>
      </c>
      <c r="K73" s="209">
        <f>J73/A73</f>
        <v>0.92603216666666666</v>
      </c>
      <c r="N73" s="207">
        <v>1500</v>
      </c>
      <c r="O73" s="153" t="s">
        <v>0</v>
      </c>
      <c r="P73" s="155">
        <v>4.3281670000001213</v>
      </c>
      <c r="Q73" s="152">
        <v>935.2325239999999</v>
      </c>
      <c r="R73" s="152">
        <v>451.69636000000003</v>
      </c>
      <c r="S73" s="208">
        <f t="shared" ref="S73" si="369">SUM(P73:R73)</f>
        <v>1391.257051</v>
      </c>
      <c r="T73" s="209">
        <f>S73/N73</f>
        <v>0.92750470066666668</v>
      </c>
      <c r="U73" s="155">
        <v>453.71775600000001</v>
      </c>
      <c r="V73" s="152">
        <v>935.33049400000004</v>
      </c>
      <c r="W73" s="208">
        <f t="shared" ref="W73" si="370">U73+V73</f>
        <v>1389.0482500000001</v>
      </c>
      <c r="X73" s="209">
        <f>W73/N73</f>
        <v>0.92603216666666666</v>
      </c>
      <c r="AA73" s="207">
        <v>1500</v>
      </c>
      <c r="AB73" s="153" t="s">
        <v>0</v>
      </c>
      <c r="AC73" s="155">
        <v>4.3281670000001213</v>
      </c>
      <c r="AD73" s="152">
        <v>935.2325239999999</v>
      </c>
      <c r="AE73" s="152">
        <v>451.69636000000003</v>
      </c>
      <c r="AF73" s="208">
        <f t="shared" ref="AF73" si="371">SUM(AC73:AE73)</f>
        <v>1391.257051</v>
      </c>
      <c r="AG73" s="209">
        <f>AF73/AA73</f>
        <v>0.92750470066666668</v>
      </c>
      <c r="AH73" s="155">
        <v>453.71775600000001</v>
      </c>
      <c r="AI73" s="152">
        <v>935.33049400000004</v>
      </c>
      <c r="AJ73" s="208">
        <f t="shared" ref="AJ73" si="372">AH73+AI73</f>
        <v>1389.0482500000001</v>
      </c>
      <c r="AK73" s="209">
        <f>AJ73/AA73</f>
        <v>0.92603216666666666</v>
      </c>
      <c r="AN73" s="207">
        <v>1500</v>
      </c>
      <c r="AO73" s="153" t="s">
        <v>0</v>
      </c>
      <c r="AP73" s="155">
        <v>4.3281670000001213</v>
      </c>
      <c r="AQ73" s="152">
        <v>935.2325239999999</v>
      </c>
      <c r="AR73" s="152">
        <v>451.69636000000003</v>
      </c>
      <c r="AS73" s="208">
        <f t="shared" ref="AS73" si="373">SUM(AP73:AR73)</f>
        <v>1391.257051</v>
      </c>
      <c r="AT73" s="209">
        <f>AS73/AN73</f>
        <v>0.92750470066666668</v>
      </c>
      <c r="AU73" s="155">
        <v>453.71775600000001</v>
      </c>
      <c r="AV73" s="152">
        <v>935.33049400000004</v>
      </c>
      <c r="AW73" s="208">
        <f t="shared" ref="AW73" si="374">AU73+AV73</f>
        <v>1389.0482500000001</v>
      </c>
      <c r="AX73" s="209">
        <f>AW73/AN73</f>
        <v>0.92603216666666666</v>
      </c>
    </row>
    <row r="74" spans="1:50" x14ac:dyDescent="0.25">
      <c r="A74" s="207"/>
      <c r="B74" s="153" t="s">
        <v>16</v>
      </c>
      <c r="C74" s="166">
        <v>4.2027000000000002E-2</v>
      </c>
      <c r="D74" s="130">
        <v>4.4118999999999998E-2</v>
      </c>
      <c r="E74" s="130">
        <v>2.6335999999999998E-2</v>
      </c>
      <c r="F74" s="187"/>
      <c r="G74" s="210"/>
      <c r="H74" s="166">
        <v>0.22099199999999999</v>
      </c>
      <c r="I74" s="130">
        <v>9.4565999999999997E-2</v>
      </c>
      <c r="J74" s="187"/>
      <c r="K74" s="210"/>
      <c r="N74" s="207"/>
      <c r="O74" s="153" t="s">
        <v>16</v>
      </c>
      <c r="P74" s="166">
        <v>4.2027000000000002E-2</v>
      </c>
      <c r="Q74" s="130">
        <v>4.4118999999999998E-2</v>
      </c>
      <c r="R74" s="130">
        <v>2.6335999999999998E-2</v>
      </c>
      <c r="S74" s="187"/>
      <c r="T74" s="210"/>
      <c r="U74" s="166">
        <v>0.22099199999999999</v>
      </c>
      <c r="V74" s="130">
        <v>9.4565999999999997E-2</v>
      </c>
      <c r="W74" s="187"/>
      <c r="X74" s="210"/>
      <c r="AA74" s="207"/>
      <c r="AB74" s="153" t="s">
        <v>16</v>
      </c>
      <c r="AC74" s="166">
        <v>4.2027000000000002E-2</v>
      </c>
      <c r="AD74" s="130">
        <v>4.4118999999999998E-2</v>
      </c>
      <c r="AE74" s="130">
        <v>2.6335999999999998E-2</v>
      </c>
      <c r="AF74" s="187"/>
      <c r="AG74" s="210"/>
      <c r="AH74" s="166">
        <v>0.22099199999999999</v>
      </c>
      <c r="AI74" s="130">
        <v>9.4565999999999997E-2</v>
      </c>
      <c r="AJ74" s="187"/>
      <c r="AK74" s="210"/>
      <c r="AN74" s="207"/>
      <c r="AO74" s="153" t="s">
        <v>16</v>
      </c>
      <c r="AP74" s="166">
        <v>4.2027000000000002E-2</v>
      </c>
      <c r="AQ74" s="130">
        <v>4.4118999999999998E-2</v>
      </c>
      <c r="AR74" s="130">
        <v>2.6335999999999998E-2</v>
      </c>
      <c r="AS74" s="187"/>
      <c r="AT74" s="210"/>
      <c r="AU74" s="166">
        <v>0.22099199999999999</v>
      </c>
      <c r="AV74" s="130">
        <v>9.4565999999999997E-2</v>
      </c>
      <c r="AW74" s="187"/>
      <c r="AX74" s="210"/>
    </row>
    <row r="75" spans="1:50" x14ac:dyDescent="0.25">
      <c r="A75" s="207">
        <v>2000</v>
      </c>
      <c r="B75" s="153" t="s">
        <v>0</v>
      </c>
      <c r="C75" s="155">
        <v>4.0978590000001986</v>
      </c>
      <c r="D75" s="152">
        <v>1237.6741299999999</v>
      </c>
      <c r="E75" s="152">
        <v>602.11373400000002</v>
      </c>
      <c r="F75" s="208">
        <f t="shared" ref="F75" si="375">SUM(C75:E75)</f>
        <v>1843.8857230000001</v>
      </c>
      <c r="G75" s="209">
        <f>F75/A75</f>
        <v>0.92194286150000004</v>
      </c>
      <c r="H75" s="155">
        <v>603.93329300000005</v>
      </c>
      <c r="I75" s="152">
        <v>1237.5205619999999</v>
      </c>
      <c r="J75" s="208">
        <f t="shared" ref="J75" si="376">H75+I75</f>
        <v>1841.453855</v>
      </c>
      <c r="K75" s="209">
        <f>J75/A75</f>
        <v>0.92072692749999996</v>
      </c>
      <c r="N75" s="207">
        <v>2000</v>
      </c>
      <c r="O75" s="153" t="s">
        <v>0</v>
      </c>
      <c r="P75" s="155">
        <v>4.0978590000001986</v>
      </c>
      <c r="Q75" s="152">
        <v>1237.6741299999999</v>
      </c>
      <c r="R75" s="152">
        <v>602.11373400000002</v>
      </c>
      <c r="S75" s="208">
        <f t="shared" ref="S75" si="377">SUM(P75:R75)</f>
        <v>1843.8857230000001</v>
      </c>
      <c r="T75" s="209">
        <f>S75/N75</f>
        <v>0.92194286150000004</v>
      </c>
      <c r="U75" s="155">
        <v>603.93329300000005</v>
      </c>
      <c r="V75" s="152">
        <v>1237.5205619999999</v>
      </c>
      <c r="W75" s="208">
        <f t="shared" ref="W75" si="378">U75+V75</f>
        <v>1841.453855</v>
      </c>
      <c r="X75" s="209">
        <f>W75/N75</f>
        <v>0.92072692749999996</v>
      </c>
      <c r="AA75" s="207">
        <v>2000</v>
      </c>
      <c r="AB75" s="153" t="s">
        <v>0</v>
      </c>
      <c r="AC75" s="155">
        <v>4.0978590000001986</v>
      </c>
      <c r="AD75" s="152">
        <v>1237.6741299999999</v>
      </c>
      <c r="AE75" s="152">
        <v>602.11373400000002</v>
      </c>
      <c r="AF75" s="208">
        <f t="shared" ref="AF75" si="379">SUM(AC75:AE75)</f>
        <v>1843.8857230000001</v>
      </c>
      <c r="AG75" s="209">
        <f>AF75/AA75</f>
        <v>0.92194286150000004</v>
      </c>
      <c r="AH75" s="155">
        <v>603.93329300000005</v>
      </c>
      <c r="AI75" s="152">
        <v>1237.5205619999999</v>
      </c>
      <c r="AJ75" s="208">
        <f t="shared" ref="AJ75" si="380">AH75+AI75</f>
        <v>1841.453855</v>
      </c>
      <c r="AK75" s="209">
        <f>AJ75/AA75</f>
        <v>0.92072692749999996</v>
      </c>
      <c r="AN75" s="207">
        <v>2000</v>
      </c>
      <c r="AO75" s="153" t="s">
        <v>0</v>
      </c>
      <c r="AP75" s="155">
        <v>4.0978590000001986</v>
      </c>
      <c r="AQ75" s="152">
        <v>1237.6741299999999</v>
      </c>
      <c r="AR75" s="152">
        <v>602.11373400000002</v>
      </c>
      <c r="AS75" s="208">
        <f t="shared" ref="AS75" si="381">SUM(AP75:AR75)</f>
        <v>1843.8857230000001</v>
      </c>
      <c r="AT75" s="209">
        <f>AS75/AN75</f>
        <v>0.92194286150000004</v>
      </c>
      <c r="AU75" s="155">
        <v>603.93329300000005</v>
      </c>
      <c r="AV75" s="152">
        <v>1237.5205619999999</v>
      </c>
      <c r="AW75" s="208">
        <f t="shared" ref="AW75" si="382">AU75+AV75</f>
        <v>1841.453855</v>
      </c>
      <c r="AX75" s="209">
        <f>AW75/AN75</f>
        <v>0.92072692749999996</v>
      </c>
    </row>
    <row r="76" spans="1:50" x14ac:dyDescent="0.25">
      <c r="A76" s="207"/>
      <c r="B76" s="153" t="s">
        <v>16</v>
      </c>
      <c r="C76" s="166">
        <v>8.4698999999999997E-2</v>
      </c>
      <c r="D76" s="130">
        <v>9.4238000000000002E-2</v>
      </c>
      <c r="E76" s="130">
        <v>9.6852999999999995E-2</v>
      </c>
      <c r="F76" s="187"/>
      <c r="G76" s="210"/>
      <c r="H76" s="166">
        <v>0.247642</v>
      </c>
      <c r="I76" s="130">
        <v>2.4025000000000001E-2</v>
      </c>
      <c r="J76" s="187"/>
      <c r="K76" s="210"/>
      <c r="N76" s="207"/>
      <c r="O76" s="153" t="s">
        <v>16</v>
      </c>
      <c r="P76" s="166">
        <v>8.4698999999999997E-2</v>
      </c>
      <c r="Q76" s="130">
        <v>9.4238000000000002E-2</v>
      </c>
      <c r="R76" s="130">
        <v>9.6852999999999995E-2</v>
      </c>
      <c r="S76" s="187"/>
      <c r="T76" s="210"/>
      <c r="U76" s="166">
        <v>0.247642</v>
      </c>
      <c r="V76" s="130">
        <v>2.4025000000000001E-2</v>
      </c>
      <c r="W76" s="187"/>
      <c r="X76" s="210"/>
      <c r="AA76" s="207"/>
      <c r="AB76" s="153" t="s">
        <v>16</v>
      </c>
      <c r="AC76" s="166">
        <v>8.4698999999999997E-2</v>
      </c>
      <c r="AD76" s="130">
        <v>9.4238000000000002E-2</v>
      </c>
      <c r="AE76" s="130">
        <v>9.6852999999999995E-2</v>
      </c>
      <c r="AF76" s="187"/>
      <c r="AG76" s="210"/>
      <c r="AH76" s="166">
        <v>0.247642</v>
      </c>
      <c r="AI76" s="130">
        <v>2.4025000000000001E-2</v>
      </c>
      <c r="AJ76" s="187"/>
      <c r="AK76" s="210"/>
      <c r="AN76" s="207"/>
      <c r="AO76" s="153" t="s">
        <v>16</v>
      </c>
      <c r="AP76" s="166">
        <v>8.4698999999999997E-2</v>
      </c>
      <c r="AQ76" s="130">
        <v>9.4238000000000002E-2</v>
      </c>
      <c r="AR76" s="130">
        <v>9.6852999999999995E-2</v>
      </c>
      <c r="AS76" s="187"/>
      <c r="AT76" s="210"/>
      <c r="AU76" s="166">
        <v>0.247642</v>
      </c>
      <c r="AV76" s="130">
        <v>2.4025000000000001E-2</v>
      </c>
      <c r="AW76" s="187"/>
      <c r="AX76" s="210"/>
    </row>
    <row r="77" spans="1:50" x14ac:dyDescent="0.25">
      <c r="A77" s="207">
        <v>2500</v>
      </c>
      <c r="B77" s="153" t="s">
        <v>0</v>
      </c>
      <c r="C77" s="155">
        <v>4.1816549999998642</v>
      </c>
      <c r="D77" s="152">
        <v>1539.9342810000001</v>
      </c>
      <c r="E77" s="152">
        <v>751.12904400000002</v>
      </c>
      <c r="F77" s="208">
        <f t="shared" ref="F77" si="383">SUM(C77:E77)</f>
        <v>2295.2449799999999</v>
      </c>
      <c r="G77" s="209">
        <f>F77/A77</f>
        <v>0.91809799199999997</v>
      </c>
      <c r="H77" s="155">
        <v>754.00015799999983</v>
      </c>
      <c r="I77" s="152">
        <v>1539.732078</v>
      </c>
      <c r="J77" s="208">
        <f t="shared" ref="J77" si="384">H77+I77</f>
        <v>2293.7322359999998</v>
      </c>
      <c r="K77" s="209">
        <f>J77/A77</f>
        <v>0.91749289439999993</v>
      </c>
      <c r="N77" s="207">
        <v>2500</v>
      </c>
      <c r="O77" s="153" t="s">
        <v>0</v>
      </c>
      <c r="P77" s="155">
        <v>4.1816549999998642</v>
      </c>
      <c r="Q77" s="152">
        <v>1539.9342810000001</v>
      </c>
      <c r="R77" s="152">
        <v>751.12904400000002</v>
      </c>
      <c r="S77" s="208">
        <f t="shared" ref="S77" si="385">SUM(P77:R77)</f>
        <v>2295.2449799999999</v>
      </c>
      <c r="T77" s="209">
        <f>S77/N77</f>
        <v>0.91809799199999997</v>
      </c>
      <c r="U77" s="155">
        <v>754.00015799999983</v>
      </c>
      <c r="V77" s="152">
        <v>1539.732078</v>
      </c>
      <c r="W77" s="208">
        <f t="shared" ref="W77" si="386">U77+V77</f>
        <v>2293.7322359999998</v>
      </c>
      <c r="X77" s="209">
        <f>W77/N77</f>
        <v>0.91749289439999993</v>
      </c>
      <c r="AA77" s="207">
        <v>2500</v>
      </c>
      <c r="AB77" s="153" t="s">
        <v>0</v>
      </c>
      <c r="AC77" s="155">
        <v>4.1816549999998642</v>
      </c>
      <c r="AD77" s="152">
        <v>1539.9342810000001</v>
      </c>
      <c r="AE77" s="152">
        <v>751.12904400000002</v>
      </c>
      <c r="AF77" s="208">
        <f t="shared" ref="AF77" si="387">SUM(AC77:AE77)</f>
        <v>2295.2449799999999</v>
      </c>
      <c r="AG77" s="209">
        <f>AF77/AA77</f>
        <v>0.91809799199999997</v>
      </c>
      <c r="AH77" s="155">
        <v>754.00015799999983</v>
      </c>
      <c r="AI77" s="152">
        <v>1539.732078</v>
      </c>
      <c r="AJ77" s="208">
        <f t="shared" ref="AJ77" si="388">AH77+AI77</f>
        <v>2293.7322359999998</v>
      </c>
      <c r="AK77" s="209">
        <f>AJ77/AA77</f>
        <v>0.91749289439999993</v>
      </c>
      <c r="AN77" s="207">
        <v>2500</v>
      </c>
      <c r="AO77" s="153" t="s">
        <v>0</v>
      </c>
      <c r="AP77" s="155">
        <v>4.1816549999998642</v>
      </c>
      <c r="AQ77" s="152">
        <v>1539.9342810000001</v>
      </c>
      <c r="AR77" s="152">
        <v>751.12904400000002</v>
      </c>
      <c r="AS77" s="208">
        <f t="shared" ref="AS77" si="389">SUM(AP77:AR77)</f>
        <v>2295.2449799999999</v>
      </c>
      <c r="AT77" s="209">
        <f>AS77/AN77</f>
        <v>0.91809799199999997</v>
      </c>
      <c r="AU77" s="155">
        <v>754.00015799999983</v>
      </c>
      <c r="AV77" s="152">
        <v>1539.732078</v>
      </c>
      <c r="AW77" s="208">
        <f t="shared" ref="AW77" si="390">AU77+AV77</f>
        <v>2293.7322359999998</v>
      </c>
      <c r="AX77" s="209">
        <f>AW77/AN77</f>
        <v>0.91749289439999993</v>
      </c>
    </row>
    <row r="78" spans="1:50" x14ac:dyDescent="0.25">
      <c r="A78" s="207"/>
      <c r="B78" s="153" t="s">
        <v>16</v>
      </c>
      <c r="C78" s="166">
        <v>0.14214199999999999</v>
      </c>
      <c r="D78" s="130">
        <v>0.135353</v>
      </c>
      <c r="E78" s="130">
        <v>0.110169</v>
      </c>
      <c r="F78" s="187"/>
      <c r="G78" s="210"/>
      <c r="H78" s="166">
        <v>0.21343799999999999</v>
      </c>
      <c r="I78" s="130">
        <v>2.7470999999999999E-2</v>
      </c>
      <c r="J78" s="187"/>
      <c r="K78" s="210"/>
      <c r="N78" s="207"/>
      <c r="O78" s="153" t="s">
        <v>16</v>
      </c>
      <c r="P78" s="166">
        <v>0.14214199999999999</v>
      </c>
      <c r="Q78" s="130">
        <v>0.135353</v>
      </c>
      <c r="R78" s="130">
        <v>0.110169</v>
      </c>
      <c r="S78" s="187"/>
      <c r="T78" s="210"/>
      <c r="U78" s="166">
        <v>0.21343799999999999</v>
      </c>
      <c r="V78" s="130">
        <v>2.7470999999999999E-2</v>
      </c>
      <c r="W78" s="187"/>
      <c r="X78" s="210"/>
      <c r="AA78" s="207"/>
      <c r="AB78" s="153" t="s">
        <v>16</v>
      </c>
      <c r="AC78" s="166">
        <v>0.14214199999999999</v>
      </c>
      <c r="AD78" s="130">
        <v>0.135353</v>
      </c>
      <c r="AE78" s="130">
        <v>0.110169</v>
      </c>
      <c r="AF78" s="187"/>
      <c r="AG78" s="210"/>
      <c r="AH78" s="166">
        <v>0.21343799999999999</v>
      </c>
      <c r="AI78" s="130">
        <v>2.7470999999999999E-2</v>
      </c>
      <c r="AJ78" s="187"/>
      <c r="AK78" s="210"/>
      <c r="AN78" s="207"/>
      <c r="AO78" s="153" t="s">
        <v>16</v>
      </c>
      <c r="AP78" s="166">
        <v>0.14214199999999999</v>
      </c>
      <c r="AQ78" s="130">
        <v>0.135353</v>
      </c>
      <c r="AR78" s="130">
        <v>0.110169</v>
      </c>
      <c r="AS78" s="187"/>
      <c r="AT78" s="210"/>
      <c r="AU78" s="166">
        <v>0.21343799999999999</v>
      </c>
      <c r="AV78" s="130">
        <v>2.7470999999999999E-2</v>
      </c>
      <c r="AW78" s="187"/>
      <c r="AX78" s="210"/>
    </row>
    <row r="79" spans="1:50" x14ac:dyDescent="0.25">
      <c r="A79" s="207">
        <v>3000</v>
      </c>
      <c r="B79" s="153" t="s">
        <v>0</v>
      </c>
      <c r="C79" s="155">
        <v>4.2791790000001129</v>
      </c>
      <c r="D79" s="152">
        <v>1842.1504109999998</v>
      </c>
      <c r="E79" s="152">
        <v>902.63273400000003</v>
      </c>
      <c r="F79" s="208">
        <f t="shared" ref="F79" si="391">SUM(C79:E79)</f>
        <v>2749.062324</v>
      </c>
      <c r="G79" s="209">
        <f>F79/A79</f>
        <v>0.91635410799999995</v>
      </c>
      <c r="H79" s="155">
        <v>904.94962900000019</v>
      </c>
      <c r="I79" s="152">
        <v>1841.907588</v>
      </c>
      <c r="J79" s="208">
        <f t="shared" ref="J79" si="392">H79+I79</f>
        <v>2746.8572170000002</v>
      </c>
      <c r="K79" s="209">
        <f>J79/A79</f>
        <v>0.91561907233333339</v>
      </c>
      <c r="N79" s="207">
        <v>3000</v>
      </c>
      <c r="O79" s="153" t="s">
        <v>0</v>
      </c>
      <c r="P79" s="155">
        <v>4.2791790000001129</v>
      </c>
      <c r="Q79" s="152">
        <v>1842.1504109999998</v>
      </c>
      <c r="R79" s="152">
        <v>902.63273400000003</v>
      </c>
      <c r="S79" s="208">
        <f t="shared" ref="S79" si="393">SUM(P79:R79)</f>
        <v>2749.062324</v>
      </c>
      <c r="T79" s="209">
        <f>S79/N79</f>
        <v>0.91635410799999995</v>
      </c>
      <c r="U79" s="155">
        <v>904.94962900000019</v>
      </c>
      <c r="V79" s="152">
        <v>1841.907588</v>
      </c>
      <c r="W79" s="208">
        <f t="shared" ref="W79" si="394">U79+V79</f>
        <v>2746.8572170000002</v>
      </c>
      <c r="X79" s="209">
        <f>W79/N79</f>
        <v>0.91561907233333339</v>
      </c>
      <c r="AA79" s="207">
        <v>3000</v>
      </c>
      <c r="AB79" s="153" t="s">
        <v>0</v>
      </c>
      <c r="AC79" s="155">
        <v>4.2791790000001129</v>
      </c>
      <c r="AD79" s="152">
        <v>1842.1504109999998</v>
      </c>
      <c r="AE79" s="152">
        <v>902.63273400000003</v>
      </c>
      <c r="AF79" s="208">
        <f t="shared" ref="AF79" si="395">SUM(AC79:AE79)</f>
        <v>2749.062324</v>
      </c>
      <c r="AG79" s="209">
        <f>AF79/AA79</f>
        <v>0.91635410799999995</v>
      </c>
      <c r="AH79" s="155">
        <v>904.94962900000019</v>
      </c>
      <c r="AI79" s="152">
        <v>1841.907588</v>
      </c>
      <c r="AJ79" s="208">
        <f t="shared" ref="AJ79" si="396">AH79+AI79</f>
        <v>2746.8572170000002</v>
      </c>
      <c r="AK79" s="209">
        <f>AJ79/AA79</f>
        <v>0.91561907233333339</v>
      </c>
      <c r="AN79" s="207">
        <v>3000</v>
      </c>
      <c r="AO79" s="153" t="s">
        <v>0</v>
      </c>
      <c r="AP79" s="155">
        <v>4.2791790000001129</v>
      </c>
      <c r="AQ79" s="152">
        <v>1842.1504109999998</v>
      </c>
      <c r="AR79" s="152">
        <v>902.63273400000003</v>
      </c>
      <c r="AS79" s="208">
        <f t="shared" ref="AS79" si="397">SUM(AP79:AR79)</f>
        <v>2749.062324</v>
      </c>
      <c r="AT79" s="209">
        <f>AS79/AN79</f>
        <v>0.91635410799999995</v>
      </c>
      <c r="AU79" s="155">
        <v>904.94962900000019</v>
      </c>
      <c r="AV79" s="152">
        <v>1841.907588</v>
      </c>
      <c r="AW79" s="208">
        <f t="shared" ref="AW79" si="398">AU79+AV79</f>
        <v>2746.8572170000002</v>
      </c>
      <c r="AX79" s="209">
        <f>AW79/AN79</f>
        <v>0.91561907233333339</v>
      </c>
    </row>
    <row r="80" spans="1:50" x14ac:dyDescent="0.25">
      <c r="A80" s="207"/>
      <c r="B80" s="153" t="s">
        <v>16</v>
      </c>
      <c r="C80" s="166">
        <v>0.331623</v>
      </c>
      <c r="D80" s="130">
        <v>0.32773000000000002</v>
      </c>
      <c r="E80" s="130">
        <v>8.2810999999999996E-2</v>
      </c>
      <c r="F80" s="187"/>
      <c r="G80" s="210"/>
      <c r="H80" s="166">
        <v>0.439253</v>
      </c>
      <c r="I80" s="130">
        <v>9.0760999999999994E-2</v>
      </c>
      <c r="J80" s="187"/>
      <c r="K80" s="210"/>
      <c r="N80" s="207"/>
      <c r="O80" s="153" t="s">
        <v>16</v>
      </c>
      <c r="P80" s="166">
        <v>0.331623</v>
      </c>
      <c r="Q80" s="130">
        <v>0.32773000000000002</v>
      </c>
      <c r="R80" s="130">
        <v>8.2810999999999996E-2</v>
      </c>
      <c r="S80" s="187"/>
      <c r="T80" s="210"/>
      <c r="U80" s="166">
        <v>0.439253</v>
      </c>
      <c r="V80" s="130">
        <v>9.0760999999999994E-2</v>
      </c>
      <c r="W80" s="187"/>
      <c r="X80" s="210"/>
      <c r="AA80" s="207"/>
      <c r="AB80" s="153" t="s">
        <v>16</v>
      </c>
      <c r="AC80" s="166">
        <v>0.331623</v>
      </c>
      <c r="AD80" s="130">
        <v>0.32773000000000002</v>
      </c>
      <c r="AE80" s="130">
        <v>8.2810999999999996E-2</v>
      </c>
      <c r="AF80" s="187"/>
      <c r="AG80" s="210"/>
      <c r="AH80" s="166">
        <v>0.439253</v>
      </c>
      <c r="AI80" s="130">
        <v>9.0760999999999994E-2</v>
      </c>
      <c r="AJ80" s="187"/>
      <c r="AK80" s="210"/>
      <c r="AN80" s="207"/>
      <c r="AO80" s="153" t="s">
        <v>16</v>
      </c>
      <c r="AP80" s="166">
        <v>0.331623</v>
      </c>
      <c r="AQ80" s="130">
        <v>0.32773000000000002</v>
      </c>
      <c r="AR80" s="130">
        <v>8.2810999999999996E-2</v>
      </c>
      <c r="AS80" s="187"/>
      <c r="AT80" s="210"/>
      <c r="AU80" s="166">
        <v>0.439253</v>
      </c>
      <c r="AV80" s="130">
        <v>9.0760999999999994E-2</v>
      </c>
      <c r="AW80" s="187"/>
      <c r="AX80" s="210"/>
    </row>
    <row r="81" spans="1:50" x14ac:dyDescent="0.25">
      <c r="A81" s="207">
        <v>3500</v>
      </c>
      <c r="B81" s="153" t="s">
        <v>0</v>
      </c>
      <c r="C81" s="155">
        <v>4.4479929999997694</v>
      </c>
      <c r="D81" s="152">
        <v>2145.6467890000004</v>
      </c>
      <c r="E81" s="152">
        <v>1052.374783</v>
      </c>
      <c r="F81" s="208">
        <f t="shared" ref="F81" si="399">SUM(C81:E81)</f>
        <v>3202.4695650000003</v>
      </c>
      <c r="G81" s="209">
        <f>F81/A81</f>
        <v>0.9149913042857144</v>
      </c>
      <c r="H81" s="155">
        <v>1054.7736129999998</v>
      </c>
      <c r="I81" s="152">
        <v>2145.446758</v>
      </c>
      <c r="J81" s="208">
        <f t="shared" ref="J81" si="400">H81+I81</f>
        <v>3200.2203709999999</v>
      </c>
      <c r="K81" s="209">
        <f>J81/A81</f>
        <v>0.9143486774285714</v>
      </c>
      <c r="N81" s="207">
        <v>3500</v>
      </c>
      <c r="O81" s="153" t="s">
        <v>0</v>
      </c>
      <c r="P81" s="155">
        <v>4.4479929999997694</v>
      </c>
      <c r="Q81" s="152">
        <v>2145.6467890000004</v>
      </c>
      <c r="R81" s="152">
        <v>1052.374783</v>
      </c>
      <c r="S81" s="208">
        <f t="shared" ref="S81" si="401">SUM(P81:R81)</f>
        <v>3202.4695650000003</v>
      </c>
      <c r="T81" s="209">
        <f>S81/N81</f>
        <v>0.9149913042857144</v>
      </c>
      <c r="U81" s="155">
        <v>1054.7736129999998</v>
      </c>
      <c r="V81" s="152">
        <v>2145.446758</v>
      </c>
      <c r="W81" s="208">
        <f t="shared" ref="W81" si="402">U81+V81</f>
        <v>3200.2203709999999</v>
      </c>
      <c r="X81" s="209">
        <f>W81/N81</f>
        <v>0.9143486774285714</v>
      </c>
      <c r="AA81" s="207">
        <v>3500</v>
      </c>
      <c r="AB81" s="153" t="s">
        <v>0</v>
      </c>
      <c r="AC81" s="155">
        <v>4.4479929999997694</v>
      </c>
      <c r="AD81" s="152">
        <v>2145.6467890000004</v>
      </c>
      <c r="AE81" s="152">
        <v>1052.374783</v>
      </c>
      <c r="AF81" s="208">
        <f t="shared" ref="AF81" si="403">SUM(AC81:AE81)</f>
        <v>3202.4695650000003</v>
      </c>
      <c r="AG81" s="209">
        <f>AF81/AA81</f>
        <v>0.9149913042857144</v>
      </c>
      <c r="AH81" s="155">
        <v>1054.7736129999998</v>
      </c>
      <c r="AI81" s="152">
        <v>2145.446758</v>
      </c>
      <c r="AJ81" s="208">
        <f t="shared" ref="AJ81" si="404">AH81+AI81</f>
        <v>3200.2203709999999</v>
      </c>
      <c r="AK81" s="209">
        <f>AJ81/AA81</f>
        <v>0.9143486774285714</v>
      </c>
      <c r="AN81" s="207">
        <v>3500</v>
      </c>
      <c r="AO81" s="153" t="s">
        <v>0</v>
      </c>
      <c r="AP81" s="155">
        <v>4.4479929999997694</v>
      </c>
      <c r="AQ81" s="152">
        <v>2145.6467890000004</v>
      </c>
      <c r="AR81" s="152">
        <v>1052.374783</v>
      </c>
      <c r="AS81" s="208">
        <f t="shared" ref="AS81" si="405">SUM(AP81:AR81)</f>
        <v>3202.4695650000003</v>
      </c>
      <c r="AT81" s="209">
        <f>AS81/AN81</f>
        <v>0.9149913042857144</v>
      </c>
      <c r="AU81" s="155">
        <v>1054.7736129999998</v>
      </c>
      <c r="AV81" s="152">
        <v>2145.446758</v>
      </c>
      <c r="AW81" s="208">
        <f t="shared" ref="AW81" si="406">AU81+AV81</f>
        <v>3200.2203709999999</v>
      </c>
      <c r="AX81" s="209">
        <f>AW81/AN81</f>
        <v>0.9143486774285714</v>
      </c>
    </row>
    <row r="82" spans="1:50" ht="15.75" thickBot="1" x14ac:dyDescent="0.3">
      <c r="A82" s="221"/>
      <c r="B82" s="163" t="s">
        <v>16</v>
      </c>
      <c r="C82" s="167">
        <v>0.37524200000000002</v>
      </c>
      <c r="D82" s="168">
        <v>0.372197</v>
      </c>
      <c r="E82" s="168">
        <v>0.14357700000000001</v>
      </c>
      <c r="F82" s="222"/>
      <c r="G82" s="223"/>
      <c r="H82" s="167">
        <v>0.250222</v>
      </c>
      <c r="I82" s="168">
        <v>3.8566000000000003E-2</v>
      </c>
      <c r="J82" s="222"/>
      <c r="K82" s="223"/>
      <c r="N82" s="221"/>
      <c r="O82" s="163" t="s">
        <v>16</v>
      </c>
      <c r="P82" s="167">
        <v>0.37524200000000002</v>
      </c>
      <c r="Q82" s="168">
        <v>0.372197</v>
      </c>
      <c r="R82" s="168">
        <v>0.14357700000000001</v>
      </c>
      <c r="S82" s="222"/>
      <c r="T82" s="223"/>
      <c r="U82" s="167">
        <v>0.250222</v>
      </c>
      <c r="V82" s="168">
        <v>3.8566000000000003E-2</v>
      </c>
      <c r="W82" s="222"/>
      <c r="X82" s="223"/>
      <c r="AA82" s="221"/>
      <c r="AB82" s="163" t="s">
        <v>16</v>
      </c>
      <c r="AC82" s="167">
        <v>0.37524200000000002</v>
      </c>
      <c r="AD82" s="168">
        <v>0.372197</v>
      </c>
      <c r="AE82" s="168">
        <v>0.14357700000000001</v>
      </c>
      <c r="AF82" s="222"/>
      <c r="AG82" s="223"/>
      <c r="AH82" s="167">
        <v>0.250222</v>
      </c>
      <c r="AI82" s="168">
        <v>3.8566000000000003E-2</v>
      </c>
      <c r="AJ82" s="222"/>
      <c r="AK82" s="223"/>
      <c r="AN82" s="221"/>
      <c r="AO82" s="163" t="s">
        <v>16</v>
      </c>
      <c r="AP82" s="167">
        <v>0.37524200000000002</v>
      </c>
      <c r="AQ82" s="168">
        <v>0.372197</v>
      </c>
      <c r="AR82" s="168">
        <v>0.14357700000000001</v>
      </c>
      <c r="AS82" s="222"/>
      <c r="AT82" s="223"/>
      <c r="AU82" s="167">
        <v>0.250222</v>
      </c>
      <c r="AV82" s="168">
        <v>3.8566000000000003E-2</v>
      </c>
      <c r="AW82" s="222"/>
      <c r="AX82" s="223"/>
    </row>
    <row r="83" spans="1:50" ht="15.75" thickBot="1" x14ac:dyDescent="0.3">
      <c r="G83" s="151"/>
      <c r="J83" s="150"/>
      <c r="K83" s="151"/>
      <c r="T83" s="151"/>
      <c r="W83" s="150"/>
      <c r="X83" s="151"/>
      <c r="AG83" s="151"/>
      <c r="AJ83" s="150"/>
      <c r="AK83" s="151"/>
      <c r="AT83" s="151"/>
      <c r="AW83" s="150"/>
      <c r="AX83" s="151"/>
    </row>
    <row r="84" spans="1:50" x14ac:dyDescent="0.25">
      <c r="A84" s="212" t="s">
        <v>142</v>
      </c>
      <c r="B84" s="213"/>
      <c r="C84" s="216" t="s">
        <v>25</v>
      </c>
      <c r="D84" s="211"/>
      <c r="E84" s="211"/>
      <c r="F84" s="217"/>
      <c r="G84" s="218"/>
      <c r="H84" s="216" t="s">
        <v>28</v>
      </c>
      <c r="I84" s="211"/>
      <c r="J84" s="217"/>
      <c r="K84" s="218"/>
      <c r="N84" s="212" t="s">
        <v>142</v>
      </c>
      <c r="O84" s="213"/>
      <c r="P84" s="216" t="s">
        <v>25</v>
      </c>
      <c r="Q84" s="211"/>
      <c r="R84" s="211"/>
      <c r="S84" s="217"/>
      <c r="T84" s="218"/>
      <c r="U84" s="216" t="s">
        <v>28</v>
      </c>
      <c r="V84" s="211"/>
      <c r="W84" s="217"/>
      <c r="X84" s="218"/>
      <c r="AA84" s="212" t="s">
        <v>142</v>
      </c>
      <c r="AB84" s="213"/>
      <c r="AC84" s="216" t="s">
        <v>25</v>
      </c>
      <c r="AD84" s="211"/>
      <c r="AE84" s="211"/>
      <c r="AF84" s="217"/>
      <c r="AG84" s="218"/>
      <c r="AH84" s="216" t="s">
        <v>28</v>
      </c>
      <c r="AI84" s="211"/>
      <c r="AJ84" s="217"/>
      <c r="AK84" s="218"/>
      <c r="AN84" s="212" t="s">
        <v>142</v>
      </c>
      <c r="AO84" s="213"/>
      <c r="AP84" s="216" t="s">
        <v>25</v>
      </c>
      <c r="AQ84" s="211"/>
      <c r="AR84" s="211"/>
      <c r="AS84" s="217"/>
      <c r="AT84" s="218"/>
      <c r="AU84" s="216" t="s">
        <v>28</v>
      </c>
      <c r="AV84" s="211"/>
      <c r="AW84" s="217"/>
      <c r="AX84" s="218"/>
    </row>
    <row r="85" spans="1:50" ht="15.75" thickBot="1" x14ac:dyDescent="0.3">
      <c r="A85" s="214"/>
      <c r="B85" s="215"/>
      <c r="C85" s="157" t="s">
        <v>98</v>
      </c>
      <c r="D85" s="158" t="s">
        <v>99</v>
      </c>
      <c r="E85" s="158" t="s">
        <v>100</v>
      </c>
      <c r="F85" s="158" t="s">
        <v>101</v>
      </c>
      <c r="G85" s="159" t="s">
        <v>143</v>
      </c>
      <c r="H85" s="157" t="s">
        <v>141</v>
      </c>
      <c r="I85" s="158" t="s">
        <v>99</v>
      </c>
      <c r="J85" s="158" t="s">
        <v>101</v>
      </c>
      <c r="K85" s="159" t="s">
        <v>143</v>
      </c>
      <c r="N85" s="214"/>
      <c r="O85" s="215"/>
      <c r="P85" s="157" t="s">
        <v>98</v>
      </c>
      <c r="Q85" s="158" t="s">
        <v>99</v>
      </c>
      <c r="R85" s="158" t="s">
        <v>100</v>
      </c>
      <c r="S85" s="158" t="s">
        <v>101</v>
      </c>
      <c r="T85" s="159" t="s">
        <v>143</v>
      </c>
      <c r="U85" s="157" t="s">
        <v>141</v>
      </c>
      <c r="V85" s="158" t="s">
        <v>99</v>
      </c>
      <c r="W85" s="158" t="s">
        <v>101</v>
      </c>
      <c r="X85" s="159" t="s">
        <v>143</v>
      </c>
      <c r="AA85" s="214"/>
      <c r="AB85" s="215"/>
      <c r="AC85" s="157" t="s">
        <v>98</v>
      </c>
      <c r="AD85" s="158" t="s">
        <v>99</v>
      </c>
      <c r="AE85" s="158" t="s">
        <v>100</v>
      </c>
      <c r="AF85" s="158" t="s">
        <v>101</v>
      </c>
      <c r="AG85" s="159" t="s">
        <v>143</v>
      </c>
      <c r="AH85" s="157" t="s">
        <v>141</v>
      </c>
      <c r="AI85" s="158" t="s">
        <v>99</v>
      </c>
      <c r="AJ85" s="158" t="s">
        <v>101</v>
      </c>
      <c r="AK85" s="159" t="s">
        <v>143</v>
      </c>
      <c r="AN85" s="214"/>
      <c r="AO85" s="215"/>
      <c r="AP85" s="157" t="s">
        <v>98</v>
      </c>
      <c r="AQ85" s="158" t="s">
        <v>99</v>
      </c>
      <c r="AR85" s="158" t="s">
        <v>100</v>
      </c>
      <c r="AS85" s="158" t="s">
        <v>101</v>
      </c>
      <c r="AT85" s="159" t="s">
        <v>143</v>
      </c>
      <c r="AU85" s="157" t="s">
        <v>141</v>
      </c>
      <c r="AV85" s="158" t="s">
        <v>99</v>
      </c>
      <c r="AW85" s="158" t="s">
        <v>101</v>
      </c>
      <c r="AX85" s="159" t="s">
        <v>143</v>
      </c>
    </row>
    <row r="86" spans="1:50" x14ac:dyDescent="0.25">
      <c r="A86" s="219">
        <v>500</v>
      </c>
      <c r="B86" s="160" t="s">
        <v>0</v>
      </c>
      <c r="C86" s="161">
        <v>4.0989730000000009</v>
      </c>
      <c r="D86" s="154">
        <v>335.47283000000004</v>
      </c>
      <c r="E86" s="154">
        <v>152.327305</v>
      </c>
      <c r="F86" s="211">
        <v>491.89910800000007</v>
      </c>
      <c r="G86" s="220">
        <v>0.98379821600000017</v>
      </c>
      <c r="H86" s="161">
        <v>153.991873</v>
      </c>
      <c r="I86" s="154">
        <v>335.53663699999998</v>
      </c>
      <c r="J86" s="211">
        <v>489.52850999999998</v>
      </c>
      <c r="K86" s="220">
        <v>0.97905701999999994</v>
      </c>
      <c r="N86" s="219">
        <v>500</v>
      </c>
      <c r="O86" s="160" t="s">
        <v>0</v>
      </c>
      <c r="P86" s="161">
        <v>4.0989730000000009</v>
      </c>
      <c r="Q86" s="154">
        <v>335.47283000000004</v>
      </c>
      <c r="R86" s="154">
        <v>152.327305</v>
      </c>
      <c r="S86" s="211">
        <v>491.89910800000007</v>
      </c>
      <c r="T86" s="220">
        <v>0.98379821600000017</v>
      </c>
      <c r="U86" s="161">
        <v>153.991873</v>
      </c>
      <c r="V86" s="154">
        <v>335.53663699999998</v>
      </c>
      <c r="W86" s="211">
        <v>489.52850999999998</v>
      </c>
      <c r="X86" s="220">
        <v>0.97905701999999994</v>
      </c>
      <c r="AA86" s="219">
        <v>500</v>
      </c>
      <c r="AB86" s="160" t="s">
        <v>0</v>
      </c>
      <c r="AC86" s="161">
        <v>4.0989730000000009</v>
      </c>
      <c r="AD86" s="154">
        <v>335.47283000000004</v>
      </c>
      <c r="AE86" s="154">
        <v>152.327305</v>
      </c>
      <c r="AF86" s="211">
        <v>491.89910800000007</v>
      </c>
      <c r="AG86" s="220">
        <v>0.98379821600000017</v>
      </c>
      <c r="AH86" s="161">
        <v>153.991873</v>
      </c>
      <c r="AI86" s="154">
        <v>335.53663699999998</v>
      </c>
      <c r="AJ86" s="211">
        <v>489.52850999999998</v>
      </c>
      <c r="AK86" s="220">
        <v>0.97905701999999994</v>
      </c>
      <c r="AN86" s="219">
        <v>500</v>
      </c>
      <c r="AO86" s="160" t="s">
        <v>0</v>
      </c>
      <c r="AP86" s="161">
        <v>4.0989730000000009</v>
      </c>
      <c r="AQ86" s="154">
        <v>335.47283000000004</v>
      </c>
      <c r="AR86" s="154">
        <v>152.327305</v>
      </c>
      <c r="AS86" s="211">
        <v>491.89910800000007</v>
      </c>
      <c r="AT86" s="220">
        <v>0.98379821600000017</v>
      </c>
      <c r="AU86" s="161">
        <v>153.991873</v>
      </c>
      <c r="AV86" s="154">
        <v>335.53663699999998</v>
      </c>
      <c r="AW86" s="211">
        <v>489.52850999999998</v>
      </c>
      <c r="AX86" s="220">
        <v>0.97905701999999994</v>
      </c>
    </row>
    <row r="87" spans="1:50" x14ac:dyDescent="0.25">
      <c r="A87" s="207"/>
      <c r="B87" s="153" t="s">
        <v>16</v>
      </c>
      <c r="C87" s="166">
        <f>1.96*SQRT(C70)/SQRT(50)</f>
        <v>4.9194047770030065E-2</v>
      </c>
      <c r="D87" s="130">
        <f t="shared" ref="D87:E87" si="407">1.96*SQRT(D70)/SQRT(50)</f>
        <v>4.8550272172254612E-2</v>
      </c>
      <c r="E87" s="130">
        <f t="shared" si="407"/>
        <v>2.6611286026796976E-2</v>
      </c>
      <c r="F87" s="187"/>
      <c r="G87" s="210"/>
      <c r="H87" s="166">
        <f t="shared" ref="H87:I87" si="408">1.96*SQRT(H70)/SQRT(50)</f>
        <v>6.9909658502956509E-2</v>
      </c>
      <c r="I87" s="130">
        <f t="shared" si="408"/>
        <v>4.1126386274507508E-2</v>
      </c>
      <c r="J87" s="187"/>
      <c r="K87" s="210"/>
      <c r="N87" s="207"/>
      <c r="O87" s="153" t="s">
        <v>16</v>
      </c>
      <c r="P87" s="166">
        <f>1.96*SQRT(P70)/SQRT(50)</f>
        <v>4.9194047770030065E-2</v>
      </c>
      <c r="Q87" s="130">
        <f t="shared" ref="Q87:R87" si="409">1.96*SQRT(Q70)/SQRT(50)</f>
        <v>4.8550272172254612E-2</v>
      </c>
      <c r="R87" s="130">
        <f t="shared" si="409"/>
        <v>2.6611286026796976E-2</v>
      </c>
      <c r="S87" s="187"/>
      <c r="T87" s="210"/>
      <c r="U87" s="166">
        <f t="shared" ref="U87:V87" si="410">1.96*SQRT(U70)/SQRT(50)</f>
        <v>6.9909658502956509E-2</v>
      </c>
      <c r="V87" s="130">
        <f t="shared" si="410"/>
        <v>4.1126386274507508E-2</v>
      </c>
      <c r="W87" s="187"/>
      <c r="X87" s="210"/>
      <c r="AA87" s="207"/>
      <c r="AB87" s="153" t="s">
        <v>16</v>
      </c>
      <c r="AC87" s="166">
        <f>1.96*SQRT(AC70)/SQRT(50)</f>
        <v>4.9194047770030065E-2</v>
      </c>
      <c r="AD87" s="130">
        <f t="shared" ref="AD87:AE87" si="411">1.96*SQRT(AD70)/SQRT(50)</f>
        <v>4.8550272172254612E-2</v>
      </c>
      <c r="AE87" s="130">
        <f t="shared" si="411"/>
        <v>2.6611286026796976E-2</v>
      </c>
      <c r="AF87" s="187"/>
      <c r="AG87" s="210"/>
      <c r="AH87" s="166">
        <f t="shared" ref="AH87:AI87" si="412">1.96*SQRT(AH70)/SQRT(50)</f>
        <v>6.9909658502956509E-2</v>
      </c>
      <c r="AI87" s="130">
        <f t="shared" si="412"/>
        <v>4.1126386274507508E-2</v>
      </c>
      <c r="AJ87" s="187"/>
      <c r="AK87" s="210"/>
      <c r="AN87" s="207"/>
      <c r="AO87" s="153" t="s">
        <v>16</v>
      </c>
      <c r="AP87" s="166">
        <f>1.96*SQRT(AP70)/SQRT(50)</f>
        <v>4.9194047770030065E-2</v>
      </c>
      <c r="AQ87" s="130">
        <f t="shared" ref="AQ87:AR87" si="413">1.96*SQRT(AQ70)/SQRT(50)</f>
        <v>4.8550272172254612E-2</v>
      </c>
      <c r="AR87" s="130">
        <f t="shared" si="413"/>
        <v>2.6611286026796976E-2</v>
      </c>
      <c r="AS87" s="187"/>
      <c r="AT87" s="210"/>
      <c r="AU87" s="166">
        <f t="shared" ref="AU87:AV87" si="414">1.96*SQRT(AU70)/SQRT(50)</f>
        <v>6.9909658502956509E-2</v>
      </c>
      <c r="AV87" s="130">
        <f t="shared" si="414"/>
        <v>4.1126386274507508E-2</v>
      </c>
      <c r="AW87" s="187"/>
      <c r="AX87" s="210"/>
    </row>
    <row r="88" spans="1:50" x14ac:dyDescent="0.25">
      <c r="A88" s="207">
        <v>1000</v>
      </c>
      <c r="B88" s="153" t="s">
        <v>0</v>
      </c>
      <c r="C88" s="155">
        <v>4.3214289999999664</v>
      </c>
      <c r="D88" s="152">
        <v>633.51590499999998</v>
      </c>
      <c r="E88" s="152">
        <v>302.04636199999999</v>
      </c>
      <c r="F88" s="208">
        <v>939.88369599999987</v>
      </c>
      <c r="G88" s="209">
        <v>0.93988369599999988</v>
      </c>
      <c r="H88" s="155">
        <v>304.07807500000001</v>
      </c>
      <c r="I88" s="152">
        <v>633.67819599999996</v>
      </c>
      <c r="J88" s="208">
        <v>937.75627099999997</v>
      </c>
      <c r="K88" s="209">
        <v>0.93775627099999992</v>
      </c>
      <c r="N88" s="207">
        <v>1000</v>
      </c>
      <c r="O88" s="153" t="s">
        <v>0</v>
      </c>
      <c r="P88" s="155">
        <v>4.3214289999999664</v>
      </c>
      <c r="Q88" s="152">
        <v>633.51590499999998</v>
      </c>
      <c r="R88" s="152">
        <v>302.04636199999999</v>
      </c>
      <c r="S88" s="208">
        <v>939.88369599999987</v>
      </c>
      <c r="T88" s="209">
        <v>0.93988369599999988</v>
      </c>
      <c r="U88" s="155">
        <v>304.07807500000001</v>
      </c>
      <c r="V88" s="152">
        <v>633.67819599999996</v>
      </c>
      <c r="W88" s="208">
        <v>937.75627099999997</v>
      </c>
      <c r="X88" s="209">
        <v>0.93775627099999992</v>
      </c>
      <c r="AA88" s="207">
        <v>1000</v>
      </c>
      <c r="AB88" s="153" t="s">
        <v>0</v>
      </c>
      <c r="AC88" s="155">
        <v>4.3214289999999664</v>
      </c>
      <c r="AD88" s="152">
        <v>633.51590499999998</v>
      </c>
      <c r="AE88" s="152">
        <v>302.04636199999999</v>
      </c>
      <c r="AF88" s="208">
        <v>939.88369599999987</v>
      </c>
      <c r="AG88" s="209">
        <v>0.93988369599999988</v>
      </c>
      <c r="AH88" s="155">
        <v>304.07807500000001</v>
      </c>
      <c r="AI88" s="152">
        <v>633.67819599999996</v>
      </c>
      <c r="AJ88" s="208">
        <v>937.75627099999997</v>
      </c>
      <c r="AK88" s="209">
        <v>0.93775627099999992</v>
      </c>
      <c r="AN88" s="207">
        <v>1000</v>
      </c>
      <c r="AO88" s="153" t="s">
        <v>0</v>
      </c>
      <c r="AP88" s="155">
        <v>4.3214289999999664</v>
      </c>
      <c r="AQ88" s="152">
        <v>633.51590499999998</v>
      </c>
      <c r="AR88" s="152">
        <v>302.04636199999999</v>
      </c>
      <c r="AS88" s="208">
        <v>939.88369599999987</v>
      </c>
      <c r="AT88" s="209">
        <v>0.93988369599999988</v>
      </c>
      <c r="AU88" s="155">
        <v>304.07807500000001</v>
      </c>
      <c r="AV88" s="152">
        <v>633.67819599999996</v>
      </c>
      <c r="AW88" s="208">
        <v>937.75627099999997</v>
      </c>
      <c r="AX88" s="209">
        <v>0.93775627099999992</v>
      </c>
    </row>
    <row r="89" spans="1:50" x14ac:dyDescent="0.25">
      <c r="A89" s="207"/>
      <c r="B89" s="153" t="s">
        <v>16</v>
      </c>
      <c r="C89" s="166">
        <f>1.96*SQRT(C72)/SQRT(50)</f>
        <v>4.3997525384957735E-2</v>
      </c>
      <c r="D89" s="130">
        <f t="shared" ref="D89:E89" si="415">1.96*SQRT(D72)/SQRT(50)</f>
        <v>4.5521817538406784E-2</v>
      </c>
      <c r="E89" s="130">
        <f t="shared" si="415"/>
        <v>2.9154629409409407E-2</v>
      </c>
      <c r="F89" s="187"/>
      <c r="G89" s="210"/>
      <c r="H89" s="166">
        <f t="shared" ref="H89:I89" si="416">1.96*SQRT(H72)/SQRT(50)</f>
        <v>9.6155930030341855E-2</v>
      </c>
      <c r="I89" s="130">
        <f t="shared" si="416"/>
        <v>3.3244974357036279E-2</v>
      </c>
      <c r="J89" s="187"/>
      <c r="K89" s="210"/>
      <c r="N89" s="207"/>
      <c r="O89" s="153" t="s">
        <v>16</v>
      </c>
      <c r="P89" s="166">
        <f>1.96*SQRT(P72)/SQRT(50)</f>
        <v>4.3997525384957735E-2</v>
      </c>
      <c r="Q89" s="130">
        <f t="shared" ref="Q89:R89" si="417">1.96*SQRT(Q72)/SQRT(50)</f>
        <v>4.5521817538406784E-2</v>
      </c>
      <c r="R89" s="130">
        <f t="shared" si="417"/>
        <v>2.9154629409409407E-2</v>
      </c>
      <c r="S89" s="187"/>
      <c r="T89" s="210"/>
      <c r="U89" s="166">
        <f t="shared" ref="U89:V89" si="418">1.96*SQRT(U72)/SQRT(50)</f>
        <v>9.6155930030341855E-2</v>
      </c>
      <c r="V89" s="130">
        <f t="shared" si="418"/>
        <v>3.3244974357036279E-2</v>
      </c>
      <c r="W89" s="187"/>
      <c r="X89" s="210"/>
      <c r="AA89" s="207"/>
      <c r="AB89" s="153" t="s">
        <v>16</v>
      </c>
      <c r="AC89" s="166">
        <f>1.96*SQRT(AC72)/SQRT(50)</f>
        <v>4.3997525384957735E-2</v>
      </c>
      <c r="AD89" s="130">
        <f t="shared" ref="AD89:AE89" si="419">1.96*SQRT(AD72)/SQRT(50)</f>
        <v>4.5521817538406784E-2</v>
      </c>
      <c r="AE89" s="130">
        <f t="shared" si="419"/>
        <v>2.9154629409409407E-2</v>
      </c>
      <c r="AF89" s="187"/>
      <c r="AG89" s="210"/>
      <c r="AH89" s="166">
        <f t="shared" ref="AH89:AI89" si="420">1.96*SQRT(AH72)/SQRT(50)</f>
        <v>9.6155930030341855E-2</v>
      </c>
      <c r="AI89" s="130">
        <f t="shared" si="420"/>
        <v>3.3244974357036279E-2</v>
      </c>
      <c r="AJ89" s="187"/>
      <c r="AK89" s="210"/>
      <c r="AN89" s="207"/>
      <c r="AO89" s="153" t="s">
        <v>16</v>
      </c>
      <c r="AP89" s="166">
        <f>1.96*SQRT(AP72)/SQRT(50)</f>
        <v>4.3997525384957735E-2</v>
      </c>
      <c r="AQ89" s="130">
        <f t="shared" ref="AQ89:AR89" si="421">1.96*SQRT(AQ72)/SQRT(50)</f>
        <v>4.5521817538406784E-2</v>
      </c>
      <c r="AR89" s="130">
        <f t="shared" si="421"/>
        <v>2.9154629409409407E-2</v>
      </c>
      <c r="AS89" s="187"/>
      <c r="AT89" s="210"/>
      <c r="AU89" s="166">
        <f t="shared" ref="AU89:AV89" si="422">1.96*SQRT(AU72)/SQRT(50)</f>
        <v>9.6155930030341855E-2</v>
      </c>
      <c r="AV89" s="130">
        <f t="shared" si="422"/>
        <v>3.3244974357036279E-2</v>
      </c>
      <c r="AW89" s="187"/>
      <c r="AX89" s="210"/>
    </row>
    <row r="90" spans="1:50" x14ac:dyDescent="0.25">
      <c r="A90" s="207">
        <v>1500</v>
      </c>
      <c r="B90" s="153" t="s">
        <v>0</v>
      </c>
      <c r="C90" s="155">
        <v>4.3281670000001213</v>
      </c>
      <c r="D90" s="152">
        <v>935.2325239999999</v>
      </c>
      <c r="E90" s="152">
        <v>451.69636000000003</v>
      </c>
      <c r="F90" s="208">
        <v>1391.257051</v>
      </c>
      <c r="G90" s="209">
        <v>0.92750470066666668</v>
      </c>
      <c r="H90" s="155">
        <v>453.71775600000001</v>
      </c>
      <c r="I90" s="152">
        <v>935.33049400000004</v>
      </c>
      <c r="J90" s="208">
        <v>1389.0482500000001</v>
      </c>
      <c r="K90" s="209">
        <v>0.92603216666666666</v>
      </c>
      <c r="N90" s="207">
        <v>1500</v>
      </c>
      <c r="O90" s="153" t="s">
        <v>0</v>
      </c>
      <c r="P90" s="155">
        <v>4.3281670000001213</v>
      </c>
      <c r="Q90" s="152">
        <v>935.2325239999999</v>
      </c>
      <c r="R90" s="152">
        <v>451.69636000000003</v>
      </c>
      <c r="S90" s="208">
        <v>1391.257051</v>
      </c>
      <c r="T90" s="209">
        <v>0.92750470066666668</v>
      </c>
      <c r="U90" s="155">
        <v>453.71775600000001</v>
      </c>
      <c r="V90" s="152">
        <v>935.33049400000004</v>
      </c>
      <c r="W90" s="208">
        <v>1389.0482500000001</v>
      </c>
      <c r="X90" s="209">
        <v>0.92603216666666666</v>
      </c>
      <c r="AA90" s="207">
        <v>1500</v>
      </c>
      <c r="AB90" s="153" t="s">
        <v>0</v>
      </c>
      <c r="AC90" s="155">
        <v>4.3281670000001213</v>
      </c>
      <c r="AD90" s="152">
        <v>935.2325239999999</v>
      </c>
      <c r="AE90" s="152">
        <v>451.69636000000003</v>
      </c>
      <c r="AF90" s="208">
        <v>1391.257051</v>
      </c>
      <c r="AG90" s="209">
        <v>0.92750470066666668</v>
      </c>
      <c r="AH90" s="155">
        <v>453.71775600000001</v>
      </c>
      <c r="AI90" s="152">
        <v>935.33049400000004</v>
      </c>
      <c r="AJ90" s="208">
        <v>1389.0482500000001</v>
      </c>
      <c r="AK90" s="209">
        <v>0.92603216666666666</v>
      </c>
      <c r="AN90" s="207">
        <v>1500</v>
      </c>
      <c r="AO90" s="153" t="s">
        <v>0</v>
      </c>
      <c r="AP90" s="155">
        <v>4.3281670000001213</v>
      </c>
      <c r="AQ90" s="152">
        <v>935.2325239999999</v>
      </c>
      <c r="AR90" s="152">
        <v>451.69636000000003</v>
      </c>
      <c r="AS90" s="208">
        <v>1391.257051</v>
      </c>
      <c r="AT90" s="209">
        <v>0.92750470066666668</v>
      </c>
      <c r="AU90" s="155">
        <v>453.71775600000001</v>
      </c>
      <c r="AV90" s="152">
        <v>935.33049400000004</v>
      </c>
      <c r="AW90" s="208">
        <v>1389.0482500000001</v>
      </c>
      <c r="AX90" s="209">
        <v>0.92603216666666666</v>
      </c>
    </row>
    <row r="91" spans="1:50" x14ac:dyDescent="0.25">
      <c r="A91" s="207"/>
      <c r="B91" s="153" t="s">
        <v>16</v>
      </c>
      <c r="C91" s="166">
        <f>1.96*SQRT(C74)/SQRT(50)</f>
        <v>5.6824453046201859E-2</v>
      </c>
      <c r="D91" s="130">
        <f t="shared" ref="D91:E91" si="423">1.96*SQRT(D74)/SQRT(50)</f>
        <v>5.8221568237209136E-2</v>
      </c>
      <c r="E91" s="130">
        <f t="shared" si="423"/>
        <v>4.4982747270481377E-2</v>
      </c>
      <c r="F91" s="187"/>
      <c r="G91" s="210"/>
      <c r="H91" s="166">
        <f t="shared" ref="H91:I91" si="424">1.96*SQRT(H74)/SQRT(50)</f>
        <v>0.13030447937043452</v>
      </c>
      <c r="I91" s="130">
        <f t="shared" si="424"/>
        <v>8.523904570089931E-2</v>
      </c>
      <c r="J91" s="187"/>
      <c r="K91" s="210"/>
      <c r="N91" s="207"/>
      <c r="O91" s="153" t="s">
        <v>16</v>
      </c>
      <c r="P91" s="166">
        <f>1.96*SQRT(P74)/SQRT(50)</f>
        <v>5.6824453046201859E-2</v>
      </c>
      <c r="Q91" s="130">
        <f t="shared" ref="Q91:R91" si="425">1.96*SQRT(Q74)/SQRT(50)</f>
        <v>5.8221568237209136E-2</v>
      </c>
      <c r="R91" s="130">
        <f t="shared" si="425"/>
        <v>4.4982747270481377E-2</v>
      </c>
      <c r="S91" s="187"/>
      <c r="T91" s="210"/>
      <c r="U91" s="166">
        <f t="shared" ref="U91:V91" si="426">1.96*SQRT(U74)/SQRT(50)</f>
        <v>0.13030447937043452</v>
      </c>
      <c r="V91" s="130">
        <f t="shared" si="426"/>
        <v>8.523904570089931E-2</v>
      </c>
      <c r="W91" s="187"/>
      <c r="X91" s="210"/>
      <c r="AA91" s="207"/>
      <c r="AB91" s="153" t="s">
        <v>16</v>
      </c>
      <c r="AC91" s="166">
        <f>1.96*SQRT(AC74)/SQRT(50)</f>
        <v>5.6824453046201859E-2</v>
      </c>
      <c r="AD91" s="130">
        <f t="shared" ref="AD91:AE91" si="427">1.96*SQRT(AD74)/SQRT(50)</f>
        <v>5.8221568237209136E-2</v>
      </c>
      <c r="AE91" s="130">
        <f t="shared" si="427"/>
        <v>4.4982747270481377E-2</v>
      </c>
      <c r="AF91" s="187"/>
      <c r="AG91" s="210"/>
      <c r="AH91" s="166">
        <f t="shared" ref="AH91:AI91" si="428">1.96*SQRT(AH74)/SQRT(50)</f>
        <v>0.13030447937043452</v>
      </c>
      <c r="AI91" s="130">
        <f t="shared" si="428"/>
        <v>8.523904570089931E-2</v>
      </c>
      <c r="AJ91" s="187"/>
      <c r="AK91" s="210"/>
      <c r="AN91" s="207"/>
      <c r="AO91" s="153" t="s">
        <v>16</v>
      </c>
      <c r="AP91" s="166">
        <f>1.96*SQRT(AP74)/SQRT(50)</f>
        <v>5.6824453046201859E-2</v>
      </c>
      <c r="AQ91" s="130">
        <f t="shared" ref="AQ91:AR91" si="429">1.96*SQRT(AQ74)/SQRT(50)</f>
        <v>5.8221568237209136E-2</v>
      </c>
      <c r="AR91" s="130">
        <f t="shared" si="429"/>
        <v>4.4982747270481377E-2</v>
      </c>
      <c r="AS91" s="187"/>
      <c r="AT91" s="210"/>
      <c r="AU91" s="166">
        <f t="shared" ref="AU91:AV91" si="430">1.96*SQRT(AU74)/SQRT(50)</f>
        <v>0.13030447937043452</v>
      </c>
      <c r="AV91" s="130">
        <f t="shared" si="430"/>
        <v>8.523904570089931E-2</v>
      </c>
      <c r="AW91" s="187"/>
      <c r="AX91" s="210"/>
    </row>
    <row r="92" spans="1:50" x14ac:dyDescent="0.25">
      <c r="A92" s="207">
        <v>2000</v>
      </c>
      <c r="B92" s="153" t="s">
        <v>0</v>
      </c>
      <c r="C92" s="155">
        <v>4.0978590000001986</v>
      </c>
      <c r="D92" s="152">
        <v>1237.6741299999999</v>
      </c>
      <c r="E92" s="152">
        <v>602.11373400000002</v>
      </c>
      <c r="F92" s="208">
        <v>1843.8857230000001</v>
      </c>
      <c r="G92" s="209">
        <v>0.92194286150000004</v>
      </c>
      <c r="H92" s="155">
        <v>603.93329300000005</v>
      </c>
      <c r="I92" s="152">
        <v>1237.5205619999999</v>
      </c>
      <c r="J92" s="208">
        <v>1841.453855</v>
      </c>
      <c r="K92" s="209">
        <v>0.92072692749999996</v>
      </c>
      <c r="N92" s="207">
        <v>2000</v>
      </c>
      <c r="O92" s="153" t="s">
        <v>0</v>
      </c>
      <c r="P92" s="155">
        <v>4.0978590000001986</v>
      </c>
      <c r="Q92" s="152">
        <v>1237.6741299999999</v>
      </c>
      <c r="R92" s="152">
        <v>602.11373400000002</v>
      </c>
      <c r="S92" s="208">
        <v>1843.8857230000001</v>
      </c>
      <c r="T92" s="209">
        <v>0.92194286150000004</v>
      </c>
      <c r="U92" s="155">
        <v>603.93329300000005</v>
      </c>
      <c r="V92" s="152">
        <v>1237.5205619999999</v>
      </c>
      <c r="W92" s="208">
        <v>1841.453855</v>
      </c>
      <c r="X92" s="209">
        <v>0.92072692749999996</v>
      </c>
      <c r="AA92" s="207">
        <v>2000</v>
      </c>
      <c r="AB92" s="153" t="s">
        <v>0</v>
      </c>
      <c r="AC92" s="155">
        <v>4.0978590000001986</v>
      </c>
      <c r="AD92" s="152">
        <v>1237.6741299999999</v>
      </c>
      <c r="AE92" s="152">
        <v>602.11373400000002</v>
      </c>
      <c r="AF92" s="208">
        <v>1843.8857230000001</v>
      </c>
      <c r="AG92" s="209">
        <v>0.92194286150000004</v>
      </c>
      <c r="AH92" s="155">
        <v>603.93329300000005</v>
      </c>
      <c r="AI92" s="152">
        <v>1237.5205619999999</v>
      </c>
      <c r="AJ92" s="208">
        <v>1841.453855</v>
      </c>
      <c r="AK92" s="209">
        <v>0.92072692749999996</v>
      </c>
      <c r="AN92" s="207">
        <v>2000</v>
      </c>
      <c r="AO92" s="153" t="s">
        <v>0</v>
      </c>
      <c r="AP92" s="155">
        <v>4.0978590000001986</v>
      </c>
      <c r="AQ92" s="152">
        <v>1237.6741299999999</v>
      </c>
      <c r="AR92" s="152">
        <v>602.11373400000002</v>
      </c>
      <c r="AS92" s="208">
        <v>1843.8857230000001</v>
      </c>
      <c r="AT92" s="209">
        <v>0.92194286150000004</v>
      </c>
      <c r="AU92" s="155">
        <v>603.93329300000005</v>
      </c>
      <c r="AV92" s="152">
        <v>1237.5205619999999</v>
      </c>
      <c r="AW92" s="208">
        <v>1841.453855</v>
      </c>
      <c r="AX92" s="209">
        <v>0.92072692749999996</v>
      </c>
    </row>
    <row r="93" spans="1:50" x14ac:dyDescent="0.25">
      <c r="A93" s="207"/>
      <c r="B93" s="153" t="s">
        <v>16</v>
      </c>
      <c r="C93" s="166">
        <f>1.96*SQRT(C76)/SQRT(50)</f>
        <v>8.0669657046500448E-2</v>
      </c>
      <c r="D93" s="130">
        <f t="shared" ref="D93:E93" si="431">1.96*SQRT(D76)/SQRT(50)</f>
        <v>8.5091092459786882E-2</v>
      </c>
      <c r="E93" s="130">
        <f t="shared" si="431"/>
        <v>8.6263605860177214E-2</v>
      </c>
      <c r="F93" s="187"/>
      <c r="G93" s="210"/>
      <c r="H93" s="166">
        <f t="shared" ref="H93:I93" si="432">1.96*SQRT(H76)/SQRT(50)</f>
        <v>0.13793777634861307</v>
      </c>
      <c r="I93" s="130">
        <f t="shared" si="432"/>
        <v>4.2963808024894627E-2</v>
      </c>
      <c r="J93" s="187"/>
      <c r="K93" s="210"/>
      <c r="N93" s="207"/>
      <c r="O93" s="153" t="s">
        <v>16</v>
      </c>
      <c r="P93" s="166">
        <f>1.96*SQRT(P76)/SQRT(50)</f>
        <v>8.0669657046500448E-2</v>
      </c>
      <c r="Q93" s="130">
        <f t="shared" ref="Q93:R93" si="433">1.96*SQRT(Q76)/SQRT(50)</f>
        <v>8.5091092459786882E-2</v>
      </c>
      <c r="R93" s="130">
        <f t="shared" si="433"/>
        <v>8.6263605860177214E-2</v>
      </c>
      <c r="S93" s="187"/>
      <c r="T93" s="210"/>
      <c r="U93" s="166">
        <f t="shared" ref="U93:V93" si="434">1.96*SQRT(U76)/SQRT(50)</f>
        <v>0.13793777634861307</v>
      </c>
      <c r="V93" s="130">
        <f t="shared" si="434"/>
        <v>4.2963808024894627E-2</v>
      </c>
      <c r="W93" s="187"/>
      <c r="X93" s="210"/>
      <c r="AA93" s="207"/>
      <c r="AB93" s="153" t="s">
        <v>16</v>
      </c>
      <c r="AC93" s="166">
        <f>1.96*SQRT(AC76)/SQRT(50)</f>
        <v>8.0669657046500448E-2</v>
      </c>
      <c r="AD93" s="130">
        <f t="shared" ref="AD93:AE93" si="435">1.96*SQRT(AD76)/SQRT(50)</f>
        <v>8.5091092459786882E-2</v>
      </c>
      <c r="AE93" s="130">
        <f t="shared" si="435"/>
        <v>8.6263605860177214E-2</v>
      </c>
      <c r="AF93" s="187"/>
      <c r="AG93" s="210"/>
      <c r="AH93" s="166">
        <f t="shared" ref="AH93:AI93" si="436">1.96*SQRT(AH76)/SQRT(50)</f>
        <v>0.13793777634861307</v>
      </c>
      <c r="AI93" s="130">
        <f t="shared" si="436"/>
        <v>4.2963808024894627E-2</v>
      </c>
      <c r="AJ93" s="187"/>
      <c r="AK93" s="210"/>
      <c r="AN93" s="207"/>
      <c r="AO93" s="153" t="s">
        <v>16</v>
      </c>
      <c r="AP93" s="166">
        <f>1.96*SQRT(AP76)/SQRT(50)</f>
        <v>8.0669657046500448E-2</v>
      </c>
      <c r="AQ93" s="130">
        <f t="shared" ref="AQ93:AR93" si="437">1.96*SQRT(AQ76)/SQRT(50)</f>
        <v>8.5091092459786882E-2</v>
      </c>
      <c r="AR93" s="130">
        <f t="shared" si="437"/>
        <v>8.6263605860177214E-2</v>
      </c>
      <c r="AS93" s="187"/>
      <c r="AT93" s="210"/>
      <c r="AU93" s="166">
        <f t="shared" ref="AU93:AV93" si="438">1.96*SQRT(AU76)/SQRT(50)</f>
        <v>0.13793777634861307</v>
      </c>
      <c r="AV93" s="130">
        <f t="shared" si="438"/>
        <v>4.2963808024894627E-2</v>
      </c>
      <c r="AW93" s="187"/>
      <c r="AX93" s="210"/>
    </row>
    <row r="94" spans="1:50" x14ac:dyDescent="0.25">
      <c r="A94" s="207">
        <v>2500</v>
      </c>
      <c r="B94" s="153" t="s">
        <v>0</v>
      </c>
      <c r="C94" s="155">
        <v>4.1816549999998642</v>
      </c>
      <c r="D94" s="152">
        <v>1539.9342810000001</v>
      </c>
      <c r="E94" s="152">
        <v>751.12904400000002</v>
      </c>
      <c r="F94" s="208">
        <v>2295.2449799999999</v>
      </c>
      <c r="G94" s="209">
        <v>0.91809799199999997</v>
      </c>
      <c r="H94" s="155">
        <v>754.00015799999983</v>
      </c>
      <c r="I94" s="152">
        <v>1539.732078</v>
      </c>
      <c r="J94" s="208">
        <v>2293.7322359999998</v>
      </c>
      <c r="K94" s="209">
        <v>0.91749289439999993</v>
      </c>
      <c r="N94" s="207">
        <v>2500</v>
      </c>
      <c r="O94" s="153" t="s">
        <v>0</v>
      </c>
      <c r="P94" s="155">
        <v>4.1816549999998642</v>
      </c>
      <c r="Q94" s="152">
        <v>1539.9342810000001</v>
      </c>
      <c r="R94" s="152">
        <v>751.12904400000002</v>
      </c>
      <c r="S94" s="208">
        <v>2295.2449799999999</v>
      </c>
      <c r="T94" s="209">
        <v>0.91809799199999997</v>
      </c>
      <c r="U94" s="155">
        <v>754.00015799999983</v>
      </c>
      <c r="V94" s="152">
        <v>1539.732078</v>
      </c>
      <c r="W94" s="208">
        <v>2293.7322359999998</v>
      </c>
      <c r="X94" s="209">
        <v>0.91749289439999993</v>
      </c>
      <c r="AA94" s="207">
        <v>2500</v>
      </c>
      <c r="AB94" s="153" t="s">
        <v>0</v>
      </c>
      <c r="AC94" s="155">
        <v>4.1816549999998642</v>
      </c>
      <c r="AD94" s="152">
        <v>1539.9342810000001</v>
      </c>
      <c r="AE94" s="152">
        <v>751.12904400000002</v>
      </c>
      <c r="AF94" s="208">
        <v>2295.2449799999999</v>
      </c>
      <c r="AG94" s="209">
        <v>0.91809799199999997</v>
      </c>
      <c r="AH94" s="155">
        <v>754.00015799999983</v>
      </c>
      <c r="AI94" s="152">
        <v>1539.732078</v>
      </c>
      <c r="AJ94" s="208">
        <v>2293.7322359999998</v>
      </c>
      <c r="AK94" s="209">
        <v>0.91749289439999993</v>
      </c>
      <c r="AN94" s="207">
        <v>2500</v>
      </c>
      <c r="AO94" s="153" t="s">
        <v>0</v>
      </c>
      <c r="AP94" s="155">
        <v>4.1816549999998642</v>
      </c>
      <c r="AQ94" s="152">
        <v>1539.9342810000001</v>
      </c>
      <c r="AR94" s="152">
        <v>751.12904400000002</v>
      </c>
      <c r="AS94" s="208">
        <v>2295.2449799999999</v>
      </c>
      <c r="AT94" s="209">
        <v>0.91809799199999997</v>
      </c>
      <c r="AU94" s="155">
        <v>754.00015799999983</v>
      </c>
      <c r="AV94" s="152">
        <v>1539.732078</v>
      </c>
      <c r="AW94" s="208">
        <v>2293.7322359999998</v>
      </c>
      <c r="AX94" s="209">
        <v>0.91749289439999993</v>
      </c>
    </row>
    <row r="95" spans="1:50" x14ac:dyDescent="0.25">
      <c r="A95" s="207"/>
      <c r="B95" s="153" t="s">
        <v>16</v>
      </c>
      <c r="C95" s="166">
        <f>1.96*SQRT(C78)/SQRT(50)</f>
        <v>0.10450384750811809</v>
      </c>
      <c r="D95" s="130">
        <f t="shared" ref="D95:E95" si="439">1.96*SQRT(D78)/SQRT(50)</f>
        <v>0.10197765292455009</v>
      </c>
      <c r="E95" s="130">
        <f t="shared" si="439"/>
        <v>9.2002742393909098E-2</v>
      </c>
      <c r="F95" s="187"/>
      <c r="G95" s="210"/>
      <c r="H95" s="166">
        <f t="shared" ref="H95:I95" si="440">1.96*SQRT(H78)/SQRT(50)</f>
        <v>0.128058066579189</v>
      </c>
      <c r="I95" s="130">
        <f t="shared" si="440"/>
        <v>4.594183139579875E-2</v>
      </c>
      <c r="J95" s="187"/>
      <c r="K95" s="210"/>
      <c r="N95" s="207"/>
      <c r="O95" s="153" t="s">
        <v>16</v>
      </c>
      <c r="P95" s="166">
        <f>1.96*SQRT(P78)/SQRT(50)</f>
        <v>0.10450384750811809</v>
      </c>
      <c r="Q95" s="130">
        <f t="shared" ref="Q95:R95" si="441">1.96*SQRT(Q78)/SQRT(50)</f>
        <v>0.10197765292455009</v>
      </c>
      <c r="R95" s="130">
        <f t="shared" si="441"/>
        <v>9.2002742393909098E-2</v>
      </c>
      <c r="S95" s="187"/>
      <c r="T95" s="210"/>
      <c r="U95" s="166">
        <f t="shared" ref="U95:V95" si="442">1.96*SQRT(U78)/SQRT(50)</f>
        <v>0.128058066579189</v>
      </c>
      <c r="V95" s="130">
        <f t="shared" si="442"/>
        <v>4.594183139579875E-2</v>
      </c>
      <c r="W95" s="187"/>
      <c r="X95" s="210"/>
      <c r="AA95" s="207"/>
      <c r="AB95" s="153" t="s">
        <v>16</v>
      </c>
      <c r="AC95" s="166">
        <f>1.96*SQRT(AC78)/SQRT(50)</f>
        <v>0.10450384750811809</v>
      </c>
      <c r="AD95" s="130">
        <f t="shared" ref="AD95:AE95" si="443">1.96*SQRT(AD78)/SQRT(50)</f>
        <v>0.10197765292455009</v>
      </c>
      <c r="AE95" s="130">
        <f t="shared" si="443"/>
        <v>9.2002742393909098E-2</v>
      </c>
      <c r="AF95" s="187"/>
      <c r="AG95" s="210"/>
      <c r="AH95" s="166">
        <f t="shared" ref="AH95:AI95" si="444">1.96*SQRT(AH78)/SQRT(50)</f>
        <v>0.128058066579189</v>
      </c>
      <c r="AI95" s="130">
        <f t="shared" si="444"/>
        <v>4.594183139579875E-2</v>
      </c>
      <c r="AJ95" s="187"/>
      <c r="AK95" s="210"/>
      <c r="AN95" s="207"/>
      <c r="AO95" s="153" t="s">
        <v>16</v>
      </c>
      <c r="AP95" s="166">
        <f>1.96*SQRT(AP78)/SQRT(50)</f>
        <v>0.10450384750811809</v>
      </c>
      <c r="AQ95" s="130">
        <f t="shared" ref="AQ95:AR95" si="445">1.96*SQRT(AQ78)/SQRT(50)</f>
        <v>0.10197765292455009</v>
      </c>
      <c r="AR95" s="130">
        <f t="shared" si="445"/>
        <v>9.2002742393909098E-2</v>
      </c>
      <c r="AS95" s="187"/>
      <c r="AT95" s="210"/>
      <c r="AU95" s="166">
        <f t="shared" ref="AU95:AV95" si="446">1.96*SQRT(AU78)/SQRT(50)</f>
        <v>0.128058066579189</v>
      </c>
      <c r="AV95" s="130">
        <f t="shared" si="446"/>
        <v>4.594183139579875E-2</v>
      </c>
      <c r="AW95" s="187"/>
      <c r="AX95" s="210"/>
    </row>
    <row r="96" spans="1:50" x14ac:dyDescent="0.25">
      <c r="A96" s="207">
        <v>3000</v>
      </c>
      <c r="B96" s="153" t="s">
        <v>0</v>
      </c>
      <c r="C96" s="155">
        <v>4.2791790000001129</v>
      </c>
      <c r="D96" s="152">
        <v>1842.1504109999998</v>
      </c>
      <c r="E96" s="152">
        <v>902.63273400000003</v>
      </c>
      <c r="F96" s="208">
        <v>2749.062324</v>
      </c>
      <c r="G96" s="209">
        <v>0.91635410799999995</v>
      </c>
      <c r="H96" s="155">
        <v>904.94962900000019</v>
      </c>
      <c r="I96" s="152">
        <v>1841.907588</v>
      </c>
      <c r="J96" s="208">
        <v>2746.8572170000002</v>
      </c>
      <c r="K96" s="209">
        <v>0.91561907233333339</v>
      </c>
      <c r="N96" s="207">
        <v>3000</v>
      </c>
      <c r="O96" s="153" t="s">
        <v>0</v>
      </c>
      <c r="P96" s="155">
        <v>4.2791790000001129</v>
      </c>
      <c r="Q96" s="152">
        <v>1842.1504109999998</v>
      </c>
      <c r="R96" s="152">
        <v>902.63273400000003</v>
      </c>
      <c r="S96" s="208">
        <v>2749.062324</v>
      </c>
      <c r="T96" s="209">
        <v>0.91635410799999995</v>
      </c>
      <c r="U96" s="155">
        <v>904.94962900000019</v>
      </c>
      <c r="V96" s="152">
        <v>1841.907588</v>
      </c>
      <c r="W96" s="208">
        <v>2746.8572170000002</v>
      </c>
      <c r="X96" s="209">
        <v>0.91561907233333339</v>
      </c>
      <c r="AA96" s="207">
        <v>3000</v>
      </c>
      <c r="AB96" s="153" t="s">
        <v>0</v>
      </c>
      <c r="AC96" s="155">
        <v>4.2791790000001129</v>
      </c>
      <c r="AD96" s="152">
        <v>1842.1504109999998</v>
      </c>
      <c r="AE96" s="152">
        <v>902.63273400000003</v>
      </c>
      <c r="AF96" s="208">
        <v>2749.062324</v>
      </c>
      <c r="AG96" s="209">
        <v>0.91635410799999995</v>
      </c>
      <c r="AH96" s="155">
        <v>904.94962900000019</v>
      </c>
      <c r="AI96" s="152">
        <v>1841.907588</v>
      </c>
      <c r="AJ96" s="208">
        <v>2746.8572170000002</v>
      </c>
      <c r="AK96" s="209">
        <v>0.91561907233333339</v>
      </c>
      <c r="AN96" s="207">
        <v>3000</v>
      </c>
      <c r="AO96" s="153" t="s">
        <v>0</v>
      </c>
      <c r="AP96" s="155">
        <v>4.2791790000001129</v>
      </c>
      <c r="AQ96" s="152">
        <v>1842.1504109999998</v>
      </c>
      <c r="AR96" s="152">
        <v>902.63273400000003</v>
      </c>
      <c r="AS96" s="208">
        <v>2749.062324</v>
      </c>
      <c r="AT96" s="209">
        <v>0.91635410799999995</v>
      </c>
      <c r="AU96" s="155">
        <v>904.94962900000019</v>
      </c>
      <c r="AV96" s="152">
        <v>1841.907588</v>
      </c>
      <c r="AW96" s="208">
        <v>2746.8572170000002</v>
      </c>
      <c r="AX96" s="209">
        <v>0.91561907233333339</v>
      </c>
    </row>
    <row r="97" spans="1:50" x14ac:dyDescent="0.25">
      <c r="A97" s="207"/>
      <c r="B97" s="153" t="s">
        <v>16</v>
      </c>
      <c r="C97" s="166">
        <f>1.96*SQRT(C80)/SQRT(50)</f>
        <v>0.15962223634569214</v>
      </c>
      <c r="D97" s="130">
        <f t="shared" ref="D97:E97" si="447">1.96*SQRT(D80)/SQRT(50)</f>
        <v>0.15868254900901987</v>
      </c>
      <c r="E97" s="130">
        <f t="shared" si="447"/>
        <v>7.9765498506559826E-2</v>
      </c>
      <c r="F97" s="187"/>
      <c r="G97" s="210"/>
      <c r="H97" s="166">
        <f t="shared" ref="H97:I97" si="448">1.96*SQRT(H80)/SQRT(50)</f>
        <v>0.18370815576887162</v>
      </c>
      <c r="I97" s="130">
        <f t="shared" si="448"/>
        <v>8.350658148912575E-2</v>
      </c>
      <c r="J97" s="187"/>
      <c r="K97" s="210"/>
      <c r="N97" s="207"/>
      <c r="O97" s="153" t="s">
        <v>16</v>
      </c>
      <c r="P97" s="166">
        <f>1.96*SQRT(P80)/SQRT(50)</f>
        <v>0.15962223634569214</v>
      </c>
      <c r="Q97" s="130">
        <f t="shared" ref="Q97:R97" si="449">1.96*SQRT(Q80)/SQRT(50)</f>
        <v>0.15868254900901987</v>
      </c>
      <c r="R97" s="130">
        <f t="shared" si="449"/>
        <v>7.9765498506559826E-2</v>
      </c>
      <c r="S97" s="187"/>
      <c r="T97" s="210"/>
      <c r="U97" s="166">
        <f t="shared" ref="U97:V97" si="450">1.96*SQRT(U80)/SQRT(50)</f>
        <v>0.18370815576887162</v>
      </c>
      <c r="V97" s="130">
        <f t="shared" si="450"/>
        <v>8.350658148912575E-2</v>
      </c>
      <c r="W97" s="187"/>
      <c r="X97" s="210"/>
      <c r="AA97" s="207"/>
      <c r="AB97" s="153" t="s">
        <v>16</v>
      </c>
      <c r="AC97" s="166">
        <f>1.96*SQRT(AC80)/SQRT(50)</f>
        <v>0.15962223634569214</v>
      </c>
      <c r="AD97" s="130">
        <f t="shared" ref="AD97:AE97" si="451">1.96*SQRT(AD80)/SQRT(50)</f>
        <v>0.15868254900901987</v>
      </c>
      <c r="AE97" s="130">
        <f t="shared" si="451"/>
        <v>7.9765498506559826E-2</v>
      </c>
      <c r="AF97" s="187"/>
      <c r="AG97" s="210"/>
      <c r="AH97" s="166">
        <f t="shared" ref="AH97:AI97" si="452">1.96*SQRT(AH80)/SQRT(50)</f>
        <v>0.18370815576887162</v>
      </c>
      <c r="AI97" s="130">
        <f t="shared" si="452"/>
        <v>8.350658148912575E-2</v>
      </c>
      <c r="AJ97" s="187"/>
      <c r="AK97" s="210"/>
      <c r="AN97" s="207"/>
      <c r="AO97" s="153" t="s">
        <v>16</v>
      </c>
      <c r="AP97" s="166">
        <f>1.96*SQRT(AP80)/SQRT(50)</f>
        <v>0.15962223634569214</v>
      </c>
      <c r="AQ97" s="130">
        <f t="shared" ref="AQ97:AR97" si="453">1.96*SQRT(AQ80)/SQRT(50)</f>
        <v>0.15868254900901987</v>
      </c>
      <c r="AR97" s="130">
        <f t="shared" si="453"/>
        <v>7.9765498506559826E-2</v>
      </c>
      <c r="AS97" s="187"/>
      <c r="AT97" s="210"/>
      <c r="AU97" s="166">
        <f t="shared" ref="AU97:AV97" si="454">1.96*SQRT(AU80)/SQRT(50)</f>
        <v>0.18370815576887162</v>
      </c>
      <c r="AV97" s="130">
        <f t="shared" si="454"/>
        <v>8.350658148912575E-2</v>
      </c>
      <c r="AW97" s="187"/>
      <c r="AX97" s="210"/>
    </row>
    <row r="98" spans="1:50" x14ac:dyDescent="0.25">
      <c r="A98" s="207">
        <v>3500</v>
      </c>
      <c r="B98" s="153" t="s">
        <v>0</v>
      </c>
      <c r="C98" s="155">
        <v>4.4479929999997694</v>
      </c>
      <c r="D98" s="152">
        <v>2145.6467890000004</v>
      </c>
      <c r="E98" s="152">
        <v>1052.374783</v>
      </c>
      <c r="F98" s="208">
        <v>3202.4695650000003</v>
      </c>
      <c r="G98" s="209">
        <v>0.9149913042857144</v>
      </c>
      <c r="H98" s="155">
        <v>1054.7736129999998</v>
      </c>
      <c r="I98" s="152">
        <v>2145.446758</v>
      </c>
      <c r="J98" s="208">
        <v>3200.2203709999999</v>
      </c>
      <c r="K98" s="209">
        <v>0.9143486774285714</v>
      </c>
      <c r="N98" s="207">
        <v>3500</v>
      </c>
      <c r="O98" s="153" t="s">
        <v>0</v>
      </c>
      <c r="P98" s="155">
        <v>4.4479929999997694</v>
      </c>
      <c r="Q98" s="152">
        <v>2145.6467890000004</v>
      </c>
      <c r="R98" s="152">
        <v>1052.374783</v>
      </c>
      <c r="S98" s="208">
        <v>3202.4695650000003</v>
      </c>
      <c r="T98" s="209">
        <v>0.9149913042857144</v>
      </c>
      <c r="U98" s="155">
        <v>1054.7736129999998</v>
      </c>
      <c r="V98" s="152">
        <v>2145.446758</v>
      </c>
      <c r="W98" s="208">
        <v>3200.2203709999999</v>
      </c>
      <c r="X98" s="209">
        <v>0.9143486774285714</v>
      </c>
      <c r="AA98" s="207">
        <v>3500</v>
      </c>
      <c r="AB98" s="153" t="s">
        <v>0</v>
      </c>
      <c r="AC98" s="155">
        <v>4.4479929999997694</v>
      </c>
      <c r="AD98" s="152">
        <v>2145.6467890000004</v>
      </c>
      <c r="AE98" s="152">
        <v>1052.374783</v>
      </c>
      <c r="AF98" s="208">
        <v>3202.4695650000003</v>
      </c>
      <c r="AG98" s="209">
        <v>0.9149913042857144</v>
      </c>
      <c r="AH98" s="155">
        <v>1054.7736129999998</v>
      </c>
      <c r="AI98" s="152">
        <v>2145.446758</v>
      </c>
      <c r="AJ98" s="208">
        <v>3200.2203709999999</v>
      </c>
      <c r="AK98" s="209">
        <v>0.9143486774285714</v>
      </c>
      <c r="AN98" s="207">
        <v>3500</v>
      </c>
      <c r="AO98" s="153" t="s">
        <v>0</v>
      </c>
      <c r="AP98" s="155">
        <v>4.4479929999997694</v>
      </c>
      <c r="AQ98" s="152">
        <v>2145.6467890000004</v>
      </c>
      <c r="AR98" s="152">
        <v>1052.374783</v>
      </c>
      <c r="AS98" s="208">
        <v>3202.4695650000003</v>
      </c>
      <c r="AT98" s="209">
        <v>0.9149913042857144</v>
      </c>
      <c r="AU98" s="155">
        <v>1054.7736129999998</v>
      </c>
      <c r="AV98" s="152">
        <v>2145.446758</v>
      </c>
      <c r="AW98" s="208">
        <v>3200.2203709999999</v>
      </c>
      <c r="AX98" s="209">
        <v>0.9143486774285714</v>
      </c>
    </row>
    <row r="99" spans="1:50" ht="15.75" thickBot="1" x14ac:dyDescent="0.3">
      <c r="A99" s="221"/>
      <c r="B99" s="163" t="s">
        <v>16</v>
      </c>
      <c r="C99" s="167">
        <f>1.96*SQRT(C82)/SQRT(50)</f>
        <v>0.16979574006434911</v>
      </c>
      <c r="D99" s="168">
        <f t="shared" ref="D99:E99" si="455">1.96*SQRT(D82)/SQRT(50)</f>
        <v>0.16910541062899198</v>
      </c>
      <c r="E99" s="168">
        <f t="shared" si="455"/>
        <v>0.10503003410453603</v>
      </c>
      <c r="F99" s="222"/>
      <c r="G99" s="223"/>
      <c r="H99" s="167">
        <f t="shared" ref="H99:I99" si="456">1.96*SQRT(H82)/SQRT(50)</f>
        <v>0.13865445071832352</v>
      </c>
      <c r="I99" s="168">
        <f t="shared" si="456"/>
        <v>5.443439089399274E-2</v>
      </c>
      <c r="J99" s="222"/>
      <c r="K99" s="223"/>
      <c r="N99" s="221"/>
      <c r="O99" s="163" t="s">
        <v>16</v>
      </c>
      <c r="P99" s="167">
        <f>1.96*SQRT(P82)/SQRT(50)</f>
        <v>0.16979574006434911</v>
      </c>
      <c r="Q99" s="168">
        <f t="shared" ref="Q99:R99" si="457">1.96*SQRT(Q82)/SQRT(50)</f>
        <v>0.16910541062899198</v>
      </c>
      <c r="R99" s="168">
        <f t="shared" si="457"/>
        <v>0.10503003410453603</v>
      </c>
      <c r="S99" s="222"/>
      <c r="T99" s="223"/>
      <c r="U99" s="167">
        <f t="shared" ref="U99:V99" si="458">1.96*SQRT(U82)/SQRT(50)</f>
        <v>0.13865445071832352</v>
      </c>
      <c r="V99" s="168">
        <f t="shared" si="458"/>
        <v>5.443439089399274E-2</v>
      </c>
      <c r="W99" s="222"/>
      <c r="X99" s="223"/>
      <c r="AA99" s="221"/>
      <c r="AB99" s="163" t="s">
        <v>16</v>
      </c>
      <c r="AC99" s="167">
        <f>1.96*SQRT(AC82)/SQRT(50)</f>
        <v>0.16979574006434911</v>
      </c>
      <c r="AD99" s="168">
        <f t="shared" ref="AD99:AE99" si="459">1.96*SQRT(AD82)/SQRT(50)</f>
        <v>0.16910541062899198</v>
      </c>
      <c r="AE99" s="168">
        <f t="shared" si="459"/>
        <v>0.10503003410453603</v>
      </c>
      <c r="AF99" s="222"/>
      <c r="AG99" s="223"/>
      <c r="AH99" s="167">
        <f t="shared" ref="AH99:AI99" si="460">1.96*SQRT(AH82)/SQRT(50)</f>
        <v>0.13865445071832352</v>
      </c>
      <c r="AI99" s="168">
        <f t="shared" si="460"/>
        <v>5.443439089399274E-2</v>
      </c>
      <c r="AJ99" s="222"/>
      <c r="AK99" s="223"/>
      <c r="AN99" s="221"/>
      <c r="AO99" s="163" t="s">
        <v>16</v>
      </c>
      <c r="AP99" s="167">
        <f>1.96*SQRT(AP82)/SQRT(50)</f>
        <v>0.16979574006434911</v>
      </c>
      <c r="AQ99" s="168">
        <f t="shared" ref="AQ99:AR99" si="461">1.96*SQRT(AQ82)/SQRT(50)</f>
        <v>0.16910541062899198</v>
      </c>
      <c r="AR99" s="168">
        <f t="shared" si="461"/>
        <v>0.10503003410453603</v>
      </c>
      <c r="AS99" s="222"/>
      <c r="AT99" s="223"/>
      <c r="AU99" s="167">
        <f t="shared" ref="AU99:AV99" si="462">1.96*SQRT(AU82)/SQRT(50)</f>
        <v>0.13865445071832352</v>
      </c>
      <c r="AV99" s="168">
        <f t="shared" si="462"/>
        <v>5.443439089399274E-2</v>
      </c>
      <c r="AW99" s="222"/>
      <c r="AX99" s="223"/>
    </row>
  </sheetData>
  <mergeCells count="928">
    <mergeCell ref="AN98:AN99"/>
    <mergeCell ref="AS98:AS99"/>
    <mergeCell ref="AT98:AT99"/>
    <mergeCell ref="AW98:AW99"/>
    <mergeCell ref="AX98:AX99"/>
    <mergeCell ref="AN96:AN97"/>
    <mergeCell ref="AS96:AS97"/>
    <mergeCell ref="AT96:AT97"/>
    <mergeCell ref="AW96:AW97"/>
    <mergeCell ref="AX96:AX97"/>
    <mergeCell ref="AN94:AN95"/>
    <mergeCell ref="AS94:AS95"/>
    <mergeCell ref="AT94:AT95"/>
    <mergeCell ref="AW94:AW95"/>
    <mergeCell ref="AX94:AX95"/>
    <mergeCell ref="AN92:AN93"/>
    <mergeCell ref="AS92:AS93"/>
    <mergeCell ref="AT92:AT93"/>
    <mergeCell ref="AW92:AW93"/>
    <mergeCell ref="AX92:AX93"/>
    <mergeCell ref="AN90:AN91"/>
    <mergeCell ref="AS90:AS91"/>
    <mergeCell ref="AT90:AT91"/>
    <mergeCell ref="AW90:AW91"/>
    <mergeCell ref="AX90:AX91"/>
    <mergeCell ref="AN88:AN89"/>
    <mergeCell ref="AS88:AS89"/>
    <mergeCell ref="AT88:AT89"/>
    <mergeCell ref="AW88:AW89"/>
    <mergeCell ref="AX88:AX89"/>
    <mergeCell ref="AN84:AO85"/>
    <mergeCell ref="AP84:AT84"/>
    <mergeCell ref="AU84:AX84"/>
    <mergeCell ref="AN86:AN87"/>
    <mergeCell ref="AS86:AS87"/>
    <mergeCell ref="AT86:AT87"/>
    <mergeCell ref="AW86:AW87"/>
    <mergeCell ref="AX86:AX87"/>
    <mergeCell ref="AN81:AN82"/>
    <mergeCell ref="AS81:AS82"/>
    <mergeCell ref="AT81:AT82"/>
    <mergeCell ref="AW81:AW82"/>
    <mergeCell ref="AX81:AX82"/>
    <mergeCell ref="AN79:AN80"/>
    <mergeCell ref="AS79:AS80"/>
    <mergeCell ref="AT79:AT80"/>
    <mergeCell ref="AW79:AW80"/>
    <mergeCell ref="AX79:AX80"/>
    <mergeCell ref="AN77:AN78"/>
    <mergeCell ref="AS77:AS78"/>
    <mergeCell ref="AT77:AT78"/>
    <mergeCell ref="AW77:AW78"/>
    <mergeCell ref="AX77:AX78"/>
    <mergeCell ref="AN75:AN76"/>
    <mergeCell ref="AS75:AS76"/>
    <mergeCell ref="AT75:AT76"/>
    <mergeCell ref="AW75:AW76"/>
    <mergeCell ref="AX75:AX76"/>
    <mergeCell ref="AN73:AN74"/>
    <mergeCell ref="AS73:AS74"/>
    <mergeCell ref="AT73:AT74"/>
    <mergeCell ref="AW73:AW74"/>
    <mergeCell ref="AX73:AX74"/>
    <mergeCell ref="AN71:AN72"/>
    <mergeCell ref="AS71:AS72"/>
    <mergeCell ref="AT71:AT72"/>
    <mergeCell ref="AW71:AW72"/>
    <mergeCell ref="AX71:AX72"/>
    <mergeCell ref="AN67:AO68"/>
    <mergeCell ref="AP67:AT67"/>
    <mergeCell ref="AU67:AX67"/>
    <mergeCell ref="AN69:AN70"/>
    <mergeCell ref="AS69:AS70"/>
    <mergeCell ref="AT69:AT70"/>
    <mergeCell ref="AW69:AW70"/>
    <mergeCell ref="AX69:AX70"/>
    <mergeCell ref="AN64:AN65"/>
    <mergeCell ref="AS64:AS65"/>
    <mergeCell ref="AT64:AT65"/>
    <mergeCell ref="AW64:AW65"/>
    <mergeCell ref="AX64:AX65"/>
    <mergeCell ref="AN62:AN63"/>
    <mergeCell ref="AS62:AS63"/>
    <mergeCell ref="AT62:AT63"/>
    <mergeCell ref="AW62:AW63"/>
    <mergeCell ref="AX62:AX63"/>
    <mergeCell ref="AN60:AN61"/>
    <mergeCell ref="AS60:AS61"/>
    <mergeCell ref="AT60:AT61"/>
    <mergeCell ref="AW60:AW61"/>
    <mergeCell ref="AX60:AX61"/>
    <mergeCell ref="AN58:AN59"/>
    <mergeCell ref="AS58:AS59"/>
    <mergeCell ref="AT58:AT59"/>
    <mergeCell ref="AW58:AW59"/>
    <mergeCell ref="AX58:AX59"/>
    <mergeCell ref="AN56:AN57"/>
    <mergeCell ref="AS56:AS57"/>
    <mergeCell ref="AT56:AT57"/>
    <mergeCell ref="AW56:AW57"/>
    <mergeCell ref="AX56:AX57"/>
    <mergeCell ref="AN54:AN55"/>
    <mergeCell ref="AS54:AS55"/>
    <mergeCell ref="AT54:AT55"/>
    <mergeCell ref="AW54:AW55"/>
    <mergeCell ref="AX54:AX55"/>
    <mergeCell ref="AN52:AN53"/>
    <mergeCell ref="AS52:AS53"/>
    <mergeCell ref="AT52:AT53"/>
    <mergeCell ref="AW52:AW53"/>
    <mergeCell ref="AX52:AX53"/>
    <mergeCell ref="AN50:AN51"/>
    <mergeCell ref="AS50:AS51"/>
    <mergeCell ref="AT50:AT51"/>
    <mergeCell ref="AW50:AW51"/>
    <mergeCell ref="AX50:AX51"/>
    <mergeCell ref="AN48:AN49"/>
    <mergeCell ref="AS48:AS49"/>
    <mergeCell ref="AT48:AT49"/>
    <mergeCell ref="AW48:AW49"/>
    <mergeCell ref="AX48:AX49"/>
    <mergeCell ref="AN46:AN47"/>
    <mergeCell ref="AS46:AS47"/>
    <mergeCell ref="AT46:AT47"/>
    <mergeCell ref="AW46:AW47"/>
    <mergeCell ref="AX46:AX47"/>
    <mergeCell ref="AN44:AN45"/>
    <mergeCell ref="AS44:AS45"/>
    <mergeCell ref="AT44:AT45"/>
    <mergeCell ref="AW44:AW45"/>
    <mergeCell ref="AX44:AX45"/>
    <mergeCell ref="AN42:AN43"/>
    <mergeCell ref="AS42:AS43"/>
    <mergeCell ref="AT42:AT43"/>
    <mergeCell ref="AW42:AW43"/>
    <mergeCell ref="AX42:AX43"/>
    <mergeCell ref="AN40:AN41"/>
    <mergeCell ref="AS40:AS41"/>
    <mergeCell ref="AT40:AT41"/>
    <mergeCell ref="AW40:AW41"/>
    <mergeCell ref="AX40:AX41"/>
    <mergeCell ref="AN38:AN39"/>
    <mergeCell ref="AS38:AS39"/>
    <mergeCell ref="AT38:AT39"/>
    <mergeCell ref="AW38:AW39"/>
    <mergeCell ref="AX38:AX39"/>
    <mergeCell ref="AN34:AO35"/>
    <mergeCell ref="AP34:AT34"/>
    <mergeCell ref="AU34:AX34"/>
    <mergeCell ref="AN36:AN37"/>
    <mergeCell ref="AS36:AS37"/>
    <mergeCell ref="AT36:AT37"/>
    <mergeCell ref="AW36:AW37"/>
    <mergeCell ref="AX36:AX37"/>
    <mergeCell ref="AN31:AN32"/>
    <mergeCell ref="AS31:AS32"/>
    <mergeCell ref="AT31:AT32"/>
    <mergeCell ref="AW31:AW32"/>
    <mergeCell ref="AX31:AX32"/>
    <mergeCell ref="AN29:AN30"/>
    <mergeCell ref="AS29:AS30"/>
    <mergeCell ref="AT29:AT30"/>
    <mergeCell ref="AW29:AW30"/>
    <mergeCell ref="AX29:AX30"/>
    <mergeCell ref="AN27:AN28"/>
    <mergeCell ref="AS27:AS28"/>
    <mergeCell ref="AT27:AT28"/>
    <mergeCell ref="AW27:AW28"/>
    <mergeCell ref="AX27:AX28"/>
    <mergeCell ref="AN25:AN26"/>
    <mergeCell ref="AS25:AS26"/>
    <mergeCell ref="AT25:AT26"/>
    <mergeCell ref="AW25:AW26"/>
    <mergeCell ref="AX25:AX26"/>
    <mergeCell ref="AN23:AN24"/>
    <mergeCell ref="AS23:AS24"/>
    <mergeCell ref="AT23:AT24"/>
    <mergeCell ref="AW23:AW24"/>
    <mergeCell ref="AX23:AX24"/>
    <mergeCell ref="AN21:AN22"/>
    <mergeCell ref="AS21:AS22"/>
    <mergeCell ref="AT21:AT22"/>
    <mergeCell ref="AW21:AW22"/>
    <mergeCell ref="AX21:AX22"/>
    <mergeCell ref="AN19:AN20"/>
    <mergeCell ref="AS19:AS20"/>
    <mergeCell ref="AT19:AT20"/>
    <mergeCell ref="AW19:AW20"/>
    <mergeCell ref="AX19:AX20"/>
    <mergeCell ref="AN17:AN18"/>
    <mergeCell ref="AS17:AS18"/>
    <mergeCell ref="AT17:AT18"/>
    <mergeCell ref="AW17:AW18"/>
    <mergeCell ref="AX17:AX18"/>
    <mergeCell ref="AN15:AN16"/>
    <mergeCell ref="AS15:AS16"/>
    <mergeCell ref="AT15:AT16"/>
    <mergeCell ref="AW15:AW16"/>
    <mergeCell ref="AX15:AX16"/>
    <mergeCell ref="AN13:AN14"/>
    <mergeCell ref="AS13:AS14"/>
    <mergeCell ref="AT13:AT14"/>
    <mergeCell ref="AW13:AW14"/>
    <mergeCell ref="AX13:AX14"/>
    <mergeCell ref="AN11:AN12"/>
    <mergeCell ref="AS11:AS12"/>
    <mergeCell ref="AT11:AT12"/>
    <mergeCell ref="AW11:AW12"/>
    <mergeCell ref="AX11:AX12"/>
    <mergeCell ref="AN9:AN10"/>
    <mergeCell ref="AS9:AS10"/>
    <mergeCell ref="AT9:AT10"/>
    <mergeCell ref="AW9:AW10"/>
    <mergeCell ref="AX9:AX10"/>
    <mergeCell ref="AN7:AN8"/>
    <mergeCell ref="AS7:AS8"/>
    <mergeCell ref="AT7:AT8"/>
    <mergeCell ref="AW7:AW8"/>
    <mergeCell ref="AX7:AX8"/>
    <mergeCell ref="AN5:AN6"/>
    <mergeCell ref="AS5:AS6"/>
    <mergeCell ref="AT5:AT6"/>
    <mergeCell ref="AW5:AW6"/>
    <mergeCell ref="AX5:AX6"/>
    <mergeCell ref="AN1:AO2"/>
    <mergeCell ref="AP1:AT1"/>
    <mergeCell ref="AU1:AX1"/>
    <mergeCell ref="AN3:AN4"/>
    <mergeCell ref="AS3:AS4"/>
    <mergeCell ref="AT3:AT4"/>
    <mergeCell ref="AW3:AW4"/>
    <mergeCell ref="AX3:AX4"/>
    <mergeCell ref="AA52:AA53"/>
    <mergeCell ref="AF52:AF53"/>
    <mergeCell ref="AG52:AG53"/>
    <mergeCell ref="AJ52:AJ53"/>
    <mergeCell ref="AK52:AK53"/>
    <mergeCell ref="N52:N53"/>
    <mergeCell ref="S52:S53"/>
    <mergeCell ref="T52:T53"/>
    <mergeCell ref="W52:W53"/>
    <mergeCell ref="X52:X53"/>
    <mergeCell ref="AA50:AA51"/>
    <mergeCell ref="AF50:AF51"/>
    <mergeCell ref="AG50:AG51"/>
    <mergeCell ref="AJ50:AJ51"/>
    <mergeCell ref="AK50:AK51"/>
    <mergeCell ref="N50:N51"/>
    <mergeCell ref="S50:S51"/>
    <mergeCell ref="T50:T51"/>
    <mergeCell ref="W50:W51"/>
    <mergeCell ref="X50:X51"/>
    <mergeCell ref="AA48:AA49"/>
    <mergeCell ref="AF48:AF49"/>
    <mergeCell ref="AG48:AG49"/>
    <mergeCell ref="AJ48:AJ49"/>
    <mergeCell ref="AK48:AK49"/>
    <mergeCell ref="N48:N49"/>
    <mergeCell ref="S48:S49"/>
    <mergeCell ref="T48:T49"/>
    <mergeCell ref="W48:W49"/>
    <mergeCell ref="X48:X49"/>
    <mergeCell ref="AA46:AA47"/>
    <mergeCell ref="AF46:AF47"/>
    <mergeCell ref="AG46:AG47"/>
    <mergeCell ref="AJ46:AJ47"/>
    <mergeCell ref="AK46:AK47"/>
    <mergeCell ref="N46:N47"/>
    <mergeCell ref="S46:S47"/>
    <mergeCell ref="T46:T47"/>
    <mergeCell ref="W46:W47"/>
    <mergeCell ref="X46:X47"/>
    <mergeCell ref="A46:A47"/>
    <mergeCell ref="F46:F47"/>
    <mergeCell ref="G46:G47"/>
    <mergeCell ref="J46:J47"/>
    <mergeCell ref="K46:K47"/>
    <mergeCell ref="AA98:AA99"/>
    <mergeCell ref="AF98:AF99"/>
    <mergeCell ref="AG98:AG99"/>
    <mergeCell ref="AJ98:AJ99"/>
    <mergeCell ref="AA92:AA93"/>
    <mergeCell ref="AF92:AF93"/>
    <mergeCell ref="AG92:AG93"/>
    <mergeCell ref="AJ92:AJ93"/>
    <mergeCell ref="AA84:AB85"/>
    <mergeCell ref="AC84:AG84"/>
    <mergeCell ref="AH84:AK84"/>
    <mergeCell ref="AA86:AA87"/>
    <mergeCell ref="AF86:AF87"/>
    <mergeCell ref="AG86:AG87"/>
    <mergeCell ref="AJ86:AJ87"/>
    <mergeCell ref="AK86:AK87"/>
    <mergeCell ref="AA81:AA82"/>
    <mergeCell ref="AF81:AF82"/>
    <mergeCell ref="AG81:AG82"/>
    <mergeCell ref="AK98:AK99"/>
    <mergeCell ref="AA96:AA97"/>
    <mergeCell ref="AF96:AF97"/>
    <mergeCell ref="AG96:AG97"/>
    <mergeCell ref="AJ96:AJ97"/>
    <mergeCell ref="AK96:AK97"/>
    <mergeCell ref="AA94:AA95"/>
    <mergeCell ref="AF94:AF95"/>
    <mergeCell ref="AG94:AG95"/>
    <mergeCell ref="AJ94:AJ95"/>
    <mergeCell ref="AK94:AK95"/>
    <mergeCell ref="AK92:AK93"/>
    <mergeCell ref="AA90:AA91"/>
    <mergeCell ref="AF90:AF91"/>
    <mergeCell ref="AG90:AG91"/>
    <mergeCell ref="AJ90:AJ91"/>
    <mergeCell ref="AK90:AK91"/>
    <mergeCell ref="AA88:AA89"/>
    <mergeCell ref="AF88:AF89"/>
    <mergeCell ref="AG88:AG89"/>
    <mergeCell ref="AJ88:AJ89"/>
    <mergeCell ref="AK88:AK89"/>
    <mergeCell ref="AJ81:AJ82"/>
    <mergeCell ref="AK81:AK82"/>
    <mergeCell ref="AA79:AA80"/>
    <mergeCell ref="AF79:AF80"/>
    <mergeCell ref="AG79:AG80"/>
    <mergeCell ref="AJ79:AJ80"/>
    <mergeCell ref="AK79:AK80"/>
    <mergeCell ref="AA77:AA78"/>
    <mergeCell ref="AF77:AF78"/>
    <mergeCell ref="AG77:AG78"/>
    <mergeCell ref="AJ77:AJ78"/>
    <mergeCell ref="AK77:AK78"/>
    <mergeCell ref="AA75:AA76"/>
    <mergeCell ref="AF75:AF76"/>
    <mergeCell ref="AG75:AG76"/>
    <mergeCell ref="AJ75:AJ76"/>
    <mergeCell ref="AK75:AK76"/>
    <mergeCell ref="AA73:AA74"/>
    <mergeCell ref="AF73:AF74"/>
    <mergeCell ref="AG73:AG74"/>
    <mergeCell ref="AJ73:AJ74"/>
    <mergeCell ref="AK73:AK74"/>
    <mergeCell ref="AA71:AA72"/>
    <mergeCell ref="AF71:AF72"/>
    <mergeCell ref="AG71:AG72"/>
    <mergeCell ref="AJ71:AJ72"/>
    <mergeCell ref="AK71:AK72"/>
    <mergeCell ref="AA67:AB68"/>
    <mergeCell ref="AC67:AG67"/>
    <mergeCell ref="AH67:AK67"/>
    <mergeCell ref="AA69:AA70"/>
    <mergeCell ref="AF69:AF70"/>
    <mergeCell ref="AG69:AG70"/>
    <mergeCell ref="AJ69:AJ70"/>
    <mergeCell ref="AK69:AK70"/>
    <mergeCell ref="AA64:AA65"/>
    <mergeCell ref="AF64:AF65"/>
    <mergeCell ref="AG64:AG65"/>
    <mergeCell ref="AJ64:AJ65"/>
    <mergeCell ref="AK64:AK65"/>
    <mergeCell ref="AA62:AA63"/>
    <mergeCell ref="AF62:AF63"/>
    <mergeCell ref="AG62:AG63"/>
    <mergeCell ref="AJ62:AJ63"/>
    <mergeCell ref="AK62:AK63"/>
    <mergeCell ref="AA60:AA61"/>
    <mergeCell ref="AF60:AF61"/>
    <mergeCell ref="AG60:AG61"/>
    <mergeCell ref="AJ60:AJ61"/>
    <mergeCell ref="AK60:AK61"/>
    <mergeCell ref="AA58:AA59"/>
    <mergeCell ref="AF58:AF59"/>
    <mergeCell ref="AG58:AG59"/>
    <mergeCell ref="AJ58:AJ59"/>
    <mergeCell ref="AK58:AK59"/>
    <mergeCell ref="AA56:AA57"/>
    <mergeCell ref="AF56:AF57"/>
    <mergeCell ref="AG56:AG57"/>
    <mergeCell ref="AJ56:AJ57"/>
    <mergeCell ref="AK56:AK57"/>
    <mergeCell ref="AA54:AA55"/>
    <mergeCell ref="AF54:AF55"/>
    <mergeCell ref="AG54:AG55"/>
    <mergeCell ref="AJ54:AJ55"/>
    <mergeCell ref="AK54:AK55"/>
    <mergeCell ref="AA44:AA45"/>
    <mergeCell ref="AF44:AF45"/>
    <mergeCell ref="AG44:AG45"/>
    <mergeCell ref="AJ44:AJ45"/>
    <mergeCell ref="AK44:AK45"/>
    <mergeCell ref="AA42:AA43"/>
    <mergeCell ref="AF42:AF43"/>
    <mergeCell ref="AG42:AG43"/>
    <mergeCell ref="AJ42:AJ43"/>
    <mergeCell ref="AK42:AK43"/>
    <mergeCell ref="AA40:AA41"/>
    <mergeCell ref="AF40:AF41"/>
    <mergeCell ref="AG40:AG41"/>
    <mergeCell ref="AJ40:AJ41"/>
    <mergeCell ref="AK40:AK41"/>
    <mergeCell ref="AA38:AA39"/>
    <mergeCell ref="AF38:AF39"/>
    <mergeCell ref="AG38:AG39"/>
    <mergeCell ref="AJ38:AJ39"/>
    <mergeCell ref="AK38:AK39"/>
    <mergeCell ref="AA34:AB35"/>
    <mergeCell ref="AC34:AG34"/>
    <mergeCell ref="AH34:AK34"/>
    <mergeCell ref="AA36:AA37"/>
    <mergeCell ref="AF36:AF37"/>
    <mergeCell ref="AG36:AG37"/>
    <mergeCell ref="AJ36:AJ37"/>
    <mergeCell ref="AK36:AK37"/>
    <mergeCell ref="AA31:AA32"/>
    <mergeCell ref="AF31:AF32"/>
    <mergeCell ref="AG31:AG32"/>
    <mergeCell ref="AJ31:AJ32"/>
    <mergeCell ref="AK31:AK32"/>
    <mergeCell ref="AA29:AA30"/>
    <mergeCell ref="AF29:AF30"/>
    <mergeCell ref="AG29:AG30"/>
    <mergeCell ref="AJ29:AJ30"/>
    <mergeCell ref="AK29:AK30"/>
    <mergeCell ref="AA27:AA28"/>
    <mergeCell ref="AF27:AF28"/>
    <mergeCell ref="AG27:AG28"/>
    <mergeCell ref="AJ27:AJ28"/>
    <mergeCell ref="AK27:AK28"/>
    <mergeCell ref="AA25:AA26"/>
    <mergeCell ref="AF25:AF26"/>
    <mergeCell ref="AG25:AG26"/>
    <mergeCell ref="AJ25:AJ26"/>
    <mergeCell ref="AK25:AK26"/>
    <mergeCell ref="AA23:AA24"/>
    <mergeCell ref="AF23:AF24"/>
    <mergeCell ref="AG23:AG24"/>
    <mergeCell ref="AJ23:AJ24"/>
    <mergeCell ref="AK23:AK24"/>
    <mergeCell ref="AA21:AA22"/>
    <mergeCell ref="AF21:AF22"/>
    <mergeCell ref="AG21:AG22"/>
    <mergeCell ref="AJ21:AJ22"/>
    <mergeCell ref="AK21:AK22"/>
    <mergeCell ref="AA19:AA20"/>
    <mergeCell ref="AF19:AF20"/>
    <mergeCell ref="AG19:AG20"/>
    <mergeCell ref="AJ19:AJ20"/>
    <mergeCell ref="AK19:AK20"/>
    <mergeCell ref="AA17:AA18"/>
    <mergeCell ref="AF17:AF18"/>
    <mergeCell ref="AG17:AG18"/>
    <mergeCell ref="AJ17:AJ18"/>
    <mergeCell ref="AK17:AK18"/>
    <mergeCell ref="AA15:AA16"/>
    <mergeCell ref="AF15:AF16"/>
    <mergeCell ref="AG15:AG16"/>
    <mergeCell ref="AJ15:AJ16"/>
    <mergeCell ref="AK15:AK16"/>
    <mergeCell ref="AA13:AA14"/>
    <mergeCell ref="AF13:AF14"/>
    <mergeCell ref="AG13:AG14"/>
    <mergeCell ref="AJ13:AJ14"/>
    <mergeCell ref="AK13:AK14"/>
    <mergeCell ref="AA11:AA12"/>
    <mergeCell ref="AF11:AF12"/>
    <mergeCell ref="AG11:AG12"/>
    <mergeCell ref="AJ11:AJ12"/>
    <mergeCell ref="AK11:AK12"/>
    <mergeCell ref="AA9:AA10"/>
    <mergeCell ref="AF9:AF10"/>
    <mergeCell ref="AG9:AG10"/>
    <mergeCell ref="AJ9:AJ10"/>
    <mergeCell ref="AK9:AK10"/>
    <mergeCell ref="AA7:AA8"/>
    <mergeCell ref="AF7:AF8"/>
    <mergeCell ref="AG7:AG8"/>
    <mergeCell ref="AJ7:AJ8"/>
    <mergeCell ref="AK7:AK8"/>
    <mergeCell ref="AA5:AA6"/>
    <mergeCell ref="AF5:AF6"/>
    <mergeCell ref="AG5:AG6"/>
    <mergeCell ref="AJ5:AJ6"/>
    <mergeCell ref="AK5:AK6"/>
    <mergeCell ref="AA1:AB2"/>
    <mergeCell ref="AC1:AG1"/>
    <mergeCell ref="AH1:AK1"/>
    <mergeCell ref="AA3:AA4"/>
    <mergeCell ref="AF3:AF4"/>
    <mergeCell ref="AG3:AG4"/>
    <mergeCell ref="AJ3:AJ4"/>
    <mergeCell ref="AK3:AK4"/>
    <mergeCell ref="N98:N99"/>
    <mergeCell ref="S98:S99"/>
    <mergeCell ref="T98:T99"/>
    <mergeCell ref="W98:W99"/>
    <mergeCell ref="X98:X99"/>
    <mergeCell ref="N96:N97"/>
    <mergeCell ref="S96:S97"/>
    <mergeCell ref="T96:T97"/>
    <mergeCell ref="W96:W97"/>
    <mergeCell ref="X96:X97"/>
    <mergeCell ref="N94:N95"/>
    <mergeCell ref="S94:S95"/>
    <mergeCell ref="T94:T95"/>
    <mergeCell ref="W94:W95"/>
    <mergeCell ref="X94:X95"/>
    <mergeCell ref="N92:N93"/>
    <mergeCell ref="S92:S93"/>
    <mergeCell ref="T92:T93"/>
    <mergeCell ref="W92:W93"/>
    <mergeCell ref="X92:X93"/>
    <mergeCell ref="N90:N91"/>
    <mergeCell ref="S90:S91"/>
    <mergeCell ref="T90:T91"/>
    <mergeCell ref="W90:W91"/>
    <mergeCell ref="X90:X91"/>
    <mergeCell ref="N88:N89"/>
    <mergeCell ref="S88:S89"/>
    <mergeCell ref="T88:T89"/>
    <mergeCell ref="W88:W89"/>
    <mergeCell ref="X88:X89"/>
    <mergeCell ref="N84:O85"/>
    <mergeCell ref="P84:T84"/>
    <mergeCell ref="U84:X84"/>
    <mergeCell ref="N86:N87"/>
    <mergeCell ref="S86:S87"/>
    <mergeCell ref="T86:T87"/>
    <mergeCell ref="W86:W87"/>
    <mergeCell ref="X86:X87"/>
    <mergeCell ref="N81:N82"/>
    <mergeCell ref="S81:S82"/>
    <mergeCell ref="T81:T82"/>
    <mergeCell ref="W81:W82"/>
    <mergeCell ref="X81:X82"/>
    <mergeCell ref="N79:N80"/>
    <mergeCell ref="S79:S80"/>
    <mergeCell ref="T79:T80"/>
    <mergeCell ref="W79:W80"/>
    <mergeCell ref="X79:X80"/>
    <mergeCell ref="N77:N78"/>
    <mergeCell ref="S77:S78"/>
    <mergeCell ref="T77:T78"/>
    <mergeCell ref="W77:W78"/>
    <mergeCell ref="X77:X78"/>
    <mergeCell ref="N75:N76"/>
    <mergeCell ref="S75:S76"/>
    <mergeCell ref="T75:T76"/>
    <mergeCell ref="W75:W76"/>
    <mergeCell ref="X75:X76"/>
    <mergeCell ref="N73:N74"/>
    <mergeCell ref="S73:S74"/>
    <mergeCell ref="T73:T74"/>
    <mergeCell ref="W73:W74"/>
    <mergeCell ref="X73:X74"/>
    <mergeCell ref="N71:N72"/>
    <mergeCell ref="S71:S72"/>
    <mergeCell ref="T71:T72"/>
    <mergeCell ref="W71:W72"/>
    <mergeCell ref="X71:X72"/>
    <mergeCell ref="N67:O68"/>
    <mergeCell ref="P67:T67"/>
    <mergeCell ref="U67:X67"/>
    <mergeCell ref="N69:N70"/>
    <mergeCell ref="S69:S70"/>
    <mergeCell ref="T69:T70"/>
    <mergeCell ref="W69:W70"/>
    <mergeCell ref="X69:X70"/>
    <mergeCell ref="N64:N65"/>
    <mergeCell ref="S64:S65"/>
    <mergeCell ref="T64:T65"/>
    <mergeCell ref="W64:W65"/>
    <mergeCell ref="X64:X65"/>
    <mergeCell ref="N62:N63"/>
    <mergeCell ref="S62:S63"/>
    <mergeCell ref="T62:T63"/>
    <mergeCell ref="W62:W63"/>
    <mergeCell ref="X62:X63"/>
    <mergeCell ref="N60:N61"/>
    <mergeCell ref="S60:S61"/>
    <mergeCell ref="T60:T61"/>
    <mergeCell ref="W60:W61"/>
    <mergeCell ref="X60:X61"/>
    <mergeCell ref="N58:N59"/>
    <mergeCell ref="S58:S59"/>
    <mergeCell ref="T58:T59"/>
    <mergeCell ref="W58:W59"/>
    <mergeCell ref="X58:X59"/>
    <mergeCell ref="N56:N57"/>
    <mergeCell ref="S56:S57"/>
    <mergeCell ref="T56:T57"/>
    <mergeCell ref="W56:W57"/>
    <mergeCell ref="X56:X57"/>
    <mergeCell ref="N54:N55"/>
    <mergeCell ref="S54:S55"/>
    <mergeCell ref="T54:T55"/>
    <mergeCell ref="W54:W55"/>
    <mergeCell ref="X54:X55"/>
    <mergeCell ref="N44:N45"/>
    <mergeCell ref="S44:S45"/>
    <mergeCell ref="T44:T45"/>
    <mergeCell ref="W44:W45"/>
    <mergeCell ref="X44:X45"/>
    <mergeCell ref="N42:N43"/>
    <mergeCell ref="S42:S43"/>
    <mergeCell ref="T42:T43"/>
    <mergeCell ref="W42:W43"/>
    <mergeCell ref="X42:X43"/>
    <mergeCell ref="N40:N41"/>
    <mergeCell ref="S40:S41"/>
    <mergeCell ref="T40:T41"/>
    <mergeCell ref="W40:W41"/>
    <mergeCell ref="X40:X41"/>
    <mergeCell ref="N38:N39"/>
    <mergeCell ref="S38:S39"/>
    <mergeCell ref="T38:T39"/>
    <mergeCell ref="W38:W39"/>
    <mergeCell ref="X38:X39"/>
    <mergeCell ref="N34:O35"/>
    <mergeCell ref="P34:T34"/>
    <mergeCell ref="U34:X34"/>
    <mergeCell ref="N36:N37"/>
    <mergeCell ref="S36:S37"/>
    <mergeCell ref="T36:T37"/>
    <mergeCell ref="W36:W37"/>
    <mergeCell ref="X36:X37"/>
    <mergeCell ref="N31:N32"/>
    <mergeCell ref="S31:S32"/>
    <mergeCell ref="T31:T32"/>
    <mergeCell ref="W31:W32"/>
    <mergeCell ref="X31:X32"/>
    <mergeCell ref="N29:N30"/>
    <mergeCell ref="S29:S30"/>
    <mergeCell ref="T29:T30"/>
    <mergeCell ref="W29:W30"/>
    <mergeCell ref="X29:X30"/>
    <mergeCell ref="N27:N28"/>
    <mergeCell ref="S27:S28"/>
    <mergeCell ref="T27:T28"/>
    <mergeCell ref="W27:W28"/>
    <mergeCell ref="X27:X28"/>
    <mergeCell ref="N25:N26"/>
    <mergeCell ref="S25:S26"/>
    <mergeCell ref="T25:T26"/>
    <mergeCell ref="W25:W26"/>
    <mergeCell ref="X25:X26"/>
    <mergeCell ref="N23:N24"/>
    <mergeCell ref="S23:S24"/>
    <mergeCell ref="T23:T24"/>
    <mergeCell ref="W23:W24"/>
    <mergeCell ref="X23:X24"/>
    <mergeCell ref="N21:N22"/>
    <mergeCell ref="S21:S22"/>
    <mergeCell ref="T21:T22"/>
    <mergeCell ref="W21:W22"/>
    <mergeCell ref="X21:X22"/>
    <mergeCell ref="N19:N20"/>
    <mergeCell ref="S19:S20"/>
    <mergeCell ref="T19:T20"/>
    <mergeCell ref="W19:W20"/>
    <mergeCell ref="X19:X20"/>
    <mergeCell ref="N17:N18"/>
    <mergeCell ref="S17:S18"/>
    <mergeCell ref="T17:T18"/>
    <mergeCell ref="W17:W18"/>
    <mergeCell ref="X17:X18"/>
    <mergeCell ref="N15:N16"/>
    <mergeCell ref="S15:S16"/>
    <mergeCell ref="T15:T16"/>
    <mergeCell ref="W15:W16"/>
    <mergeCell ref="X15:X16"/>
    <mergeCell ref="N13:N14"/>
    <mergeCell ref="S13:S14"/>
    <mergeCell ref="T13:T14"/>
    <mergeCell ref="W13:W14"/>
    <mergeCell ref="X13:X14"/>
    <mergeCell ref="N11:N12"/>
    <mergeCell ref="S11:S12"/>
    <mergeCell ref="T11:T12"/>
    <mergeCell ref="W11:W12"/>
    <mergeCell ref="X11:X12"/>
    <mergeCell ref="N9:N10"/>
    <mergeCell ref="S9:S10"/>
    <mergeCell ref="T9:T10"/>
    <mergeCell ref="W9:W10"/>
    <mergeCell ref="X9:X10"/>
    <mergeCell ref="N7:N8"/>
    <mergeCell ref="S7:S8"/>
    <mergeCell ref="T7:T8"/>
    <mergeCell ref="W7:W8"/>
    <mergeCell ref="X7:X8"/>
    <mergeCell ref="N5:N6"/>
    <mergeCell ref="S5:S6"/>
    <mergeCell ref="T5:T6"/>
    <mergeCell ref="W5:W6"/>
    <mergeCell ref="X5:X6"/>
    <mergeCell ref="N1:O2"/>
    <mergeCell ref="P1:T1"/>
    <mergeCell ref="U1:X1"/>
    <mergeCell ref="N3:N4"/>
    <mergeCell ref="S3:S4"/>
    <mergeCell ref="T3:T4"/>
    <mergeCell ref="W3:W4"/>
    <mergeCell ref="X3:X4"/>
    <mergeCell ref="A64:A65"/>
    <mergeCell ref="F64:F65"/>
    <mergeCell ref="G64:G65"/>
    <mergeCell ref="J64:J65"/>
    <mergeCell ref="K64:K65"/>
    <mergeCell ref="A62:A63"/>
    <mergeCell ref="F62:F63"/>
    <mergeCell ref="G62:G63"/>
    <mergeCell ref="J62:J63"/>
    <mergeCell ref="K62:K63"/>
    <mergeCell ref="A60:A61"/>
    <mergeCell ref="F60:F61"/>
    <mergeCell ref="G60:G61"/>
    <mergeCell ref="J60:J61"/>
    <mergeCell ref="K60:K61"/>
    <mergeCell ref="A58:A59"/>
    <mergeCell ref="F58:F59"/>
    <mergeCell ref="G58:G59"/>
    <mergeCell ref="J58:J59"/>
    <mergeCell ref="K58:K59"/>
    <mergeCell ref="A52:A53"/>
    <mergeCell ref="F52:F53"/>
    <mergeCell ref="G52:G53"/>
    <mergeCell ref="J52:J53"/>
    <mergeCell ref="K52:K53"/>
    <mergeCell ref="A50:A51"/>
    <mergeCell ref="F50:F51"/>
    <mergeCell ref="G50:G51"/>
    <mergeCell ref="J50:J51"/>
    <mergeCell ref="K50:K51"/>
    <mergeCell ref="A48:A49"/>
    <mergeCell ref="F48:F49"/>
    <mergeCell ref="G48:G49"/>
    <mergeCell ref="J48:J49"/>
    <mergeCell ref="K48:K49"/>
    <mergeCell ref="F19:F20"/>
    <mergeCell ref="G19:G20"/>
    <mergeCell ref="J19:J20"/>
    <mergeCell ref="K19:K20"/>
    <mergeCell ref="A42:A43"/>
    <mergeCell ref="F42:F43"/>
    <mergeCell ref="G42:G43"/>
    <mergeCell ref="J42:J43"/>
    <mergeCell ref="K42:K43"/>
    <mergeCell ref="A40:A41"/>
    <mergeCell ref="F40:F41"/>
    <mergeCell ref="G40:G41"/>
    <mergeCell ref="J40:J41"/>
    <mergeCell ref="K40:K41"/>
    <mergeCell ref="H34:K34"/>
    <mergeCell ref="A44:A45"/>
    <mergeCell ref="F44:F45"/>
    <mergeCell ref="G44:G45"/>
    <mergeCell ref="J44:J45"/>
    <mergeCell ref="A9:A10"/>
    <mergeCell ref="F9:F10"/>
    <mergeCell ref="G9:G10"/>
    <mergeCell ref="J9:J10"/>
    <mergeCell ref="K9:K10"/>
    <mergeCell ref="A7:A8"/>
    <mergeCell ref="F7:F8"/>
    <mergeCell ref="G7:G8"/>
    <mergeCell ref="J7:J8"/>
    <mergeCell ref="K7:K8"/>
    <mergeCell ref="A5:A6"/>
    <mergeCell ref="F5:F6"/>
    <mergeCell ref="G5:G6"/>
    <mergeCell ref="J5:J6"/>
    <mergeCell ref="K5:K6"/>
    <mergeCell ref="A3:A4"/>
    <mergeCell ref="F3:F4"/>
    <mergeCell ref="G3:G4"/>
    <mergeCell ref="J3:J4"/>
    <mergeCell ref="K3:K4"/>
    <mergeCell ref="A98:A99"/>
    <mergeCell ref="F98:F99"/>
    <mergeCell ref="G98:G99"/>
    <mergeCell ref="J98:J99"/>
    <mergeCell ref="K98:K99"/>
    <mergeCell ref="A96:A97"/>
    <mergeCell ref="F96:F97"/>
    <mergeCell ref="G96:G97"/>
    <mergeCell ref="J96:J97"/>
    <mergeCell ref="K96:K97"/>
    <mergeCell ref="A94:A95"/>
    <mergeCell ref="F94:F95"/>
    <mergeCell ref="G94:G95"/>
    <mergeCell ref="J94:J95"/>
    <mergeCell ref="K94:K95"/>
    <mergeCell ref="A92:A93"/>
    <mergeCell ref="F92:F93"/>
    <mergeCell ref="G92:G93"/>
    <mergeCell ref="J92:J93"/>
    <mergeCell ref="K92:K93"/>
    <mergeCell ref="A90:A91"/>
    <mergeCell ref="F90:F91"/>
    <mergeCell ref="G90:G91"/>
    <mergeCell ref="J90:J91"/>
    <mergeCell ref="K90:K91"/>
    <mergeCell ref="A88:A89"/>
    <mergeCell ref="F88:F89"/>
    <mergeCell ref="G88:G89"/>
    <mergeCell ref="J88:J89"/>
    <mergeCell ref="K88:K89"/>
    <mergeCell ref="A84:B85"/>
    <mergeCell ref="C84:G84"/>
    <mergeCell ref="H84:K84"/>
    <mergeCell ref="A86:A87"/>
    <mergeCell ref="F86:F87"/>
    <mergeCell ref="G86:G87"/>
    <mergeCell ref="J86:J87"/>
    <mergeCell ref="K86:K87"/>
    <mergeCell ref="A81:A82"/>
    <mergeCell ref="F81:F82"/>
    <mergeCell ref="G81:G82"/>
    <mergeCell ref="J81:J82"/>
    <mergeCell ref="K81:K82"/>
    <mergeCell ref="A79:A80"/>
    <mergeCell ref="F79:F80"/>
    <mergeCell ref="G79:G80"/>
    <mergeCell ref="J79:J80"/>
    <mergeCell ref="K79:K80"/>
    <mergeCell ref="A77:A78"/>
    <mergeCell ref="F77:F78"/>
    <mergeCell ref="G77:G78"/>
    <mergeCell ref="J77:J78"/>
    <mergeCell ref="K77:K78"/>
    <mergeCell ref="A75:A76"/>
    <mergeCell ref="F75:F76"/>
    <mergeCell ref="G75:G76"/>
    <mergeCell ref="J75:J76"/>
    <mergeCell ref="K75:K76"/>
    <mergeCell ref="A73:A74"/>
    <mergeCell ref="F73:F74"/>
    <mergeCell ref="G73:G74"/>
    <mergeCell ref="J73:J74"/>
    <mergeCell ref="K73:K74"/>
    <mergeCell ref="A71:A72"/>
    <mergeCell ref="F71:F72"/>
    <mergeCell ref="G71:G72"/>
    <mergeCell ref="J71:J72"/>
    <mergeCell ref="K71:K72"/>
    <mergeCell ref="A67:B68"/>
    <mergeCell ref="C67:G67"/>
    <mergeCell ref="H67:K67"/>
    <mergeCell ref="A69:A70"/>
    <mergeCell ref="F69:F70"/>
    <mergeCell ref="G69:G70"/>
    <mergeCell ref="J69:J70"/>
    <mergeCell ref="K69:K70"/>
    <mergeCell ref="A56:A57"/>
    <mergeCell ref="F56:F57"/>
    <mergeCell ref="G56:G57"/>
    <mergeCell ref="J56:J57"/>
    <mergeCell ref="K56:K57"/>
    <mergeCell ref="A54:A55"/>
    <mergeCell ref="F54:F55"/>
    <mergeCell ref="G54:G55"/>
    <mergeCell ref="J54:J55"/>
    <mergeCell ref="K54:K55"/>
    <mergeCell ref="K44:K45"/>
    <mergeCell ref="A36:A37"/>
    <mergeCell ref="F36:F37"/>
    <mergeCell ref="G36:G37"/>
    <mergeCell ref="J36:J37"/>
    <mergeCell ref="K36:K37"/>
    <mergeCell ref="A38:A39"/>
    <mergeCell ref="F38:F39"/>
    <mergeCell ref="G38:G39"/>
    <mergeCell ref="J38:J39"/>
    <mergeCell ref="K38:K39"/>
    <mergeCell ref="F11:F12"/>
    <mergeCell ref="F21:F22"/>
    <mergeCell ref="G11:G12"/>
    <mergeCell ref="G21:G22"/>
    <mergeCell ref="A34:B35"/>
    <mergeCell ref="C34:G34"/>
    <mergeCell ref="A13:A14"/>
    <mergeCell ref="F13:F14"/>
    <mergeCell ref="G13:G14"/>
    <mergeCell ref="A15:A16"/>
    <mergeCell ref="F15:F16"/>
    <mergeCell ref="G15:G16"/>
    <mergeCell ref="A17:A18"/>
    <mergeCell ref="F17:F18"/>
    <mergeCell ref="G17:G18"/>
    <mergeCell ref="A19:A20"/>
    <mergeCell ref="F23:F24"/>
    <mergeCell ref="G23:G24"/>
    <mergeCell ref="F25:F26"/>
    <mergeCell ref="G25:G26"/>
    <mergeCell ref="F27:F28"/>
    <mergeCell ref="G27:G28"/>
    <mergeCell ref="J21:J22"/>
    <mergeCell ref="K21:K22"/>
    <mergeCell ref="J23:J24"/>
    <mergeCell ref="K23:K24"/>
    <mergeCell ref="J13:J14"/>
    <mergeCell ref="K13:K14"/>
    <mergeCell ref="J15:J16"/>
    <mergeCell ref="K15:K16"/>
    <mergeCell ref="J17:J18"/>
    <mergeCell ref="K17:K18"/>
    <mergeCell ref="J29:J30"/>
    <mergeCell ref="K29:K30"/>
    <mergeCell ref="F29:F30"/>
    <mergeCell ref="G29:G30"/>
    <mergeCell ref="F31:F32"/>
    <mergeCell ref="G31:G32"/>
    <mergeCell ref="A1:B2"/>
    <mergeCell ref="C1:G1"/>
    <mergeCell ref="H1:K1"/>
    <mergeCell ref="J31:J32"/>
    <mergeCell ref="K31:K32"/>
    <mergeCell ref="A11:A12"/>
    <mergeCell ref="A21:A22"/>
    <mergeCell ref="A23:A24"/>
    <mergeCell ref="A25:A26"/>
    <mergeCell ref="A27:A28"/>
    <mergeCell ref="A29:A30"/>
    <mergeCell ref="A31:A32"/>
    <mergeCell ref="J25:J26"/>
    <mergeCell ref="K25:K26"/>
    <mergeCell ref="J27:J28"/>
    <mergeCell ref="K27:K28"/>
    <mergeCell ref="J11:J12"/>
    <mergeCell ref="K11:K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opLeftCell="A16" workbookViewId="0">
      <selection activeCell="E78" sqref="E78"/>
    </sheetView>
  </sheetViews>
  <sheetFormatPr defaultRowHeight="15" x14ac:dyDescent="0.25"/>
  <cols>
    <col min="2" max="2" width="41.5703125" bestFit="1" customWidth="1"/>
  </cols>
  <sheetData>
    <row r="1" spans="1:9" x14ac:dyDescent="0.25">
      <c r="C1" t="s">
        <v>98</v>
      </c>
      <c r="D1" t="s">
        <v>99</v>
      </c>
      <c r="E1" t="s">
        <v>100</v>
      </c>
      <c r="F1" t="s">
        <v>147</v>
      </c>
    </row>
    <row r="2" spans="1:9" x14ac:dyDescent="0.25">
      <c r="A2" s="236">
        <v>100</v>
      </c>
      <c r="B2" t="s">
        <v>148</v>
      </c>
      <c r="C2">
        <v>3.5212919999999883</v>
      </c>
      <c r="D2">
        <v>106.532245</v>
      </c>
      <c r="E2">
        <v>2.1665590000000003</v>
      </c>
      <c r="F2">
        <v>5.7055189999999998</v>
      </c>
      <c r="H2">
        <f>D2/A2</f>
        <v>1.06532245</v>
      </c>
      <c r="I2">
        <f>F2/A2</f>
        <v>5.7055189999999999E-2</v>
      </c>
    </row>
    <row r="3" spans="1:9" x14ac:dyDescent="0.25">
      <c r="A3" s="236"/>
      <c r="B3" t="s">
        <v>149</v>
      </c>
      <c r="C3">
        <v>3.6197140000000019</v>
      </c>
      <c r="D3">
        <v>106.33350299999999</v>
      </c>
      <c r="E3">
        <v>2.1681429999999997</v>
      </c>
      <c r="F3">
        <v>4.1516739999999999</v>
      </c>
      <c r="H3">
        <f>D3/A2</f>
        <v>1.06333503</v>
      </c>
      <c r="I3">
        <f>F3/A2</f>
        <v>4.1516739999999996E-2</v>
      </c>
    </row>
    <row r="4" spans="1:9" x14ac:dyDescent="0.25">
      <c r="A4" s="236">
        <v>200</v>
      </c>
      <c r="B4" t="s">
        <v>148</v>
      </c>
      <c r="C4">
        <v>3.556791000000004</v>
      </c>
      <c r="D4">
        <v>146.183234</v>
      </c>
      <c r="E4">
        <v>2.1786159999999999</v>
      </c>
      <c r="F4">
        <v>7.5513659999999998</v>
      </c>
      <c r="H4">
        <f>D4/A4</f>
        <v>0.73091616999999998</v>
      </c>
      <c r="I4">
        <f>F4/A4</f>
        <v>3.7756829999999998E-2</v>
      </c>
    </row>
    <row r="5" spans="1:9" x14ac:dyDescent="0.25">
      <c r="A5" s="236"/>
      <c r="B5" t="s">
        <v>149</v>
      </c>
      <c r="C5">
        <v>3.6108740000000239</v>
      </c>
      <c r="D5">
        <v>146.034808</v>
      </c>
      <c r="E5">
        <v>2.1786120000000002</v>
      </c>
      <c r="F5">
        <v>4.789129</v>
      </c>
      <c r="H5">
        <f>D5/A4</f>
        <v>0.73017403999999997</v>
      </c>
      <c r="I5">
        <f>F5/A4</f>
        <v>2.3945645000000002E-2</v>
      </c>
    </row>
    <row r="6" spans="1:9" x14ac:dyDescent="0.25">
      <c r="A6" s="236">
        <v>300</v>
      </c>
      <c r="B6" t="s">
        <v>148</v>
      </c>
      <c r="C6">
        <v>3.795646000000005</v>
      </c>
      <c r="D6">
        <v>187.68988899999999</v>
      </c>
      <c r="E6">
        <v>2.1732610000000001</v>
      </c>
      <c r="F6">
        <v>8.9475429999999996</v>
      </c>
      <c r="H6">
        <f>D6/A6</f>
        <v>0.62563296333333329</v>
      </c>
      <c r="I6">
        <f>F6/A6</f>
        <v>2.9825143333333332E-2</v>
      </c>
    </row>
    <row r="7" spans="1:9" x14ac:dyDescent="0.25">
      <c r="A7" s="236"/>
      <c r="B7" t="s">
        <v>149</v>
      </c>
      <c r="C7">
        <v>3.8601549999999918</v>
      </c>
      <c r="D7">
        <v>187.55413200000001</v>
      </c>
      <c r="E7">
        <v>2.168088</v>
      </c>
      <c r="F7">
        <v>5.53261</v>
      </c>
      <c r="H7">
        <f>D7/A6</f>
        <v>0.62518044000000006</v>
      </c>
      <c r="I7">
        <f>F7/A6</f>
        <v>1.8442033333333333E-2</v>
      </c>
    </row>
    <row r="8" spans="1:9" x14ac:dyDescent="0.25">
      <c r="A8" s="236">
        <v>400</v>
      </c>
      <c r="B8" t="s">
        <v>148</v>
      </c>
      <c r="C8">
        <v>3.7864459999999838</v>
      </c>
      <c r="D8">
        <v>232.789445</v>
      </c>
      <c r="E8">
        <v>2.1754130000000007</v>
      </c>
      <c r="F8">
        <v>10.619669999999999</v>
      </c>
      <c r="H8">
        <f>D8/A8</f>
        <v>0.58197361250000001</v>
      </c>
      <c r="I8">
        <f>F8/A8</f>
        <v>2.6549174999999998E-2</v>
      </c>
    </row>
    <row r="9" spans="1:9" x14ac:dyDescent="0.25">
      <c r="A9" s="236"/>
      <c r="B9" t="s">
        <v>149</v>
      </c>
      <c r="C9">
        <v>3.7363620000000139</v>
      </c>
      <c r="D9">
        <v>232.663015</v>
      </c>
      <c r="E9">
        <v>2.1674060000000006</v>
      </c>
      <c r="F9">
        <v>6.1297059999999997</v>
      </c>
      <c r="H9">
        <f>D9/A8</f>
        <v>0.58165753750000004</v>
      </c>
      <c r="I9">
        <f>F9/A8</f>
        <v>1.5324264999999998E-2</v>
      </c>
    </row>
    <row r="10" spans="1:9" x14ac:dyDescent="0.25">
      <c r="A10" s="236">
        <v>500</v>
      </c>
      <c r="B10" t="s">
        <v>148</v>
      </c>
      <c r="C10">
        <v>3.728636999999992</v>
      </c>
      <c r="D10">
        <v>279.57275100000004</v>
      </c>
      <c r="E10">
        <v>2.1347179999999994</v>
      </c>
      <c r="F10">
        <v>12.43121</v>
      </c>
      <c r="H10">
        <f>D10/A10</f>
        <v>0.55914550200000013</v>
      </c>
      <c r="I10">
        <f>F10/A10</f>
        <v>2.486242E-2</v>
      </c>
    </row>
    <row r="11" spans="1:9" x14ac:dyDescent="0.25">
      <c r="A11" s="236"/>
      <c r="B11" t="s">
        <v>149</v>
      </c>
      <c r="C11">
        <v>3.5846310000000017</v>
      </c>
      <c r="D11">
        <v>278.59774699999997</v>
      </c>
      <c r="E11">
        <v>2.1322110000000007</v>
      </c>
      <c r="F11">
        <v>6.7337759999999998</v>
      </c>
      <c r="H11">
        <f>D11/A10</f>
        <v>0.5571954939999999</v>
      </c>
      <c r="I11">
        <f>F11/A10</f>
        <v>1.3467551999999999E-2</v>
      </c>
    </row>
    <row r="12" spans="1:9" x14ac:dyDescent="0.25">
      <c r="A12" s="236">
        <v>1000</v>
      </c>
      <c r="B12" t="s">
        <v>148</v>
      </c>
      <c r="C12">
        <v>3.8162210000000414</v>
      </c>
      <c r="D12">
        <v>285.92382599999996</v>
      </c>
      <c r="E12">
        <v>2.181794</v>
      </c>
      <c r="F12">
        <v>20.273420999999999</v>
      </c>
      <c r="H12">
        <f>D12/A12</f>
        <v>0.28592382599999994</v>
      </c>
      <c r="I12">
        <f>F12/A12</f>
        <v>2.0273421E-2</v>
      </c>
    </row>
    <row r="13" spans="1:9" x14ac:dyDescent="0.25">
      <c r="A13" s="236"/>
      <c r="B13" t="s">
        <v>149</v>
      </c>
      <c r="C13">
        <v>0</v>
      </c>
      <c r="D13">
        <v>0</v>
      </c>
      <c r="E13">
        <v>0</v>
      </c>
      <c r="F13">
        <v>0</v>
      </c>
      <c r="H13">
        <f>D13/A12</f>
        <v>0</v>
      </c>
      <c r="I13">
        <f>F13/A12</f>
        <v>0</v>
      </c>
    </row>
    <row r="14" spans="1:9" x14ac:dyDescent="0.25">
      <c r="A14" s="236">
        <v>1500</v>
      </c>
      <c r="B14" t="s">
        <v>148</v>
      </c>
      <c r="C14">
        <v>3.790678000000014</v>
      </c>
      <c r="D14">
        <v>300.26576399999999</v>
      </c>
      <c r="E14">
        <v>2.3044750000000001</v>
      </c>
      <c r="F14">
        <v>27.088486</v>
      </c>
      <c r="H14">
        <f>D14/A14</f>
        <v>0.20017717599999998</v>
      </c>
      <c r="I14">
        <f>F14/A14</f>
        <v>1.8058990666666667E-2</v>
      </c>
    </row>
    <row r="15" spans="1:9" x14ac:dyDescent="0.25">
      <c r="A15" s="236"/>
      <c r="B15" t="s">
        <v>149</v>
      </c>
      <c r="C15">
        <v>0</v>
      </c>
      <c r="D15">
        <v>0</v>
      </c>
      <c r="E15">
        <v>0</v>
      </c>
      <c r="F15">
        <v>0</v>
      </c>
      <c r="H15">
        <f>D15/A14</f>
        <v>0</v>
      </c>
      <c r="I15">
        <f>F15/A14</f>
        <v>0</v>
      </c>
    </row>
    <row r="16" spans="1:9" x14ac:dyDescent="0.25">
      <c r="A16" s="236">
        <v>2000</v>
      </c>
      <c r="B16" t="s">
        <v>148</v>
      </c>
      <c r="C16">
        <v>3.5503729999999791</v>
      </c>
      <c r="D16">
        <v>309.38717500000001</v>
      </c>
      <c r="E16">
        <v>2.3119859999999974</v>
      </c>
      <c r="F16">
        <v>33.821821</v>
      </c>
      <c r="H16">
        <f>D16/A16</f>
        <v>0.15469358750000001</v>
      </c>
      <c r="I16">
        <f>F16/A16</f>
        <v>1.6910910500000001E-2</v>
      </c>
    </row>
    <row r="17" spans="1:12" x14ac:dyDescent="0.25">
      <c r="A17" s="236"/>
      <c r="B17" t="s">
        <v>149</v>
      </c>
      <c r="C17">
        <v>0</v>
      </c>
      <c r="D17">
        <v>0</v>
      </c>
      <c r="E17">
        <v>0</v>
      </c>
      <c r="F17">
        <v>0</v>
      </c>
      <c r="H17">
        <f>D17/A16</f>
        <v>0</v>
      </c>
      <c r="I17">
        <f>F17/A16</f>
        <v>0</v>
      </c>
    </row>
    <row r="18" spans="1:12" x14ac:dyDescent="0.25">
      <c r="A18" s="236">
        <v>2500</v>
      </c>
      <c r="B18" t="s">
        <v>148</v>
      </c>
      <c r="C18">
        <v>3.879620999999986</v>
      </c>
      <c r="D18">
        <v>313.300612</v>
      </c>
      <c r="E18">
        <v>2.3297659999999993</v>
      </c>
      <c r="F18">
        <v>39.995859000000003</v>
      </c>
      <c r="H18">
        <f>D18/A18</f>
        <v>0.12532024480000001</v>
      </c>
      <c r="I18">
        <f>F18/A18</f>
        <v>1.5998343600000003E-2</v>
      </c>
    </row>
    <row r="19" spans="1:12" x14ac:dyDescent="0.25">
      <c r="A19" s="236"/>
      <c r="B19" t="s">
        <v>149</v>
      </c>
      <c r="C19">
        <v>0</v>
      </c>
      <c r="D19">
        <v>0</v>
      </c>
      <c r="E19">
        <v>0</v>
      </c>
      <c r="F19">
        <v>0</v>
      </c>
      <c r="H19">
        <f>D19/A18</f>
        <v>0</v>
      </c>
      <c r="I19">
        <f>F19/A18</f>
        <v>0</v>
      </c>
    </row>
    <row r="20" spans="1:12" x14ac:dyDescent="0.25">
      <c r="A20" s="236">
        <v>3000</v>
      </c>
      <c r="B20" t="s">
        <v>148</v>
      </c>
      <c r="C20">
        <v>3.5169280000000072</v>
      </c>
      <c r="D20">
        <v>317.31818099999998</v>
      </c>
      <c r="E20">
        <v>2.3236440000000016</v>
      </c>
      <c r="F20">
        <v>46.110264000000001</v>
      </c>
      <c r="H20">
        <f>D20/A20</f>
        <v>0.105772727</v>
      </c>
      <c r="I20">
        <f>F20/A20</f>
        <v>1.5370088E-2</v>
      </c>
    </row>
    <row r="21" spans="1:12" x14ac:dyDescent="0.25">
      <c r="A21" s="236"/>
      <c r="B21" t="s">
        <v>149</v>
      </c>
      <c r="C21">
        <v>0</v>
      </c>
      <c r="D21">
        <v>0</v>
      </c>
      <c r="E21">
        <v>0</v>
      </c>
      <c r="F21">
        <v>0</v>
      </c>
      <c r="H21">
        <f>D21/A20</f>
        <v>0</v>
      </c>
      <c r="I21">
        <f>F21/A20</f>
        <v>0</v>
      </c>
    </row>
    <row r="24" spans="1:12" x14ac:dyDescent="0.25">
      <c r="C24">
        <v>100</v>
      </c>
      <c r="D24">
        <v>200</v>
      </c>
      <c r="E24">
        <v>300</v>
      </c>
      <c r="F24">
        <v>400</v>
      </c>
      <c r="G24">
        <v>500</v>
      </c>
      <c r="H24">
        <v>1000</v>
      </c>
      <c r="I24">
        <v>1500</v>
      </c>
      <c r="J24">
        <v>2000</v>
      </c>
      <c r="K24">
        <v>2500</v>
      </c>
      <c r="L24">
        <v>3000</v>
      </c>
    </row>
    <row r="25" spans="1:12" x14ac:dyDescent="0.25">
      <c r="C25">
        <v>5.7055189999999999E-2</v>
      </c>
      <c r="D25">
        <v>3.7756829999999998E-2</v>
      </c>
      <c r="E25">
        <v>2.9825143333333332E-2</v>
      </c>
      <c r="F25">
        <v>2.6549174999999998E-2</v>
      </c>
      <c r="G25">
        <v>2.486242E-2</v>
      </c>
      <c r="H25">
        <v>2.0273421E-2</v>
      </c>
      <c r="I25">
        <v>1.8058990666666667E-2</v>
      </c>
      <c r="J25">
        <v>1.6910910500000001E-2</v>
      </c>
      <c r="K25">
        <v>1.5998343600000003E-2</v>
      </c>
      <c r="L25">
        <v>1.5370088E-2</v>
      </c>
    </row>
    <row r="47" spans="1:11" x14ac:dyDescent="0.25">
      <c r="C47" t="s">
        <v>98</v>
      </c>
      <c r="D47" t="s">
        <v>99</v>
      </c>
      <c r="E47" t="s">
        <v>100</v>
      </c>
      <c r="F47" t="s">
        <v>147</v>
      </c>
    </row>
    <row r="48" spans="1:11" x14ac:dyDescent="0.25">
      <c r="A48">
        <v>100</v>
      </c>
      <c r="B48" t="s">
        <v>148</v>
      </c>
      <c r="C48">
        <v>3.5212919999999883</v>
      </c>
      <c r="D48">
        <v>106.532245</v>
      </c>
      <c r="E48">
        <v>2.1665590000000003</v>
      </c>
      <c r="F48">
        <v>5.7055189999999998</v>
      </c>
      <c r="G48" s="101">
        <f>F48+E48</f>
        <v>7.8720780000000001</v>
      </c>
      <c r="I48">
        <v>18.55</v>
      </c>
      <c r="J48">
        <v>100</v>
      </c>
      <c r="K48">
        <f>I48/G48</f>
        <v>2.3564299032606129</v>
      </c>
    </row>
    <row r="49" spans="1:11" x14ac:dyDescent="0.25">
      <c r="A49">
        <v>200</v>
      </c>
      <c r="B49" t="s">
        <v>148</v>
      </c>
      <c r="C49">
        <v>3.556791000000004</v>
      </c>
      <c r="D49">
        <v>146.183234</v>
      </c>
      <c r="E49">
        <v>2.1786159999999999</v>
      </c>
      <c r="F49">
        <v>7.5513659999999998</v>
      </c>
      <c r="G49" s="101">
        <f t="shared" ref="G49:G57" si="0">F49+E49</f>
        <v>9.7299819999999997</v>
      </c>
      <c r="I49">
        <v>34.729999999999997</v>
      </c>
      <c r="J49">
        <v>200</v>
      </c>
      <c r="K49">
        <f t="shared" ref="K49:K57" si="1">I49/G49</f>
        <v>3.5693796761391745</v>
      </c>
    </row>
    <row r="50" spans="1:11" x14ac:dyDescent="0.25">
      <c r="A50">
        <v>300</v>
      </c>
      <c r="B50" t="s">
        <v>148</v>
      </c>
      <c r="C50">
        <v>3.795646000000005</v>
      </c>
      <c r="D50">
        <v>187.68988899999999</v>
      </c>
      <c r="E50">
        <v>2.1732610000000001</v>
      </c>
      <c r="F50">
        <v>8.9475429999999996</v>
      </c>
      <c r="G50" s="101">
        <f t="shared" si="0"/>
        <v>11.120804</v>
      </c>
      <c r="I50">
        <v>50.83</v>
      </c>
      <c r="J50">
        <v>300</v>
      </c>
      <c r="K50">
        <f t="shared" si="1"/>
        <v>4.5707126930750688</v>
      </c>
    </row>
    <row r="51" spans="1:11" x14ac:dyDescent="0.25">
      <c r="A51">
        <v>400</v>
      </c>
      <c r="B51" t="s">
        <v>148</v>
      </c>
      <c r="C51">
        <v>3.7864459999999838</v>
      </c>
      <c r="D51">
        <v>232.789445</v>
      </c>
      <c r="E51">
        <v>2.1754130000000007</v>
      </c>
      <c r="F51">
        <v>10.619669999999999</v>
      </c>
      <c r="G51" s="101">
        <f t="shared" si="0"/>
        <v>12.795083</v>
      </c>
      <c r="I51">
        <v>66.819999999999993</v>
      </c>
      <c r="J51">
        <v>400</v>
      </c>
      <c r="K51">
        <f t="shared" si="1"/>
        <v>5.222318604732771</v>
      </c>
    </row>
    <row r="52" spans="1:11" x14ac:dyDescent="0.25">
      <c r="A52">
        <v>500</v>
      </c>
      <c r="B52" t="s">
        <v>148</v>
      </c>
      <c r="C52">
        <v>3.728636999999992</v>
      </c>
      <c r="D52">
        <v>279.57275100000004</v>
      </c>
      <c r="E52">
        <v>2.1347179999999994</v>
      </c>
      <c r="F52">
        <v>12.43121</v>
      </c>
      <c r="G52" s="101">
        <f t="shared" si="0"/>
        <v>14.565928</v>
      </c>
      <c r="I52">
        <v>83.15</v>
      </c>
      <c r="J52">
        <v>500</v>
      </c>
      <c r="K52">
        <f t="shared" si="1"/>
        <v>5.7085274621706219</v>
      </c>
    </row>
    <row r="53" spans="1:11" x14ac:dyDescent="0.25">
      <c r="A53">
        <v>1000</v>
      </c>
      <c r="B53" t="s">
        <v>148</v>
      </c>
      <c r="C53">
        <v>3.8162210000000414</v>
      </c>
      <c r="D53">
        <v>285.92382599999996</v>
      </c>
      <c r="E53">
        <v>2.181794</v>
      </c>
      <c r="F53">
        <v>20.273420999999999</v>
      </c>
      <c r="G53" s="101">
        <f t="shared" si="0"/>
        <v>22.455214999999999</v>
      </c>
      <c r="I53">
        <v>163.47</v>
      </c>
      <c r="J53">
        <v>1000</v>
      </c>
      <c r="K53">
        <f t="shared" si="1"/>
        <v>7.2798234174110563</v>
      </c>
    </row>
    <row r="54" spans="1:11" x14ac:dyDescent="0.25">
      <c r="A54">
        <v>1500</v>
      </c>
      <c r="B54" t="s">
        <v>148</v>
      </c>
      <c r="C54">
        <v>3.790678000000014</v>
      </c>
      <c r="D54">
        <v>300.26576399999999</v>
      </c>
      <c r="E54">
        <v>2.3044750000000001</v>
      </c>
      <c r="F54">
        <v>27.088486</v>
      </c>
      <c r="G54" s="101">
        <f t="shared" si="0"/>
        <v>29.392961</v>
      </c>
      <c r="I54">
        <v>244.11</v>
      </c>
      <c r="J54">
        <v>1500</v>
      </c>
      <c r="K54">
        <f t="shared" si="1"/>
        <v>8.3050496341624118</v>
      </c>
    </row>
    <row r="55" spans="1:11" x14ac:dyDescent="0.25">
      <c r="A55">
        <v>2000</v>
      </c>
      <c r="B55" t="s">
        <v>148</v>
      </c>
      <c r="C55">
        <v>3.5503729999999791</v>
      </c>
      <c r="D55">
        <v>309.38717500000001</v>
      </c>
      <c r="E55">
        <v>2.3119859999999974</v>
      </c>
      <c r="F55">
        <v>33.821821</v>
      </c>
      <c r="G55" s="101">
        <f t="shared" si="0"/>
        <v>36.133806999999997</v>
      </c>
      <c r="I55">
        <v>324.43</v>
      </c>
      <c r="J55">
        <v>2000</v>
      </c>
      <c r="K55">
        <f t="shared" si="1"/>
        <v>8.9785723380877087</v>
      </c>
    </row>
    <row r="56" spans="1:11" x14ac:dyDescent="0.25">
      <c r="A56">
        <v>2500</v>
      </c>
      <c r="B56" t="s">
        <v>148</v>
      </c>
      <c r="C56">
        <v>3.879620999999986</v>
      </c>
      <c r="D56">
        <v>313.300612</v>
      </c>
      <c r="E56">
        <v>2.3297659999999993</v>
      </c>
      <c r="F56">
        <v>39.995859000000003</v>
      </c>
      <c r="G56" s="101">
        <f t="shared" si="0"/>
        <v>42.325625000000002</v>
      </c>
      <c r="I56">
        <v>410.21</v>
      </c>
      <c r="J56">
        <v>2500</v>
      </c>
      <c r="K56">
        <f t="shared" si="1"/>
        <v>9.6917647406269829</v>
      </c>
    </row>
    <row r="57" spans="1:11" x14ac:dyDescent="0.25">
      <c r="A57">
        <v>3000</v>
      </c>
      <c r="B57" t="s">
        <v>148</v>
      </c>
      <c r="C57">
        <v>3.5169280000000072</v>
      </c>
      <c r="D57">
        <v>317.31818099999998</v>
      </c>
      <c r="E57">
        <v>2.3236440000000016</v>
      </c>
      <c r="F57">
        <v>46.110264000000001</v>
      </c>
      <c r="G57" s="101">
        <f t="shared" si="0"/>
        <v>48.433908000000002</v>
      </c>
      <c r="I57">
        <v>489.09</v>
      </c>
      <c r="J57">
        <v>3000</v>
      </c>
      <c r="K57">
        <f t="shared" si="1"/>
        <v>10.09809078383681</v>
      </c>
    </row>
    <row r="58" spans="1:11" x14ac:dyDescent="0.25">
      <c r="G58" s="101"/>
    </row>
  </sheetData>
  <mergeCells count="10">
    <mergeCell ref="A14:A15"/>
    <mergeCell ref="A16:A17"/>
    <mergeCell ref="A18:A19"/>
    <mergeCell ref="A20:A21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workbookViewId="0">
      <selection activeCell="E3" sqref="D3:E16"/>
    </sheetView>
  </sheetViews>
  <sheetFormatPr defaultRowHeight="15" x14ac:dyDescent="0.25"/>
  <cols>
    <col min="1" max="1" width="7.5703125" style="129" bestFit="1" customWidth="1"/>
    <col min="2" max="2" width="5.28515625" style="129" customWidth="1"/>
    <col min="3" max="3" width="9.140625" style="150"/>
    <col min="4" max="4" width="7.5703125" style="129" bestFit="1" customWidth="1"/>
    <col min="5" max="5" width="9.140625" style="150"/>
    <col min="6" max="6" width="7.5703125" style="129" bestFit="1" customWidth="1"/>
    <col min="7" max="11" width="9.140625" style="150"/>
    <col min="12" max="13" width="9.140625" style="129"/>
  </cols>
  <sheetData>
    <row r="1" spans="1:13" x14ac:dyDescent="0.25">
      <c r="A1" s="212" t="s">
        <v>142</v>
      </c>
      <c r="B1" s="213"/>
      <c r="C1" s="216" t="s">
        <v>35</v>
      </c>
      <c r="D1" s="237"/>
      <c r="E1" s="211"/>
      <c r="F1" s="211"/>
      <c r="G1" s="211"/>
      <c r="H1" s="217"/>
      <c r="I1" s="218"/>
      <c r="J1" s="216" t="s">
        <v>39</v>
      </c>
      <c r="K1" s="211"/>
      <c r="L1" s="217"/>
      <c r="M1" s="218"/>
    </row>
    <row r="2" spans="1:13" ht="15.75" thickBot="1" x14ac:dyDescent="0.3">
      <c r="A2" s="214"/>
      <c r="B2" s="215"/>
      <c r="C2" s="157" t="s">
        <v>98</v>
      </c>
      <c r="D2" s="172"/>
      <c r="E2" s="158" t="s">
        <v>99</v>
      </c>
      <c r="F2" s="172"/>
      <c r="G2" s="158" t="s">
        <v>100</v>
      </c>
      <c r="H2" s="158" t="s">
        <v>101</v>
      </c>
      <c r="I2" s="159" t="s">
        <v>143</v>
      </c>
      <c r="J2" s="157" t="s">
        <v>141</v>
      </c>
      <c r="K2" s="158" t="s">
        <v>99</v>
      </c>
      <c r="L2" s="158" t="s">
        <v>101</v>
      </c>
      <c r="M2" s="159" t="s">
        <v>143</v>
      </c>
    </row>
    <row r="3" spans="1:13" x14ac:dyDescent="0.25">
      <c r="A3" s="164">
        <v>100</v>
      </c>
      <c r="B3" s="160" t="s">
        <v>0</v>
      </c>
      <c r="C3" s="161">
        <v>3.6765769999999947</v>
      </c>
      <c r="D3" s="164">
        <v>100</v>
      </c>
      <c r="E3" s="154">
        <v>106.70293600000001</v>
      </c>
      <c r="F3" s="164">
        <v>100</v>
      </c>
      <c r="G3" s="154">
        <v>18.548114000000002</v>
      </c>
      <c r="H3" s="154">
        <f>SUM(C3:G3)</f>
        <v>328.92762699999997</v>
      </c>
      <c r="I3" s="162">
        <f t="shared" ref="I3:I16" si="0">H3/A3</f>
        <v>3.2892762699999998</v>
      </c>
      <c r="J3" s="161">
        <v>19.847671000000005</v>
      </c>
      <c r="K3" s="154">
        <v>106.381592</v>
      </c>
      <c r="L3" s="154">
        <f>J3+K3</f>
        <v>126.229263</v>
      </c>
      <c r="M3" s="162">
        <f t="shared" ref="M3:M16" si="1">L3/A3</f>
        <v>1.2622926300000001</v>
      </c>
    </row>
    <row r="4" spans="1:13" x14ac:dyDescent="0.25">
      <c r="A4" s="165">
        <v>200</v>
      </c>
      <c r="B4" s="153" t="s">
        <v>0</v>
      </c>
      <c r="C4" s="155">
        <v>3.4987630000000252</v>
      </c>
      <c r="D4" s="165">
        <v>200</v>
      </c>
      <c r="E4" s="152">
        <v>146.33821</v>
      </c>
      <c r="F4" s="165">
        <v>200</v>
      </c>
      <c r="G4" s="152">
        <v>34.734493999999998</v>
      </c>
      <c r="H4" s="152">
        <f t="shared" ref="H4" si="2">SUM(C4:G4)</f>
        <v>584.5714670000001</v>
      </c>
      <c r="I4" s="156">
        <f t="shared" si="0"/>
        <v>2.9228573350000007</v>
      </c>
      <c r="J4" s="155">
        <v>36.082121999999998</v>
      </c>
      <c r="K4" s="152">
        <v>145.54037</v>
      </c>
      <c r="L4" s="152">
        <f>J4+K4</f>
        <v>181.62249199999999</v>
      </c>
      <c r="M4" s="156">
        <f t="shared" si="1"/>
        <v>0.90811246000000001</v>
      </c>
    </row>
    <row r="5" spans="1:13" x14ac:dyDescent="0.25">
      <c r="A5" s="165">
        <v>300</v>
      </c>
      <c r="B5" s="153" t="s">
        <v>0</v>
      </c>
      <c r="C5" s="155">
        <v>3.6164699999999925</v>
      </c>
      <c r="D5" s="165">
        <v>300</v>
      </c>
      <c r="E5" s="152">
        <v>187.84648000000001</v>
      </c>
      <c r="F5" s="165">
        <v>300</v>
      </c>
      <c r="G5" s="152">
        <v>50.831505999999997</v>
      </c>
      <c r="H5" s="152">
        <f t="shared" ref="H5" si="3">SUM(C5:G5)</f>
        <v>842.29445599999997</v>
      </c>
      <c r="I5" s="156">
        <f t="shared" si="0"/>
        <v>2.8076481866666665</v>
      </c>
      <c r="J5" s="155">
        <v>52.150013000000001</v>
      </c>
      <c r="K5" s="152">
        <v>186.969561</v>
      </c>
      <c r="L5" s="152">
        <f t="shared" ref="L5" si="4">J5+K5</f>
        <v>239.119574</v>
      </c>
      <c r="M5" s="156">
        <f t="shared" si="1"/>
        <v>0.79706524666666667</v>
      </c>
    </row>
    <row r="6" spans="1:13" ht="15.75" thickBot="1" x14ac:dyDescent="0.3">
      <c r="A6" s="165">
        <v>400</v>
      </c>
      <c r="B6" s="153" t="s">
        <v>0</v>
      </c>
      <c r="C6" s="155">
        <v>3.5086459999999988</v>
      </c>
      <c r="D6" s="165">
        <v>400</v>
      </c>
      <c r="E6" s="152">
        <v>232.89554299999998</v>
      </c>
      <c r="F6" s="165">
        <v>400</v>
      </c>
      <c r="G6" s="152">
        <v>66.816568000000004</v>
      </c>
      <c r="H6" s="152">
        <f t="shared" ref="H6" si="5">SUM(C6:G6)</f>
        <v>1103.2207569999998</v>
      </c>
      <c r="I6" s="156">
        <f t="shared" si="0"/>
        <v>2.7580518924999997</v>
      </c>
      <c r="J6" s="155">
        <v>68.339635999999985</v>
      </c>
      <c r="K6" s="152">
        <v>232.16998699999999</v>
      </c>
      <c r="L6" s="152">
        <f t="shared" ref="L6" si="6">J6+K6</f>
        <v>300.50962299999998</v>
      </c>
      <c r="M6" s="156">
        <f t="shared" si="1"/>
        <v>0.75127405749999998</v>
      </c>
    </row>
    <row r="7" spans="1:13" ht="15.75" thickBot="1" x14ac:dyDescent="0.3">
      <c r="A7" s="164">
        <v>500</v>
      </c>
      <c r="B7" s="160" t="s">
        <v>0</v>
      </c>
      <c r="C7" s="161">
        <v>3.6722209999999791</v>
      </c>
      <c r="D7" s="164">
        <v>500</v>
      </c>
      <c r="E7" s="154">
        <v>270.598725</v>
      </c>
      <c r="F7" s="164">
        <v>500</v>
      </c>
      <c r="G7" s="154">
        <v>83.150891999999999</v>
      </c>
      <c r="H7" s="154">
        <f>SUM(C7:G7)</f>
        <v>1357.4218380000002</v>
      </c>
      <c r="I7" s="162">
        <f t="shared" si="0"/>
        <v>2.7148436760000005</v>
      </c>
      <c r="J7" s="161">
        <v>84.598243999999966</v>
      </c>
      <c r="K7" s="154">
        <v>270.26393100000001</v>
      </c>
      <c r="L7" s="154">
        <f>J7+K7</f>
        <v>354.86217499999998</v>
      </c>
      <c r="M7" s="162">
        <f t="shared" si="1"/>
        <v>0.70972435</v>
      </c>
    </row>
    <row r="8" spans="1:13" x14ac:dyDescent="0.25">
      <c r="A8" s="164">
        <v>600</v>
      </c>
      <c r="B8" s="160" t="s">
        <v>0</v>
      </c>
      <c r="C8" s="161">
        <v>3.5139920000000302</v>
      </c>
      <c r="D8" s="164">
        <v>600</v>
      </c>
      <c r="E8" s="154">
        <v>274.743403</v>
      </c>
      <c r="F8" s="164">
        <v>600</v>
      </c>
      <c r="G8" s="154">
        <v>99.259257000000005</v>
      </c>
      <c r="H8" s="154">
        <f>SUM(C8:G8)</f>
        <v>1577.516652</v>
      </c>
      <c r="I8" s="162">
        <f t="shared" si="0"/>
        <v>2.6291944200000001</v>
      </c>
      <c r="J8" s="161">
        <v>100.47582500000004</v>
      </c>
      <c r="K8" s="154">
        <v>274.32498399999997</v>
      </c>
      <c r="L8" s="154">
        <f>J8+K8</f>
        <v>374.80080900000002</v>
      </c>
      <c r="M8" s="162">
        <f t="shared" si="1"/>
        <v>0.62466801500000002</v>
      </c>
    </row>
    <row r="9" spans="1:13" x14ac:dyDescent="0.25">
      <c r="A9" s="165">
        <v>700</v>
      </c>
      <c r="B9" s="153" t="s">
        <v>0</v>
      </c>
      <c r="C9" s="155">
        <v>3.5270929999999794</v>
      </c>
      <c r="D9" s="165">
        <v>700</v>
      </c>
      <c r="E9" s="152">
        <v>274.58058500000004</v>
      </c>
      <c r="F9" s="165">
        <v>700</v>
      </c>
      <c r="G9" s="152">
        <v>115.388498</v>
      </c>
      <c r="H9" s="152">
        <f t="shared" ref="H9" si="7">SUM(C9:G9)</f>
        <v>1793.4961759999999</v>
      </c>
      <c r="I9" s="156">
        <f t="shared" si="0"/>
        <v>2.5621373942857142</v>
      </c>
      <c r="J9" s="155">
        <v>116.65772399999997</v>
      </c>
      <c r="K9" s="152">
        <v>273.85120000000001</v>
      </c>
      <c r="L9" s="152">
        <f>J9+K9</f>
        <v>390.50892399999998</v>
      </c>
      <c r="M9" s="156">
        <f t="shared" si="1"/>
        <v>0.55786989142857135</v>
      </c>
    </row>
    <row r="10" spans="1:13" x14ac:dyDescent="0.25">
      <c r="A10" s="165">
        <v>800</v>
      </c>
      <c r="B10" s="153" t="s">
        <v>0</v>
      </c>
      <c r="C10" s="155">
        <v>3.831027000000006</v>
      </c>
      <c r="D10" s="165">
        <v>800</v>
      </c>
      <c r="E10" s="152">
        <v>274.38090799999998</v>
      </c>
      <c r="F10" s="165">
        <v>800</v>
      </c>
      <c r="G10" s="152">
        <v>131.55477400000001</v>
      </c>
      <c r="H10" s="152">
        <f t="shared" ref="H10" si="8">SUM(C10:G10)</f>
        <v>2009.7667089999998</v>
      </c>
      <c r="I10" s="156">
        <f t="shared" si="0"/>
        <v>2.5122083862499998</v>
      </c>
      <c r="J10" s="155">
        <v>133.21897200000001</v>
      </c>
      <c r="K10" s="152">
        <v>273.960509</v>
      </c>
      <c r="L10" s="152">
        <f t="shared" ref="L10" si="9">J10+K10</f>
        <v>407.17948100000001</v>
      </c>
      <c r="M10" s="156">
        <f t="shared" si="1"/>
        <v>0.50897435125000001</v>
      </c>
    </row>
    <row r="11" spans="1:13" x14ac:dyDescent="0.25">
      <c r="A11" s="165">
        <v>900</v>
      </c>
      <c r="B11" s="153" t="s">
        <v>0</v>
      </c>
      <c r="C11" s="155">
        <v>3.354061999999999</v>
      </c>
      <c r="D11" s="165">
        <v>900</v>
      </c>
      <c r="E11" s="152">
        <v>260.64100699999995</v>
      </c>
      <c r="F11" s="165">
        <v>900</v>
      </c>
      <c r="G11" s="152">
        <v>140.24016800000001</v>
      </c>
      <c r="H11" s="152">
        <f t="shared" ref="H11" si="10">SUM(C11:G11)</f>
        <v>2204.2352369999999</v>
      </c>
      <c r="I11" s="156">
        <f t="shared" si="0"/>
        <v>2.4491502633333333</v>
      </c>
      <c r="J11" s="155">
        <v>141.38738499999999</v>
      </c>
      <c r="K11" s="152">
        <v>260.25756899999999</v>
      </c>
      <c r="L11" s="152">
        <f t="shared" ref="L11" si="11">J11+K11</f>
        <v>401.64495399999998</v>
      </c>
      <c r="M11" s="156">
        <f t="shared" si="1"/>
        <v>0.44627217111111112</v>
      </c>
    </row>
    <row r="12" spans="1:13" x14ac:dyDescent="0.25">
      <c r="A12" s="165">
        <v>1000</v>
      </c>
      <c r="B12" s="153" t="s">
        <v>0</v>
      </c>
      <c r="C12" s="155">
        <v>3.548684000000037</v>
      </c>
      <c r="D12" s="165">
        <v>1000</v>
      </c>
      <c r="E12" s="152">
        <v>274.69954099999995</v>
      </c>
      <c r="F12" s="165">
        <v>1000</v>
      </c>
      <c r="G12" s="152">
        <v>163.469977</v>
      </c>
      <c r="H12" s="152">
        <f t="shared" ref="H12" si="12">SUM(C12:G12)</f>
        <v>2441.7182020000005</v>
      </c>
      <c r="I12" s="156">
        <f t="shared" si="0"/>
        <v>2.4417182020000006</v>
      </c>
      <c r="J12" s="155">
        <v>164.77973499999996</v>
      </c>
      <c r="K12" s="152">
        <v>274.22306300000002</v>
      </c>
      <c r="L12" s="152">
        <f>J12+K12</f>
        <v>439.00279799999998</v>
      </c>
      <c r="M12" s="156">
        <f t="shared" si="1"/>
        <v>0.43900279799999997</v>
      </c>
    </row>
    <row r="13" spans="1:13" x14ac:dyDescent="0.25">
      <c r="A13" s="165">
        <v>1500</v>
      </c>
      <c r="B13" s="153" t="s">
        <v>0</v>
      </c>
      <c r="C13" s="155">
        <v>3.631097000000068</v>
      </c>
      <c r="D13" s="165">
        <v>1500</v>
      </c>
      <c r="E13" s="152">
        <v>276.97767599999997</v>
      </c>
      <c r="F13" s="165">
        <v>1500</v>
      </c>
      <c r="G13" s="152">
        <v>244.107529</v>
      </c>
      <c r="H13" s="152">
        <f t="shared" ref="H13" si="13">SUM(C13:G13)</f>
        <v>3524.7163019999998</v>
      </c>
      <c r="I13" s="156">
        <f t="shared" si="0"/>
        <v>2.3498108680000001</v>
      </c>
      <c r="J13" s="155">
        <v>245.26896099999999</v>
      </c>
      <c r="K13" s="152">
        <v>276.55745400000001</v>
      </c>
      <c r="L13" s="152">
        <f t="shared" ref="L13" si="14">J13+K13</f>
        <v>521.826415</v>
      </c>
      <c r="M13" s="156">
        <f t="shared" si="1"/>
        <v>0.34788427666666666</v>
      </c>
    </row>
    <row r="14" spans="1:13" x14ac:dyDescent="0.25">
      <c r="A14" s="165">
        <v>2000</v>
      </c>
      <c r="B14" s="153" t="s">
        <v>0</v>
      </c>
      <c r="C14" s="155">
        <v>3.597756000000004</v>
      </c>
      <c r="D14" s="165">
        <v>2000</v>
      </c>
      <c r="E14" s="152">
        <v>279.27574900000002</v>
      </c>
      <c r="F14" s="165">
        <v>2000</v>
      </c>
      <c r="G14" s="152">
        <v>324.43110200000001</v>
      </c>
      <c r="H14" s="152">
        <f t="shared" ref="H14" si="15">SUM(C14:G14)</f>
        <v>4607.304607</v>
      </c>
      <c r="I14" s="156">
        <f t="shared" si="0"/>
        <v>2.3036523034999998</v>
      </c>
      <c r="J14" s="155">
        <v>325.39182199999993</v>
      </c>
      <c r="K14" s="152">
        <v>278.86904700000002</v>
      </c>
      <c r="L14" s="152">
        <f t="shared" ref="L14" si="16">J14+K14</f>
        <v>604.26086899999996</v>
      </c>
      <c r="M14" s="156">
        <f t="shared" si="1"/>
        <v>0.30213043449999999</v>
      </c>
    </row>
    <row r="15" spans="1:13" x14ac:dyDescent="0.25">
      <c r="A15" s="165">
        <v>2500</v>
      </c>
      <c r="B15" s="153" t="s">
        <v>0</v>
      </c>
      <c r="C15" s="155">
        <v>3.6619399999999587</v>
      </c>
      <c r="D15" s="165">
        <v>2500</v>
      </c>
      <c r="E15" s="152">
        <v>280.26859200000007</v>
      </c>
      <c r="F15" s="165">
        <v>2500</v>
      </c>
      <c r="G15" s="152">
        <v>410.21108199999998</v>
      </c>
      <c r="H15" s="152">
        <f t="shared" ref="H15" si="17">SUM(C15:G15)</f>
        <v>5694.1416140000001</v>
      </c>
      <c r="I15" s="156">
        <f t="shared" si="0"/>
        <v>2.2776566456</v>
      </c>
      <c r="J15" s="155">
        <v>411.04795699999994</v>
      </c>
      <c r="K15" s="152">
        <v>279.85133100000002</v>
      </c>
      <c r="L15" s="152">
        <f t="shared" ref="L15" si="18">J15+K15</f>
        <v>690.89928799999996</v>
      </c>
      <c r="M15" s="156">
        <f t="shared" si="1"/>
        <v>0.27635971519999997</v>
      </c>
    </row>
    <row r="16" spans="1:13" x14ac:dyDescent="0.25">
      <c r="A16" s="165">
        <v>3000</v>
      </c>
      <c r="B16" s="153" t="s">
        <v>0</v>
      </c>
      <c r="C16" s="155">
        <v>3.7305549999999812</v>
      </c>
      <c r="D16" s="165">
        <v>3000</v>
      </c>
      <c r="E16" s="152">
        <v>280.472105</v>
      </c>
      <c r="F16" s="165">
        <v>3000</v>
      </c>
      <c r="G16" s="152">
        <v>489.09318400000001</v>
      </c>
      <c r="H16" s="152">
        <f t="shared" ref="H16" si="19">SUM(C16:G16)</f>
        <v>6773.2958440000002</v>
      </c>
      <c r="I16" s="156">
        <f t="shared" si="0"/>
        <v>2.2577652813333335</v>
      </c>
      <c r="J16" s="155">
        <v>490.51815399999998</v>
      </c>
      <c r="K16" s="152">
        <v>280.01945000000001</v>
      </c>
      <c r="L16" s="152">
        <f t="shared" ref="L16" si="20">J16+K16</f>
        <v>770.53760399999999</v>
      </c>
      <c r="M16" s="156">
        <f t="shared" si="1"/>
        <v>0.25684586799999998</v>
      </c>
    </row>
    <row r="17" spans="1:13" ht="15.75" thickBot="1" x14ac:dyDescent="0.3">
      <c r="I17" s="151"/>
      <c r="L17" s="150"/>
      <c r="M17" s="151"/>
    </row>
    <row r="18" spans="1:13" x14ac:dyDescent="0.25">
      <c r="A18" s="212" t="s">
        <v>142</v>
      </c>
      <c r="B18" s="213"/>
      <c r="C18" s="216" t="s">
        <v>25</v>
      </c>
      <c r="D18" s="237"/>
      <c r="E18" s="211"/>
      <c r="F18" s="211"/>
      <c r="G18" s="211"/>
      <c r="H18" s="217"/>
      <c r="I18" s="218"/>
      <c r="J18" s="216" t="s">
        <v>28</v>
      </c>
      <c r="K18" s="211"/>
      <c r="L18" s="217"/>
      <c r="M18" s="218"/>
    </row>
    <row r="19" spans="1:13" ht="15.75" thickBot="1" x14ac:dyDescent="0.3">
      <c r="A19" s="231"/>
      <c r="B19" s="232"/>
      <c r="C19" s="171" t="s">
        <v>98</v>
      </c>
      <c r="D19" s="50"/>
      <c r="E19" s="44" t="s">
        <v>99</v>
      </c>
      <c r="F19" s="50"/>
      <c r="G19" s="44" t="s">
        <v>100</v>
      </c>
      <c r="H19" s="44" t="s">
        <v>101</v>
      </c>
      <c r="I19" s="45" t="s">
        <v>143</v>
      </c>
      <c r="J19" s="171" t="s">
        <v>141</v>
      </c>
      <c r="K19" s="44" t="s">
        <v>99</v>
      </c>
      <c r="L19" s="44" t="s">
        <v>101</v>
      </c>
      <c r="M19" s="45" t="s">
        <v>143</v>
      </c>
    </row>
    <row r="20" spans="1:13" x14ac:dyDescent="0.25">
      <c r="A20" s="219">
        <v>100</v>
      </c>
      <c r="B20" s="169" t="s">
        <v>0</v>
      </c>
      <c r="C20" s="170">
        <f>C3</f>
        <v>3.6765769999999947</v>
      </c>
      <c r="D20" s="219">
        <v>100</v>
      </c>
      <c r="E20" s="35">
        <f>E3</f>
        <v>106.70293600000001</v>
      </c>
      <c r="F20" s="219">
        <v>100</v>
      </c>
      <c r="G20" s="35">
        <f>G3</f>
        <v>18.548114000000002</v>
      </c>
      <c r="H20" s="211">
        <f>SUM(C20:G20)</f>
        <v>328.92762699999997</v>
      </c>
      <c r="I20" s="220">
        <f>H20/A20</f>
        <v>3.2892762699999998</v>
      </c>
      <c r="J20" s="170">
        <f>J3</f>
        <v>19.847671000000005</v>
      </c>
      <c r="K20" s="35">
        <f>K3</f>
        <v>106.381592</v>
      </c>
      <c r="L20" s="211">
        <f>J20+K20</f>
        <v>126.229263</v>
      </c>
      <c r="M20" s="220">
        <f>L20/A20</f>
        <v>1.2622926300000001</v>
      </c>
    </row>
    <row r="21" spans="1:13" ht="15.75" thickBot="1" x14ac:dyDescent="0.3">
      <c r="A21" s="207"/>
      <c r="B21" s="153" t="s">
        <v>16</v>
      </c>
      <c r="C21" s="166" t="e">
        <f>1.96*SQRT(#REF!)/SQRT(50)</f>
        <v>#REF!</v>
      </c>
      <c r="D21" s="207"/>
      <c r="E21" s="130" t="e">
        <f>1.96*SQRT(#REF!)/SQRT(50)</f>
        <v>#REF!</v>
      </c>
      <c r="F21" s="207"/>
      <c r="G21" s="130" t="e">
        <f>1.96*SQRT(#REF!)/SQRT(50)</f>
        <v>#REF!</v>
      </c>
      <c r="H21" s="187"/>
      <c r="I21" s="210"/>
      <c r="J21" s="166" t="e">
        <f>1.96*SQRT(#REF!)/SQRT(50)</f>
        <v>#REF!</v>
      </c>
      <c r="K21" s="130" t="e">
        <f>1.96*SQRT(#REF!)/SQRT(50)</f>
        <v>#REF!</v>
      </c>
      <c r="L21" s="187"/>
      <c r="M21" s="210"/>
    </row>
    <row r="22" spans="1:13" x14ac:dyDescent="0.25">
      <c r="A22" s="207">
        <v>200</v>
      </c>
      <c r="B22" s="153" t="s">
        <v>0</v>
      </c>
      <c r="C22" s="155">
        <f>C4</f>
        <v>3.4987630000000252</v>
      </c>
      <c r="D22" s="207">
        <v>200</v>
      </c>
      <c r="E22" s="152">
        <f>E4</f>
        <v>146.33821</v>
      </c>
      <c r="F22" s="207">
        <v>200</v>
      </c>
      <c r="G22" s="152">
        <f>G4</f>
        <v>34.734493999999998</v>
      </c>
      <c r="H22" s="208">
        <f t="shared" ref="H22" si="21">SUM(C22:G22)</f>
        <v>584.5714670000001</v>
      </c>
      <c r="I22" s="209">
        <f>H22/A22</f>
        <v>2.9228573350000007</v>
      </c>
      <c r="J22" s="161">
        <f>J4</f>
        <v>36.082121999999998</v>
      </c>
      <c r="K22" s="154">
        <f>K4</f>
        <v>145.54037</v>
      </c>
      <c r="L22" s="208">
        <f>J22+K22</f>
        <v>181.62249199999999</v>
      </c>
      <c r="M22" s="209">
        <f>L22/A22</f>
        <v>0.90811246000000001</v>
      </c>
    </row>
    <row r="23" spans="1:13" ht="15.75" thickBot="1" x14ac:dyDescent="0.3">
      <c r="A23" s="207"/>
      <c r="B23" s="153" t="s">
        <v>16</v>
      </c>
      <c r="C23" s="166" t="e">
        <f>1.96*SQRT(#REF!)/SQRT(50)</f>
        <v>#REF!</v>
      </c>
      <c r="D23" s="207"/>
      <c r="E23" s="130" t="e">
        <f>1.96*SQRT(#REF!)/SQRT(50)</f>
        <v>#REF!</v>
      </c>
      <c r="F23" s="207"/>
      <c r="G23" s="130" t="e">
        <f>1.96*SQRT(#REF!)/SQRT(50)</f>
        <v>#REF!</v>
      </c>
      <c r="H23" s="187"/>
      <c r="I23" s="210"/>
      <c r="J23" s="166" t="e">
        <f>1.96*SQRT(#REF!)/SQRT(50)</f>
        <v>#REF!</v>
      </c>
      <c r="K23" s="130" t="e">
        <f>1.96*SQRT(#REF!)/SQRT(50)</f>
        <v>#REF!</v>
      </c>
      <c r="L23" s="187"/>
      <c r="M23" s="210"/>
    </row>
    <row r="24" spans="1:13" x14ac:dyDescent="0.25">
      <c r="A24" s="207">
        <v>300</v>
      </c>
      <c r="B24" s="153" t="s">
        <v>0</v>
      </c>
      <c r="C24" s="155">
        <f>C5</f>
        <v>3.6164699999999925</v>
      </c>
      <c r="D24" s="207">
        <v>300</v>
      </c>
      <c r="E24" s="152">
        <f>E5</f>
        <v>187.84648000000001</v>
      </c>
      <c r="F24" s="207">
        <v>300</v>
      </c>
      <c r="G24" s="152">
        <f>G5</f>
        <v>50.831505999999997</v>
      </c>
      <c r="H24" s="208">
        <f t="shared" ref="H24" si="22">SUM(C24:G24)</f>
        <v>842.29445599999997</v>
      </c>
      <c r="I24" s="209">
        <f>H24/A24</f>
        <v>2.8076481866666665</v>
      </c>
      <c r="J24" s="161">
        <f>J5</f>
        <v>52.150013000000001</v>
      </c>
      <c r="K24" s="154">
        <f>K5</f>
        <v>186.969561</v>
      </c>
      <c r="L24" s="208">
        <f t="shared" ref="L24" si="23">J24+K24</f>
        <v>239.119574</v>
      </c>
      <c r="M24" s="209">
        <f>L24/A24</f>
        <v>0.79706524666666667</v>
      </c>
    </row>
    <row r="25" spans="1:13" ht="15.75" thickBot="1" x14ac:dyDescent="0.3">
      <c r="A25" s="207"/>
      <c r="B25" s="153" t="s">
        <v>16</v>
      </c>
      <c r="C25" s="166" t="e">
        <f>1.96*SQRT(#REF!)/SQRT(50)</f>
        <v>#REF!</v>
      </c>
      <c r="D25" s="207"/>
      <c r="E25" s="130" t="e">
        <f>1.96*SQRT(#REF!)/SQRT(50)</f>
        <v>#REF!</v>
      </c>
      <c r="F25" s="207"/>
      <c r="G25" s="130" t="e">
        <f>1.96*SQRT(#REF!)/SQRT(50)</f>
        <v>#REF!</v>
      </c>
      <c r="H25" s="187"/>
      <c r="I25" s="210"/>
      <c r="J25" s="166" t="e">
        <f>1.96*SQRT(#REF!)/SQRT(50)</f>
        <v>#REF!</v>
      </c>
      <c r="K25" s="130" t="e">
        <f>1.96*SQRT(#REF!)/SQRT(50)</f>
        <v>#REF!</v>
      </c>
      <c r="L25" s="187"/>
      <c r="M25" s="210"/>
    </row>
    <row r="26" spans="1:13" x14ac:dyDescent="0.25">
      <c r="A26" s="207">
        <v>400</v>
      </c>
      <c r="B26" s="153" t="s">
        <v>0</v>
      </c>
      <c r="C26" s="155">
        <f>C6</f>
        <v>3.5086459999999988</v>
      </c>
      <c r="D26" s="207">
        <v>400</v>
      </c>
      <c r="E26" s="152">
        <f>E6</f>
        <v>232.89554299999998</v>
      </c>
      <c r="F26" s="207">
        <v>400</v>
      </c>
      <c r="G26" s="152">
        <f>G6</f>
        <v>66.816568000000004</v>
      </c>
      <c r="H26" s="208">
        <f t="shared" ref="H26" si="24">SUM(C26:G26)</f>
        <v>1103.2207569999998</v>
      </c>
      <c r="I26" s="209">
        <f>H26/A26</f>
        <v>2.7580518924999997</v>
      </c>
      <c r="J26" s="161">
        <f>J6</f>
        <v>68.339635999999985</v>
      </c>
      <c r="K26" s="154">
        <f>K6</f>
        <v>232.16998699999999</v>
      </c>
      <c r="L26" s="208">
        <f t="shared" ref="L26" si="25">J26+K26</f>
        <v>300.50962299999998</v>
      </c>
      <c r="M26" s="209">
        <f>L26/A26</f>
        <v>0.75127405749999998</v>
      </c>
    </row>
    <row r="27" spans="1:13" ht="15.75" thickBot="1" x14ac:dyDescent="0.3">
      <c r="A27" s="207"/>
      <c r="B27" s="153" t="s">
        <v>16</v>
      </c>
      <c r="C27" s="166" t="e">
        <f>1.96*SQRT(#REF!)/SQRT(50)</f>
        <v>#REF!</v>
      </c>
      <c r="D27" s="207"/>
      <c r="E27" s="130" t="e">
        <f>1.96*SQRT(#REF!)/SQRT(50)</f>
        <v>#REF!</v>
      </c>
      <c r="F27" s="207"/>
      <c r="G27" s="130" t="e">
        <f>1.96*SQRT(#REF!)/SQRT(50)</f>
        <v>#REF!</v>
      </c>
      <c r="H27" s="187"/>
      <c r="I27" s="210"/>
      <c r="J27" s="166" t="e">
        <f>1.96*SQRT(#REF!)/SQRT(50)</f>
        <v>#REF!</v>
      </c>
      <c r="K27" s="130" t="e">
        <f>1.96*SQRT(#REF!)/SQRT(50)</f>
        <v>#REF!</v>
      </c>
      <c r="L27" s="187"/>
      <c r="M27" s="210"/>
    </row>
    <row r="28" spans="1:13" x14ac:dyDescent="0.25">
      <c r="A28" s="219">
        <v>500</v>
      </c>
      <c r="B28" s="169" t="s">
        <v>0</v>
      </c>
      <c r="C28" s="170">
        <f>C7</f>
        <v>3.6722209999999791</v>
      </c>
      <c r="D28" s="219">
        <v>500</v>
      </c>
      <c r="E28" s="35">
        <f>E7</f>
        <v>270.598725</v>
      </c>
      <c r="F28" s="219">
        <v>500</v>
      </c>
      <c r="G28" s="35">
        <f>G7</f>
        <v>83.150891999999999</v>
      </c>
      <c r="H28" s="211">
        <f>SUM(C28:G28)</f>
        <v>1357.4218380000002</v>
      </c>
      <c r="I28" s="220">
        <f>H28/A28</f>
        <v>2.7148436760000005</v>
      </c>
      <c r="J28" s="170">
        <f>J7</f>
        <v>84.598243999999966</v>
      </c>
      <c r="K28" s="35">
        <f>K7</f>
        <v>270.26393100000001</v>
      </c>
      <c r="L28" s="211">
        <f>J28+K28</f>
        <v>354.86217499999998</v>
      </c>
      <c r="M28" s="220">
        <f>L28/A28</f>
        <v>0.70972435</v>
      </c>
    </row>
    <row r="29" spans="1:13" ht="15.75" thickBot="1" x14ac:dyDescent="0.3">
      <c r="A29" s="207"/>
      <c r="B29" s="153" t="s">
        <v>16</v>
      </c>
      <c r="C29" s="166" t="e">
        <f>1.96*SQRT(#REF!)/SQRT(50)</f>
        <v>#REF!</v>
      </c>
      <c r="D29" s="207"/>
      <c r="E29" s="130" t="e">
        <f>1.96*SQRT(#REF!)/SQRT(50)</f>
        <v>#REF!</v>
      </c>
      <c r="F29" s="207"/>
      <c r="G29" s="130" t="e">
        <f>1.96*SQRT(#REF!)/SQRT(50)</f>
        <v>#REF!</v>
      </c>
      <c r="H29" s="187"/>
      <c r="I29" s="210"/>
      <c r="J29" s="166" t="e">
        <f>1.96*SQRT(#REF!)/SQRT(50)</f>
        <v>#REF!</v>
      </c>
      <c r="K29" s="130" t="e">
        <f>1.96*SQRT(#REF!)/SQRT(50)</f>
        <v>#REF!</v>
      </c>
      <c r="L29" s="187"/>
      <c r="M29" s="210"/>
    </row>
    <row r="30" spans="1:13" x14ac:dyDescent="0.25">
      <c r="A30" s="219">
        <v>600</v>
      </c>
      <c r="B30" s="169" t="s">
        <v>0</v>
      </c>
      <c r="C30" s="170">
        <f>C8</f>
        <v>3.5139920000000302</v>
      </c>
      <c r="D30" s="219">
        <v>600</v>
      </c>
      <c r="E30" s="35">
        <f>E8</f>
        <v>274.743403</v>
      </c>
      <c r="F30" s="219">
        <v>600</v>
      </c>
      <c r="G30" s="35">
        <f>G8</f>
        <v>99.259257000000005</v>
      </c>
      <c r="H30" s="211">
        <f>SUM(C30:G30)</f>
        <v>1577.516652</v>
      </c>
      <c r="I30" s="220">
        <f>H30/A30</f>
        <v>2.6291944200000001</v>
      </c>
      <c r="J30" s="170">
        <f>J8</f>
        <v>100.47582500000004</v>
      </c>
      <c r="K30" s="35">
        <f>K8</f>
        <v>274.32498399999997</v>
      </c>
      <c r="L30" s="211">
        <f>J30+K30</f>
        <v>374.80080900000002</v>
      </c>
      <c r="M30" s="220">
        <f>L30/A30</f>
        <v>0.62466801500000002</v>
      </c>
    </row>
    <row r="31" spans="1:13" ht="15.75" thickBot="1" x14ac:dyDescent="0.3">
      <c r="A31" s="207"/>
      <c r="B31" s="153" t="s">
        <v>16</v>
      </c>
      <c r="C31" s="166" t="e">
        <f>1.96*SQRT(#REF!)/SQRT(50)</f>
        <v>#REF!</v>
      </c>
      <c r="D31" s="207"/>
      <c r="E31" s="130" t="e">
        <f>1.96*SQRT(#REF!)/SQRT(50)</f>
        <v>#REF!</v>
      </c>
      <c r="F31" s="207"/>
      <c r="G31" s="130" t="e">
        <f>1.96*SQRT(#REF!)/SQRT(50)</f>
        <v>#REF!</v>
      </c>
      <c r="H31" s="187"/>
      <c r="I31" s="210"/>
      <c r="J31" s="166" t="e">
        <f>1.96*SQRT(#REF!)/SQRT(50)</f>
        <v>#REF!</v>
      </c>
      <c r="K31" s="130" t="e">
        <f>1.96*SQRT(#REF!)/SQRT(50)</f>
        <v>#REF!</v>
      </c>
      <c r="L31" s="187"/>
      <c r="M31" s="210"/>
    </row>
    <row r="32" spans="1:13" x14ac:dyDescent="0.25">
      <c r="A32" s="207">
        <v>700</v>
      </c>
      <c r="B32" s="153" t="s">
        <v>0</v>
      </c>
      <c r="C32" s="155">
        <f>C9</f>
        <v>3.5270929999999794</v>
      </c>
      <c r="D32" s="207">
        <v>700</v>
      </c>
      <c r="E32" s="152">
        <f>E9</f>
        <v>274.58058500000004</v>
      </c>
      <c r="F32" s="207">
        <v>700</v>
      </c>
      <c r="G32" s="152">
        <f>G9</f>
        <v>115.388498</v>
      </c>
      <c r="H32" s="208">
        <f t="shared" ref="H32" si="26">SUM(C32:G32)</f>
        <v>1793.4961759999999</v>
      </c>
      <c r="I32" s="209">
        <f>H32/A32</f>
        <v>2.5621373942857142</v>
      </c>
      <c r="J32" s="161">
        <f>J9</f>
        <v>116.65772399999997</v>
      </c>
      <c r="K32" s="154">
        <f>K9</f>
        <v>273.85120000000001</v>
      </c>
      <c r="L32" s="208">
        <f>J32+K32</f>
        <v>390.50892399999998</v>
      </c>
      <c r="M32" s="209">
        <f>L32/A32</f>
        <v>0.55786989142857135</v>
      </c>
    </row>
    <row r="33" spans="1:13" ht="15.75" thickBot="1" x14ac:dyDescent="0.3">
      <c r="A33" s="207"/>
      <c r="B33" s="153" t="s">
        <v>16</v>
      </c>
      <c r="C33" s="166" t="e">
        <f>1.96*SQRT(#REF!)/SQRT(50)</f>
        <v>#REF!</v>
      </c>
      <c r="D33" s="207"/>
      <c r="E33" s="130" t="e">
        <f>1.96*SQRT(#REF!)/SQRT(50)</f>
        <v>#REF!</v>
      </c>
      <c r="F33" s="207"/>
      <c r="G33" s="130" t="e">
        <f>1.96*SQRT(#REF!)/SQRT(50)</f>
        <v>#REF!</v>
      </c>
      <c r="H33" s="187"/>
      <c r="I33" s="210"/>
      <c r="J33" s="166" t="e">
        <f>1.96*SQRT(#REF!)/SQRT(50)</f>
        <v>#REF!</v>
      </c>
      <c r="K33" s="130" t="e">
        <f>1.96*SQRT(#REF!)/SQRT(50)</f>
        <v>#REF!</v>
      </c>
      <c r="L33" s="187"/>
      <c r="M33" s="210"/>
    </row>
    <row r="34" spans="1:13" x14ac:dyDescent="0.25">
      <c r="A34" s="207">
        <v>800</v>
      </c>
      <c r="B34" s="153" t="s">
        <v>0</v>
      </c>
      <c r="C34" s="155">
        <f>C10</f>
        <v>3.831027000000006</v>
      </c>
      <c r="D34" s="207">
        <v>800</v>
      </c>
      <c r="E34" s="152">
        <f>E10</f>
        <v>274.38090799999998</v>
      </c>
      <c r="F34" s="207">
        <v>800</v>
      </c>
      <c r="G34" s="152">
        <f>G10</f>
        <v>131.55477400000001</v>
      </c>
      <c r="H34" s="208">
        <f t="shared" ref="H34" si="27">SUM(C34:G34)</f>
        <v>2009.7667089999998</v>
      </c>
      <c r="I34" s="209">
        <f>H34/A34</f>
        <v>2.5122083862499998</v>
      </c>
      <c r="J34" s="161">
        <f>J10</f>
        <v>133.21897200000001</v>
      </c>
      <c r="K34" s="154">
        <f>K10</f>
        <v>273.960509</v>
      </c>
      <c r="L34" s="208">
        <f t="shared" ref="L34" si="28">J34+K34</f>
        <v>407.17948100000001</v>
      </c>
      <c r="M34" s="209">
        <f>L34/A34</f>
        <v>0.50897435125000001</v>
      </c>
    </row>
    <row r="35" spans="1:13" ht="15.75" thickBot="1" x14ac:dyDescent="0.3">
      <c r="A35" s="207"/>
      <c r="B35" s="153" t="s">
        <v>16</v>
      </c>
      <c r="C35" s="166" t="e">
        <f>1.96*SQRT(#REF!)/SQRT(50)</f>
        <v>#REF!</v>
      </c>
      <c r="D35" s="207"/>
      <c r="E35" s="130" t="e">
        <f>1.96*SQRT(#REF!)/SQRT(50)</f>
        <v>#REF!</v>
      </c>
      <c r="F35" s="207"/>
      <c r="G35" s="130" t="e">
        <f>1.96*SQRT(#REF!)/SQRT(50)</f>
        <v>#REF!</v>
      </c>
      <c r="H35" s="187"/>
      <c r="I35" s="210"/>
      <c r="J35" s="166" t="e">
        <f>1.96*SQRT(#REF!)/SQRT(50)</f>
        <v>#REF!</v>
      </c>
      <c r="K35" s="130" t="e">
        <f>1.96*SQRT(#REF!)/SQRT(50)</f>
        <v>#REF!</v>
      </c>
      <c r="L35" s="187"/>
      <c r="M35" s="210"/>
    </row>
    <row r="36" spans="1:13" x14ac:dyDescent="0.25">
      <c r="A36" s="207">
        <v>900</v>
      </c>
      <c r="B36" s="153" t="s">
        <v>0</v>
      </c>
      <c r="C36" s="155">
        <f>C11</f>
        <v>3.354061999999999</v>
      </c>
      <c r="D36" s="207">
        <v>900</v>
      </c>
      <c r="E36" s="152">
        <f>E11</f>
        <v>260.64100699999995</v>
      </c>
      <c r="F36" s="207">
        <v>900</v>
      </c>
      <c r="G36" s="152">
        <f>G11</f>
        <v>140.24016800000001</v>
      </c>
      <c r="H36" s="208">
        <f t="shared" ref="H36" si="29">SUM(C36:G36)</f>
        <v>2204.2352369999999</v>
      </c>
      <c r="I36" s="209">
        <f>H36/A36</f>
        <v>2.4491502633333333</v>
      </c>
      <c r="J36" s="161">
        <f>J11</f>
        <v>141.38738499999999</v>
      </c>
      <c r="K36" s="154">
        <f>K11</f>
        <v>260.25756899999999</v>
      </c>
      <c r="L36" s="208">
        <f t="shared" ref="L36" si="30">J36+K36</f>
        <v>401.64495399999998</v>
      </c>
      <c r="M36" s="209">
        <f>L36/A36</f>
        <v>0.44627217111111112</v>
      </c>
    </row>
    <row r="37" spans="1:13" ht="15.75" thickBot="1" x14ac:dyDescent="0.3">
      <c r="A37" s="207"/>
      <c r="B37" s="153" t="s">
        <v>16</v>
      </c>
      <c r="C37" s="166" t="e">
        <f>1.96*SQRT(#REF!)/SQRT(50)</f>
        <v>#REF!</v>
      </c>
      <c r="D37" s="207"/>
      <c r="E37" s="130" t="e">
        <f>1.96*SQRT(#REF!)/SQRT(50)</f>
        <v>#REF!</v>
      </c>
      <c r="F37" s="207"/>
      <c r="G37" s="130" t="e">
        <f>1.96*SQRT(#REF!)/SQRT(50)</f>
        <v>#REF!</v>
      </c>
      <c r="H37" s="187"/>
      <c r="I37" s="210"/>
      <c r="J37" s="166" t="e">
        <f>1.96*SQRT(#REF!)/SQRT(50)</f>
        <v>#REF!</v>
      </c>
      <c r="K37" s="130" t="e">
        <f>1.96*SQRT(#REF!)/SQRT(50)</f>
        <v>#REF!</v>
      </c>
      <c r="L37" s="187"/>
      <c r="M37" s="210"/>
    </row>
    <row r="38" spans="1:13" x14ac:dyDescent="0.25">
      <c r="A38" s="207">
        <v>1000</v>
      </c>
      <c r="B38" s="153" t="s">
        <v>0</v>
      </c>
      <c r="C38" s="155">
        <f>C12</f>
        <v>3.548684000000037</v>
      </c>
      <c r="D38" s="207">
        <v>1000</v>
      </c>
      <c r="E38" s="152">
        <f>E12</f>
        <v>274.69954099999995</v>
      </c>
      <c r="F38" s="207">
        <v>1000</v>
      </c>
      <c r="G38" s="152">
        <f>G12</f>
        <v>163.469977</v>
      </c>
      <c r="H38" s="208">
        <f t="shared" ref="H38" si="31">SUM(C38:G38)</f>
        <v>2441.7182020000005</v>
      </c>
      <c r="I38" s="209">
        <f>H38/A38</f>
        <v>2.4417182020000006</v>
      </c>
      <c r="J38" s="161">
        <f>J12</f>
        <v>164.77973499999996</v>
      </c>
      <c r="K38" s="154">
        <f>K12</f>
        <v>274.22306300000002</v>
      </c>
      <c r="L38" s="208">
        <f>J38+K38</f>
        <v>439.00279799999998</v>
      </c>
      <c r="M38" s="209">
        <f>L38/A38</f>
        <v>0.43900279799999997</v>
      </c>
    </row>
    <row r="39" spans="1:13" ht="15.75" thickBot="1" x14ac:dyDescent="0.3">
      <c r="A39" s="207"/>
      <c r="B39" s="153" t="s">
        <v>16</v>
      </c>
      <c r="C39" s="166" t="e">
        <f>1.96*SQRT(#REF!)/SQRT(50)</f>
        <v>#REF!</v>
      </c>
      <c r="D39" s="207"/>
      <c r="E39" s="130" t="e">
        <f>1.96*SQRT(#REF!)/SQRT(50)</f>
        <v>#REF!</v>
      </c>
      <c r="F39" s="207"/>
      <c r="G39" s="130" t="e">
        <f>1.96*SQRT(#REF!)/SQRT(50)</f>
        <v>#REF!</v>
      </c>
      <c r="H39" s="187"/>
      <c r="I39" s="210"/>
      <c r="J39" s="166" t="e">
        <f>1.96*SQRT(#REF!)/SQRT(50)</f>
        <v>#REF!</v>
      </c>
      <c r="K39" s="130" t="e">
        <f>1.96*SQRT(#REF!)/SQRT(50)</f>
        <v>#REF!</v>
      </c>
      <c r="L39" s="187"/>
      <c r="M39" s="210"/>
    </row>
    <row r="40" spans="1:13" x14ac:dyDescent="0.25">
      <c r="A40" s="207">
        <v>1500</v>
      </c>
      <c r="B40" s="153" t="s">
        <v>0</v>
      </c>
      <c r="C40" s="155">
        <f>C13</f>
        <v>3.631097000000068</v>
      </c>
      <c r="D40" s="207">
        <v>1500</v>
      </c>
      <c r="E40" s="152">
        <f>E13</f>
        <v>276.97767599999997</v>
      </c>
      <c r="F40" s="207">
        <v>1500</v>
      </c>
      <c r="G40" s="152">
        <f>G13</f>
        <v>244.107529</v>
      </c>
      <c r="H40" s="208">
        <f t="shared" ref="H40" si="32">SUM(C40:G40)</f>
        <v>3524.7163019999998</v>
      </c>
      <c r="I40" s="209">
        <f>H40/A40</f>
        <v>2.3498108680000001</v>
      </c>
      <c r="J40" s="161">
        <f>J13</f>
        <v>245.26896099999999</v>
      </c>
      <c r="K40" s="154">
        <f>K13</f>
        <v>276.55745400000001</v>
      </c>
      <c r="L40" s="208">
        <f t="shared" ref="L40" si="33">J40+K40</f>
        <v>521.826415</v>
      </c>
      <c r="M40" s="209">
        <f>L40/A40</f>
        <v>0.34788427666666666</v>
      </c>
    </row>
    <row r="41" spans="1:13" ht="15.75" thickBot="1" x14ac:dyDescent="0.3">
      <c r="A41" s="207"/>
      <c r="B41" s="153" t="s">
        <v>16</v>
      </c>
      <c r="C41" s="166" t="e">
        <f>1.96*SQRT(#REF!)/SQRT(50)</f>
        <v>#REF!</v>
      </c>
      <c r="D41" s="207"/>
      <c r="E41" s="130" t="e">
        <f>1.96*SQRT(#REF!)/SQRT(50)</f>
        <v>#REF!</v>
      </c>
      <c r="F41" s="207"/>
      <c r="G41" s="130" t="e">
        <f>1.96*SQRT(#REF!)/SQRT(50)</f>
        <v>#REF!</v>
      </c>
      <c r="H41" s="187"/>
      <c r="I41" s="210"/>
      <c r="J41" s="166" t="e">
        <f>1.96*SQRT(#REF!)/SQRT(50)</f>
        <v>#REF!</v>
      </c>
      <c r="K41" s="130" t="e">
        <f>1.96*SQRT(#REF!)/SQRT(50)</f>
        <v>#REF!</v>
      </c>
      <c r="L41" s="187"/>
      <c r="M41" s="210"/>
    </row>
    <row r="42" spans="1:13" x14ac:dyDescent="0.25">
      <c r="A42" s="207">
        <v>2000</v>
      </c>
      <c r="B42" s="153" t="s">
        <v>0</v>
      </c>
      <c r="C42" s="155">
        <f>C14</f>
        <v>3.597756000000004</v>
      </c>
      <c r="D42" s="207">
        <v>2000</v>
      </c>
      <c r="E42" s="152">
        <f>E14</f>
        <v>279.27574900000002</v>
      </c>
      <c r="F42" s="207">
        <v>2000</v>
      </c>
      <c r="G42" s="152">
        <f>G14</f>
        <v>324.43110200000001</v>
      </c>
      <c r="H42" s="208">
        <f t="shared" ref="H42" si="34">SUM(C42:G42)</f>
        <v>4607.304607</v>
      </c>
      <c r="I42" s="209">
        <f>H42/A42</f>
        <v>2.3036523034999998</v>
      </c>
      <c r="J42" s="161">
        <f>J14</f>
        <v>325.39182199999993</v>
      </c>
      <c r="K42" s="154">
        <f>K14</f>
        <v>278.86904700000002</v>
      </c>
      <c r="L42" s="208">
        <f t="shared" ref="L42" si="35">J42+K42</f>
        <v>604.26086899999996</v>
      </c>
      <c r="M42" s="209">
        <f>L42/A42</f>
        <v>0.30213043449999999</v>
      </c>
    </row>
    <row r="43" spans="1:13" ht="15.75" thickBot="1" x14ac:dyDescent="0.3">
      <c r="A43" s="207"/>
      <c r="B43" s="153" t="s">
        <v>16</v>
      </c>
      <c r="C43" s="166" t="e">
        <f>1.96*SQRT(#REF!)/SQRT(50)</f>
        <v>#REF!</v>
      </c>
      <c r="D43" s="207"/>
      <c r="E43" s="130" t="e">
        <f>1.96*SQRT(#REF!)/SQRT(50)</f>
        <v>#REF!</v>
      </c>
      <c r="F43" s="207"/>
      <c r="G43" s="130" t="e">
        <f>1.96*SQRT(#REF!)/SQRT(50)</f>
        <v>#REF!</v>
      </c>
      <c r="H43" s="187"/>
      <c r="I43" s="210"/>
      <c r="J43" s="166" t="e">
        <f>1.96*SQRT(#REF!)/SQRT(50)</f>
        <v>#REF!</v>
      </c>
      <c r="K43" s="130" t="e">
        <f>1.96*SQRT(#REF!)/SQRT(50)</f>
        <v>#REF!</v>
      </c>
      <c r="L43" s="187"/>
      <c r="M43" s="210"/>
    </row>
    <row r="44" spans="1:13" x14ac:dyDescent="0.25">
      <c r="A44" s="207">
        <v>2500</v>
      </c>
      <c r="B44" s="153" t="s">
        <v>0</v>
      </c>
      <c r="C44" s="155">
        <f>C15</f>
        <v>3.6619399999999587</v>
      </c>
      <c r="D44" s="207">
        <v>2500</v>
      </c>
      <c r="E44" s="152">
        <f>E15</f>
        <v>280.26859200000007</v>
      </c>
      <c r="F44" s="207">
        <v>2500</v>
      </c>
      <c r="G44" s="152">
        <f>G15</f>
        <v>410.21108199999998</v>
      </c>
      <c r="H44" s="208">
        <f t="shared" ref="H44" si="36">SUM(C44:G44)</f>
        <v>5694.1416140000001</v>
      </c>
      <c r="I44" s="209">
        <f>H44/A44</f>
        <v>2.2776566456</v>
      </c>
      <c r="J44" s="161">
        <f>J15</f>
        <v>411.04795699999994</v>
      </c>
      <c r="K44" s="154">
        <f>K15</f>
        <v>279.85133100000002</v>
      </c>
      <c r="L44" s="208">
        <f t="shared" ref="L44" si="37">J44+K44</f>
        <v>690.89928799999996</v>
      </c>
      <c r="M44" s="209">
        <f>L44/A44</f>
        <v>0.27635971519999997</v>
      </c>
    </row>
    <row r="45" spans="1:13" ht="15.75" thickBot="1" x14ac:dyDescent="0.3">
      <c r="A45" s="207"/>
      <c r="B45" s="153" t="s">
        <v>16</v>
      </c>
      <c r="C45" s="166" t="e">
        <f>1.96*SQRT(#REF!)/SQRT(50)</f>
        <v>#REF!</v>
      </c>
      <c r="D45" s="207"/>
      <c r="E45" s="130" t="e">
        <f>1.96*SQRT(#REF!)/SQRT(50)</f>
        <v>#REF!</v>
      </c>
      <c r="F45" s="207"/>
      <c r="G45" s="130" t="e">
        <f>1.96*SQRT(#REF!)/SQRT(50)</f>
        <v>#REF!</v>
      </c>
      <c r="H45" s="187"/>
      <c r="I45" s="210"/>
      <c r="J45" s="166" t="e">
        <f>1.96*SQRT(#REF!)/SQRT(50)</f>
        <v>#REF!</v>
      </c>
      <c r="K45" s="130" t="e">
        <f>1.96*SQRT(#REF!)/SQRT(50)</f>
        <v>#REF!</v>
      </c>
      <c r="L45" s="187"/>
      <c r="M45" s="210"/>
    </row>
    <row r="46" spans="1:13" x14ac:dyDescent="0.25">
      <c r="A46" s="207">
        <v>3000</v>
      </c>
      <c r="B46" s="153" t="s">
        <v>0</v>
      </c>
      <c r="C46" s="155">
        <f>C16</f>
        <v>3.7305549999999812</v>
      </c>
      <c r="D46" s="207">
        <v>3000</v>
      </c>
      <c r="E46" s="152">
        <f>E16</f>
        <v>280.472105</v>
      </c>
      <c r="F46" s="207">
        <v>3000</v>
      </c>
      <c r="G46" s="152">
        <f>G16</f>
        <v>489.09318400000001</v>
      </c>
      <c r="H46" s="208">
        <f t="shared" ref="H46" si="38">SUM(C46:G46)</f>
        <v>6773.2958440000002</v>
      </c>
      <c r="I46" s="209">
        <f>H46/A46</f>
        <v>2.2577652813333335</v>
      </c>
      <c r="J46" s="161">
        <f>J16</f>
        <v>490.51815399999998</v>
      </c>
      <c r="K46" s="154">
        <f>K16</f>
        <v>280.01945000000001</v>
      </c>
      <c r="L46" s="208">
        <f t="shared" ref="L46" si="39">J46+K46</f>
        <v>770.53760399999999</v>
      </c>
      <c r="M46" s="209">
        <f>L46/A46</f>
        <v>0.25684586799999998</v>
      </c>
    </row>
    <row r="47" spans="1:13" ht="15.75" thickBot="1" x14ac:dyDescent="0.3">
      <c r="A47" s="207"/>
      <c r="B47" s="153" t="s">
        <v>16</v>
      </c>
      <c r="C47" s="166" t="e">
        <f>1.96*SQRT(#REF!)/SQRT(50)</f>
        <v>#REF!</v>
      </c>
      <c r="D47" s="207"/>
      <c r="E47" s="130" t="e">
        <f>1.96*SQRT(#REF!)/SQRT(50)</f>
        <v>#REF!</v>
      </c>
      <c r="F47" s="207"/>
      <c r="G47" s="130" t="e">
        <f>1.96*SQRT(#REF!)/SQRT(50)</f>
        <v>#REF!</v>
      </c>
      <c r="H47" s="187"/>
      <c r="I47" s="210"/>
      <c r="J47" s="166" t="e">
        <f>1.96*SQRT(#REF!)/SQRT(50)</f>
        <v>#REF!</v>
      </c>
      <c r="K47" s="130" t="e">
        <f>1.96*SQRT(#REF!)/SQRT(50)</f>
        <v>#REF!</v>
      </c>
      <c r="L47" s="187"/>
      <c r="M47" s="210"/>
    </row>
    <row r="48" spans="1:13" x14ac:dyDescent="0.25">
      <c r="A48" s="207">
        <v>3500</v>
      </c>
      <c r="B48" s="153" t="s">
        <v>0</v>
      </c>
      <c r="C48" s="155" t="e">
        <f>#REF!</f>
        <v>#REF!</v>
      </c>
      <c r="D48" s="207">
        <v>3500</v>
      </c>
      <c r="E48" s="152" t="e">
        <f>#REF!</f>
        <v>#REF!</v>
      </c>
      <c r="F48" s="207">
        <v>3500</v>
      </c>
      <c r="G48" s="152" t="e">
        <f>#REF!</f>
        <v>#REF!</v>
      </c>
      <c r="H48" s="208" t="e">
        <f t="shared" ref="H48" si="40">SUM(C48:G48)</f>
        <v>#REF!</v>
      </c>
      <c r="I48" s="209" t="e">
        <f>H48/A48</f>
        <v>#REF!</v>
      </c>
      <c r="J48" s="161" t="e">
        <f>#REF!</f>
        <v>#REF!</v>
      </c>
      <c r="K48" s="154" t="e">
        <f>#REF!</f>
        <v>#REF!</v>
      </c>
      <c r="L48" s="208" t="e">
        <f t="shared" ref="L48" si="41">J48+K48</f>
        <v>#REF!</v>
      </c>
      <c r="M48" s="209" t="e">
        <f>L48/A48</f>
        <v>#REF!</v>
      </c>
    </row>
    <row r="49" spans="1:13" ht="15.75" thickBot="1" x14ac:dyDescent="0.3">
      <c r="A49" s="221"/>
      <c r="B49" s="163" t="s">
        <v>16</v>
      </c>
      <c r="C49" s="167" t="e">
        <f>1.96*SQRT(#REF!)/SQRT(50)</f>
        <v>#REF!</v>
      </c>
      <c r="D49" s="221"/>
      <c r="E49" s="168" t="e">
        <f>1.96*SQRT(#REF!)/SQRT(50)</f>
        <v>#REF!</v>
      </c>
      <c r="F49" s="221"/>
      <c r="G49" s="168" t="e">
        <f>1.96*SQRT(#REF!)/SQRT(50)</f>
        <v>#REF!</v>
      </c>
      <c r="H49" s="222"/>
      <c r="I49" s="223"/>
      <c r="J49" s="167" t="e">
        <f>1.96*SQRT(#REF!)/SQRT(50)</f>
        <v>#REF!</v>
      </c>
      <c r="K49" s="168" t="e">
        <f>1.96*SQRT(#REF!)/SQRT(50)</f>
        <v>#REF!</v>
      </c>
      <c r="L49" s="222"/>
      <c r="M49" s="223"/>
    </row>
    <row r="50" spans="1:13" ht="15.75" thickBot="1" x14ac:dyDescent="0.3">
      <c r="L50" s="150"/>
    </row>
    <row r="51" spans="1:13" x14ac:dyDescent="0.25">
      <c r="A51" s="212" t="s">
        <v>142</v>
      </c>
      <c r="B51" s="213"/>
      <c r="C51" s="216" t="s">
        <v>25</v>
      </c>
      <c r="D51" s="237"/>
      <c r="E51" s="211"/>
      <c r="F51" s="211"/>
      <c r="G51" s="211"/>
      <c r="H51" s="217"/>
      <c r="I51" s="218"/>
      <c r="J51" s="216" t="s">
        <v>28</v>
      </c>
      <c r="K51" s="211"/>
      <c r="L51" s="217"/>
      <c r="M51" s="218"/>
    </row>
    <row r="52" spans="1:13" ht="15.75" thickBot="1" x14ac:dyDescent="0.3">
      <c r="A52" s="214"/>
      <c r="B52" s="215"/>
      <c r="C52" s="157" t="s">
        <v>98</v>
      </c>
      <c r="D52" s="172"/>
      <c r="E52" s="158" t="s">
        <v>99</v>
      </c>
      <c r="F52" s="172"/>
      <c r="G52" s="158" t="s">
        <v>100</v>
      </c>
      <c r="H52" s="158" t="s">
        <v>101</v>
      </c>
      <c r="I52" s="159" t="s">
        <v>143</v>
      </c>
      <c r="J52" s="157" t="s">
        <v>141</v>
      </c>
      <c r="K52" s="158" t="s">
        <v>99</v>
      </c>
      <c r="L52" s="158" t="s">
        <v>101</v>
      </c>
      <c r="M52" s="159" t="s">
        <v>143</v>
      </c>
    </row>
    <row r="53" spans="1:13" x14ac:dyDescent="0.25">
      <c r="A53" s="219">
        <v>500</v>
      </c>
      <c r="B53" s="160" t="s">
        <v>0</v>
      </c>
      <c r="C53" s="161">
        <v>4.0989730000000009</v>
      </c>
      <c r="D53" s="219">
        <v>500</v>
      </c>
      <c r="E53" s="154">
        <v>335.47283000000004</v>
      </c>
      <c r="F53" s="219">
        <v>500</v>
      </c>
      <c r="G53" s="154">
        <v>152.327305</v>
      </c>
      <c r="H53" s="211">
        <f>SUM(C53:G53)</f>
        <v>1491.8991080000001</v>
      </c>
      <c r="I53" s="220">
        <f>H53/A53</f>
        <v>2.9837982160000003</v>
      </c>
      <c r="J53" s="161">
        <v>153.991873</v>
      </c>
      <c r="K53" s="154">
        <v>335.53663699999998</v>
      </c>
      <c r="L53" s="211">
        <f>J53+K53</f>
        <v>489.52850999999998</v>
      </c>
      <c r="M53" s="220">
        <f>L53/A53</f>
        <v>0.97905701999999994</v>
      </c>
    </row>
    <row r="54" spans="1:13" x14ac:dyDescent="0.25">
      <c r="A54" s="207"/>
      <c r="B54" s="153" t="s">
        <v>16</v>
      </c>
      <c r="C54" s="166">
        <v>3.1497999999999998E-2</v>
      </c>
      <c r="D54" s="207"/>
      <c r="E54" s="130">
        <v>3.0679000000000001E-2</v>
      </c>
      <c r="F54" s="207"/>
      <c r="G54" s="130">
        <v>9.2169999999999995E-3</v>
      </c>
      <c r="H54" s="187"/>
      <c r="I54" s="210"/>
      <c r="J54" s="166">
        <v>6.3611000000000001E-2</v>
      </c>
      <c r="K54" s="130">
        <v>2.2013999999999999E-2</v>
      </c>
      <c r="L54" s="187"/>
      <c r="M54" s="210"/>
    </row>
    <row r="55" spans="1:13" x14ac:dyDescent="0.25">
      <c r="A55" s="207">
        <v>1000</v>
      </c>
      <c r="B55" s="153" t="s">
        <v>0</v>
      </c>
      <c r="C55" s="155">
        <v>4.3214289999999664</v>
      </c>
      <c r="D55" s="207">
        <v>1000</v>
      </c>
      <c r="E55" s="152">
        <v>633.51590499999998</v>
      </c>
      <c r="F55" s="207">
        <v>1000</v>
      </c>
      <c r="G55" s="152">
        <v>302.04636199999999</v>
      </c>
      <c r="H55" s="208">
        <f t="shared" ref="H55" si="42">SUM(C55:G55)</f>
        <v>2939.8836959999999</v>
      </c>
      <c r="I55" s="209">
        <f>H55/A55</f>
        <v>2.9398836959999999</v>
      </c>
      <c r="J55" s="155">
        <v>304.07807500000001</v>
      </c>
      <c r="K55" s="152">
        <v>633.67819599999996</v>
      </c>
      <c r="L55" s="208">
        <f>J55+K55</f>
        <v>937.75627099999997</v>
      </c>
      <c r="M55" s="209">
        <f>L55/A55</f>
        <v>0.93775627099999992</v>
      </c>
    </row>
    <row r="56" spans="1:13" x14ac:dyDescent="0.25">
      <c r="A56" s="207"/>
      <c r="B56" s="153" t="s">
        <v>16</v>
      </c>
      <c r="C56" s="166">
        <v>2.5194999999999999E-2</v>
      </c>
      <c r="D56" s="207"/>
      <c r="E56" s="130">
        <v>2.6970999999999998E-2</v>
      </c>
      <c r="F56" s="207"/>
      <c r="G56" s="130">
        <v>1.1063E-2</v>
      </c>
      <c r="H56" s="187"/>
      <c r="I56" s="210"/>
      <c r="J56" s="166">
        <v>0.12034</v>
      </c>
      <c r="K56" s="130">
        <v>1.4385E-2</v>
      </c>
      <c r="L56" s="187"/>
      <c r="M56" s="210"/>
    </row>
    <row r="57" spans="1:13" x14ac:dyDescent="0.25">
      <c r="A57" s="207">
        <v>1500</v>
      </c>
      <c r="B57" s="153" t="s">
        <v>0</v>
      </c>
      <c r="C57" s="155">
        <v>4.3281670000001213</v>
      </c>
      <c r="D57" s="207">
        <v>1500</v>
      </c>
      <c r="E57" s="152">
        <v>935.2325239999999</v>
      </c>
      <c r="F57" s="207">
        <v>1500</v>
      </c>
      <c r="G57" s="152">
        <v>451.69636000000003</v>
      </c>
      <c r="H57" s="208">
        <f t="shared" ref="H57" si="43">SUM(C57:G57)</f>
        <v>4391.2570510000005</v>
      </c>
      <c r="I57" s="209">
        <f>H57/A57</f>
        <v>2.9275047006666668</v>
      </c>
      <c r="J57" s="155">
        <v>453.71775600000001</v>
      </c>
      <c r="K57" s="152">
        <v>935.33049400000004</v>
      </c>
      <c r="L57" s="208">
        <f t="shared" ref="L57" si="44">J57+K57</f>
        <v>1389.0482500000001</v>
      </c>
      <c r="M57" s="209">
        <f>L57/A57</f>
        <v>0.92603216666666666</v>
      </c>
    </row>
    <row r="58" spans="1:13" x14ac:dyDescent="0.25">
      <c r="A58" s="207"/>
      <c r="B58" s="153" t="s">
        <v>16</v>
      </c>
      <c r="C58" s="166">
        <v>4.2027000000000002E-2</v>
      </c>
      <c r="D58" s="207"/>
      <c r="E58" s="130">
        <v>4.4118999999999998E-2</v>
      </c>
      <c r="F58" s="207"/>
      <c r="G58" s="130">
        <v>2.6335999999999998E-2</v>
      </c>
      <c r="H58" s="187"/>
      <c r="I58" s="210"/>
      <c r="J58" s="166">
        <v>0.22099199999999999</v>
      </c>
      <c r="K58" s="130">
        <v>9.4565999999999997E-2</v>
      </c>
      <c r="L58" s="187"/>
      <c r="M58" s="210"/>
    </row>
    <row r="59" spans="1:13" x14ac:dyDescent="0.25">
      <c r="A59" s="207">
        <v>2000</v>
      </c>
      <c r="B59" s="153" t="s">
        <v>0</v>
      </c>
      <c r="C59" s="155">
        <v>4.0978590000001986</v>
      </c>
      <c r="D59" s="207">
        <v>2000</v>
      </c>
      <c r="E59" s="152">
        <v>1237.6741299999999</v>
      </c>
      <c r="F59" s="207">
        <v>2000</v>
      </c>
      <c r="G59" s="152">
        <v>602.11373400000002</v>
      </c>
      <c r="H59" s="208">
        <f t="shared" ref="H59" si="45">SUM(C59:G59)</f>
        <v>5843.8857229999994</v>
      </c>
      <c r="I59" s="209">
        <f>H59/A59</f>
        <v>2.9219428614999998</v>
      </c>
      <c r="J59" s="155">
        <v>603.93329300000005</v>
      </c>
      <c r="K59" s="152">
        <v>1237.5205619999999</v>
      </c>
      <c r="L59" s="208">
        <f t="shared" ref="L59" si="46">J59+K59</f>
        <v>1841.453855</v>
      </c>
      <c r="M59" s="209">
        <f>L59/A59</f>
        <v>0.92072692749999996</v>
      </c>
    </row>
    <row r="60" spans="1:13" x14ac:dyDescent="0.25">
      <c r="A60" s="207"/>
      <c r="B60" s="153" t="s">
        <v>16</v>
      </c>
      <c r="C60" s="166">
        <v>8.4698999999999997E-2</v>
      </c>
      <c r="D60" s="207"/>
      <c r="E60" s="130">
        <v>9.4238000000000002E-2</v>
      </c>
      <c r="F60" s="207"/>
      <c r="G60" s="130">
        <v>9.6852999999999995E-2</v>
      </c>
      <c r="H60" s="187"/>
      <c r="I60" s="210"/>
      <c r="J60" s="166">
        <v>0.247642</v>
      </c>
      <c r="K60" s="130">
        <v>2.4025000000000001E-2</v>
      </c>
      <c r="L60" s="187"/>
      <c r="M60" s="210"/>
    </row>
    <row r="61" spans="1:13" x14ac:dyDescent="0.25">
      <c r="A61" s="207">
        <v>2500</v>
      </c>
      <c r="B61" s="153" t="s">
        <v>0</v>
      </c>
      <c r="C61" s="155">
        <v>4.1816549999998642</v>
      </c>
      <c r="D61" s="207">
        <v>2500</v>
      </c>
      <c r="E61" s="152">
        <v>1539.9342810000001</v>
      </c>
      <c r="F61" s="207">
        <v>2500</v>
      </c>
      <c r="G61" s="152">
        <v>751.12904400000002</v>
      </c>
      <c r="H61" s="208">
        <f t="shared" ref="H61" si="47">SUM(C61:G61)</f>
        <v>7295.2449800000004</v>
      </c>
      <c r="I61" s="209">
        <f>H61/A61</f>
        <v>2.9180979920000003</v>
      </c>
      <c r="J61" s="155">
        <v>754.00015799999983</v>
      </c>
      <c r="K61" s="152">
        <v>1539.732078</v>
      </c>
      <c r="L61" s="208">
        <f t="shared" ref="L61" si="48">J61+K61</f>
        <v>2293.7322359999998</v>
      </c>
      <c r="M61" s="209">
        <f>L61/A61</f>
        <v>0.91749289439999993</v>
      </c>
    </row>
    <row r="62" spans="1:13" x14ac:dyDescent="0.25">
      <c r="A62" s="207"/>
      <c r="B62" s="153" t="s">
        <v>16</v>
      </c>
      <c r="C62" s="166">
        <v>0.14214199999999999</v>
      </c>
      <c r="D62" s="207"/>
      <c r="E62" s="130">
        <v>0.135353</v>
      </c>
      <c r="F62" s="207"/>
      <c r="G62" s="130">
        <v>0.110169</v>
      </c>
      <c r="H62" s="187"/>
      <c r="I62" s="210"/>
      <c r="J62" s="166">
        <v>0.21343799999999999</v>
      </c>
      <c r="K62" s="130">
        <v>2.7470999999999999E-2</v>
      </c>
      <c r="L62" s="187"/>
      <c r="M62" s="210"/>
    </row>
    <row r="63" spans="1:13" x14ac:dyDescent="0.25">
      <c r="A63" s="207">
        <v>3000</v>
      </c>
      <c r="B63" s="153" t="s">
        <v>0</v>
      </c>
      <c r="C63" s="155">
        <v>4.2791790000001129</v>
      </c>
      <c r="D63" s="207">
        <v>3000</v>
      </c>
      <c r="E63" s="152">
        <v>1842.1504109999998</v>
      </c>
      <c r="F63" s="207">
        <v>3000</v>
      </c>
      <c r="G63" s="152">
        <v>902.63273400000003</v>
      </c>
      <c r="H63" s="208">
        <f t="shared" ref="H63" si="49">SUM(C63:G63)</f>
        <v>8749.0623240000004</v>
      </c>
      <c r="I63" s="209">
        <f>H63/A63</f>
        <v>2.9163541080000002</v>
      </c>
      <c r="J63" s="155">
        <v>904.94962900000019</v>
      </c>
      <c r="K63" s="152">
        <v>1841.907588</v>
      </c>
      <c r="L63" s="208">
        <f t="shared" ref="L63" si="50">J63+K63</f>
        <v>2746.8572170000002</v>
      </c>
      <c r="M63" s="209">
        <f>L63/A63</f>
        <v>0.91561907233333339</v>
      </c>
    </row>
    <row r="64" spans="1:13" x14ac:dyDescent="0.25">
      <c r="A64" s="207"/>
      <c r="B64" s="153" t="s">
        <v>16</v>
      </c>
      <c r="C64" s="166">
        <v>0.331623</v>
      </c>
      <c r="D64" s="207"/>
      <c r="E64" s="130">
        <v>0.32773000000000002</v>
      </c>
      <c r="F64" s="207"/>
      <c r="G64" s="130">
        <v>8.2810999999999996E-2</v>
      </c>
      <c r="H64" s="187"/>
      <c r="I64" s="210"/>
      <c r="J64" s="166">
        <v>0.439253</v>
      </c>
      <c r="K64" s="130">
        <v>9.0760999999999994E-2</v>
      </c>
      <c r="L64" s="187"/>
      <c r="M64" s="210"/>
    </row>
    <row r="65" spans="1:13" x14ac:dyDescent="0.25">
      <c r="A65" s="207">
        <v>3500</v>
      </c>
      <c r="B65" s="153" t="s">
        <v>0</v>
      </c>
      <c r="C65" s="155">
        <v>4.4479929999997694</v>
      </c>
      <c r="D65" s="207">
        <v>3500</v>
      </c>
      <c r="E65" s="152">
        <v>2145.6467890000004</v>
      </c>
      <c r="F65" s="207">
        <v>3500</v>
      </c>
      <c r="G65" s="152">
        <v>1052.374783</v>
      </c>
      <c r="H65" s="208">
        <f t="shared" ref="H65" si="51">SUM(C65:G65)</f>
        <v>10202.469564999999</v>
      </c>
      <c r="I65" s="209">
        <f>H65/A65</f>
        <v>2.9149913042857141</v>
      </c>
      <c r="J65" s="155">
        <v>1054.7736129999998</v>
      </c>
      <c r="K65" s="152">
        <v>2145.446758</v>
      </c>
      <c r="L65" s="208">
        <f t="shared" ref="L65" si="52">J65+K65</f>
        <v>3200.2203709999999</v>
      </c>
      <c r="M65" s="209">
        <f>L65/A65</f>
        <v>0.9143486774285714</v>
      </c>
    </row>
    <row r="66" spans="1:13" ht="15.75" thickBot="1" x14ac:dyDescent="0.3">
      <c r="A66" s="221"/>
      <c r="B66" s="163" t="s">
        <v>16</v>
      </c>
      <c r="C66" s="167">
        <v>0.37524200000000002</v>
      </c>
      <c r="D66" s="221"/>
      <c r="E66" s="168">
        <v>0.372197</v>
      </c>
      <c r="F66" s="221"/>
      <c r="G66" s="168">
        <v>0.14357700000000001</v>
      </c>
      <c r="H66" s="222"/>
      <c r="I66" s="223"/>
      <c r="J66" s="167">
        <v>0.250222</v>
      </c>
      <c r="K66" s="168">
        <v>3.8566000000000003E-2</v>
      </c>
      <c r="L66" s="222"/>
      <c r="M66" s="223"/>
    </row>
    <row r="67" spans="1:13" ht="15.75" thickBot="1" x14ac:dyDescent="0.3">
      <c r="I67" s="151"/>
      <c r="L67" s="150"/>
      <c r="M67" s="151"/>
    </row>
    <row r="68" spans="1:13" x14ac:dyDescent="0.25">
      <c r="A68" s="212" t="s">
        <v>142</v>
      </c>
      <c r="B68" s="213"/>
      <c r="C68" s="216" t="s">
        <v>25</v>
      </c>
      <c r="D68" s="237"/>
      <c r="E68" s="211"/>
      <c r="F68" s="211"/>
      <c r="G68" s="211"/>
      <c r="H68" s="217"/>
      <c r="I68" s="218"/>
      <c r="J68" s="216" t="s">
        <v>28</v>
      </c>
      <c r="K68" s="211"/>
      <c r="L68" s="217"/>
      <c r="M68" s="218"/>
    </row>
    <row r="69" spans="1:13" ht="15.75" thickBot="1" x14ac:dyDescent="0.3">
      <c r="A69" s="214"/>
      <c r="B69" s="215"/>
      <c r="C69" s="157" t="s">
        <v>98</v>
      </c>
      <c r="D69" s="172"/>
      <c r="E69" s="158" t="s">
        <v>99</v>
      </c>
      <c r="F69" s="172"/>
      <c r="G69" s="158" t="s">
        <v>100</v>
      </c>
      <c r="H69" s="158" t="s">
        <v>101</v>
      </c>
      <c r="I69" s="159" t="s">
        <v>143</v>
      </c>
      <c r="J69" s="157" t="s">
        <v>141</v>
      </c>
      <c r="K69" s="158" t="s">
        <v>99</v>
      </c>
      <c r="L69" s="158" t="s">
        <v>101</v>
      </c>
      <c r="M69" s="159" t="s">
        <v>143</v>
      </c>
    </row>
    <row r="70" spans="1:13" x14ac:dyDescent="0.25">
      <c r="A70" s="219">
        <v>500</v>
      </c>
      <c r="B70" s="160" t="s">
        <v>0</v>
      </c>
      <c r="C70" s="161">
        <v>4.0989730000000009</v>
      </c>
      <c r="D70" s="219">
        <v>500</v>
      </c>
      <c r="E70" s="154">
        <v>335.47283000000004</v>
      </c>
      <c r="F70" s="219">
        <v>500</v>
      </c>
      <c r="G70" s="154">
        <v>152.327305</v>
      </c>
      <c r="H70" s="211">
        <v>491.89910800000007</v>
      </c>
      <c r="I70" s="220">
        <v>0.98379821600000017</v>
      </c>
      <c r="J70" s="161">
        <v>153.991873</v>
      </c>
      <c r="K70" s="154">
        <v>335.53663699999998</v>
      </c>
      <c r="L70" s="211">
        <v>489.52850999999998</v>
      </c>
      <c r="M70" s="220">
        <v>0.97905701999999994</v>
      </c>
    </row>
    <row r="71" spans="1:13" x14ac:dyDescent="0.25">
      <c r="A71" s="207"/>
      <c r="B71" s="153" t="s">
        <v>16</v>
      </c>
      <c r="C71" s="166">
        <f>1.96*SQRT(C54)/SQRT(50)</f>
        <v>4.9194047770030065E-2</v>
      </c>
      <c r="D71" s="207"/>
      <c r="E71" s="130">
        <f t="shared" ref="E71:G71" si="53">1.96*SQRT(E54)/SQRT(50)</f>
        <v>4.8550272172254612E-2</v>
      </c>
      <c r="F71" s="207"/>
      <c r="G71" s="130">
        <f t="shared" si="53"/>
        <v>2.6611286026796976E-2</v>
      </c>
      <c r="H71" s="187"/>
      <c r="I71" s="210"/>
      <c r="J71" s="166">
        <f t="shared" ref="J71:K71" si="54">1.96*SQRT(J54)/SQRT(50)</f>
        <v>6.9909658502956509E-2</v>
      </c>
      <c r="K71" s="130">
        <f t="shared" si="54"/>
        <v>4.1126386274507508E-2</v>
      </c>
      <c r="L71" s="187"/>
      <c r="M71" s="210"/>
    </row>
    <row r="72" spans="1:13" x14ac:dyDescent="0.25">
      <c r="A72" s="207">
        <v>1000</v>
      </c>
      <c r="B72" s="153" t="s">
        <v>0</v>
      </c>
      <c r="C72" s="155">
        <v>4.3214289999999664</v>
      </c>
      <c r="D72" s="207">
        <v>1000</v>
      </c>
      <c r="E72" s="152">
        <v>633.51590499999998</v>
      </c>
      <c r="F72" s="207">
        <v>1000</v>
      </c>
      <c r="G72" s="152">
        <v>302.04636199999999</v>
      </c>
      <c r="H72" s="208">
        <v>939.88369599999987</v>
      </c>
      <c r="I72" s="209">
        <v>0.93988369599999988</v>
      </c>
      <c r="J72" s="155">
        <v>304.07807500000001</v>
      </c>
      <c r="K72" s="152">
        <v>633.67819599999996</v>
      </c>
      <c r="L72" s="208">
        <v>937.75627099999997</v>
      </c>
      <c r="M72" s="209">
        <v>0.93775627099999992</v>
      </c>
    </row>
    <row r="73" spans="1:13" x14ac:dyDescent="0.25">
      <c r="A73" s="207"/>
      <c r="B73" s="153" t="s">
        <v>16</v>
      </c>
      <c r="C73" s="166">
        <f>1.96*SQRT(C56)/SQRT(50)</f>
        <v>4.3997525384957735E-2</v>
      </c>
      <c r="D73" s="207"/>
      <c r="E73" s="130">
        <f t="shared" ref="E73:G73" si="55">1.96*SQRT(E56)/SQRT(50)</f>
        <v>4.5521817538406784E-2</v>
      </c>
      <c r="F73" s="207"/>
      <c r="G73" s="130">
        <f t="shared" si="55"/>
        <v>2.9154629409409407E-2</v>
      </c>
      <c r="H73" s="187"/>
      <c r="I73" s="210"/>
      <c r="J73" s="166">
        <f t="shared" ref="J73:K73" si="56">1.96*SQRT(J56)/SQRT(50)</f>
        <v>9.6155930030341855E-2</v>
      </c>
      <c r="K73" s="130">
        <f t="shared" si="56"/>
        <v>3.3244974357036279E-2</v>
      </c>
      <c r="L73" s="187"/>
      <c r="M73" s="210"/>
    </row>
    <row r="74" spans="1:13" x14ac:dyDescent="0.25">
      <c r="A74" s="207">
        <v>1500</v>
      </c>
      <c r="B74" s="153" t="s">
        <v>0</v>
      </c>
      <c r="C74" s="155">
        <v>4.3281670000001213</v>
      </c>
      <c r="D74" s="207">
        <v>1500</v>
      </c>
      <c r="E74" s="152">
        <v>935.2325239999999</v>
      </c>
      <c r="F74" s="207">
        <v>1500</v>
      </c>
      <c r="G74" s="152">
        <v>451.69636000000003</v>
      </c>
      <c r="H74" s="208">
        <v>1391.257051</v>
      </c>
      <c r="I74" s="209">
        <v>0.92750470066666668</v>
      </c>
      <c r="J74" s="155">
        <v>453.71775600000001</v>
      </c>
      <c r="K74" s="152">
        <v>935.33049400000004</v>
      </c>
      <c r="L74" s="208">
        <v>1389.0482500000001</v>
      </c>
      <c r="M74" s="209">
        <v>0.92603216666666666</v>
      </c>
    </row>
    <row r="75" spans="1:13" x14ac:dyDescent="0.25">
      <c r="A75" s="207"/>
      <c r="B75" s="153" t="s">
        <v>16</v>
      </c>
      <c r="C75" s="166">
        <f>1.96*SQRT(C58)/SQRT(50)</f>
        <v>5.6824453046201859E-2</v>
      </c>
      <c r="D75" s="207"/>
      <c r="E75" s="130">
        <f t="shared" ref="E75:G75" si="57">1.96*SQRT(E58)/SQRT(50)</f>
        <v>5.8221568237209136E-2</v>
      </c>
      <c r="F75" s="207"/>
      <c r="G75" s="130">
        <f t="shared" si="57"/>
        <v>4.4982747270481377E-2</v>
      </c>
      <c r="H75" s="187"/>
      <c r="I75" s="210"/>
      <c r="J75" s="166">
        <f t="shared" ref="J75:K75" si="58">1.96*SQRT(J58)/SQRT(50)</f>
        <v>0.13030447937043452</v>
      </c>
      <c r="K75" s="130">
        <f t="shared" si="58"/>
        <v>8.523904570089931E-2</v>
      </c>
      <c r="L75" s="187"/>
      <c r="M75" s="210"/>
    </row>
    <row r="76" spans="1:13" x14ac:dyDescent="0.25">
      <c r="A76" s="207">
        <v>2000</v>
      </c>
      <c r="B76" s="153" t="s">
        <v>0</v>
      </c>
      <c r="C76" s="155">
        <v>4.0978590000001986</v>
      </c>
      <c r="D76" s="207">
        <v>2000</v>
      </c>
      <c r="E76" s="152">
        <v>1237.6741299999999</v>
      </c>
      <c r="F76" s="207">
        <v>2000</v>
      </c>
      <c r="G76" s="152">
        <v>602.11373400000002</v>
      </c>
      <c r="H76" s="208">
        <v>1843.8857230000001</v>
      </c>
      <c r="I76" s="209">
        <v>0.92194286150000004</v>
      </c>
      <c r="J76" s="155">
        <v>603.93329300000005</v>
      </c>
      <c r="K76" s="152">
        <v>1237.5205619999999</v>
      </c>
      <c r="L76" s="208">
        <v>1841.453855</v>
      </c>
      <c r="M76" s="209">
        <v>0.92072692749999996</v>
      </c>
    </row>
    <row r="77" spans="1:13" x14ac:dyDescent="0.25">
      <c r="A77" s="207"/>
      <c r="B77" s="153" t="s">
        <v>16</v>
      </c>
      <c r="C77" s="166">
        <f>1.96*SQRT(C60)/SQRT(50)</f>
        <v>8.0669657046500448E-2</v>
      </c>
      <c r="D77" s="207"/>
      <c r="E77" s="130">
        <f t="shared" ref="E77:G77" si="59">1.96*SQRT(E60)/SQRT(50)</f>
        <v>8.5091092459786882E-2</v>
      </c>
      <c r="F77" s="207"/>
      <c r="G77" s="130">
        <f t="shared" si="59"/>
        <v>8.6263605860177214E-2</v>
      </c>
      <c r="H77" s="187"/>
      <c r="I77" s="210"/>
      <c r="J77" s="166">
        <f t="shared" ref="J77:K77" si="60">1.96*SQRT(J60)/SQRT(50)</f>
        <v>0.13793777634861307</v>
      </c>
      <c r="K77" s="130">
        <f t="shared" si="60"/>
        <v>4.2963808024894627E-2</v>
      </c>
      <c r="L77" s="187"/>
      <c r="M77" s="210"/>
    </row>
    <row r="78" spans="1:13" x14ac:dyDescent="0.25">
      <c r="A78" s="207">
        <v>2500</v>
      </c>
      <c r="B78" s="153" t="s">
        <v>0</v>
      </c>
      <c r="C78" s="155">
        <v>4.1816549999998642</v>
      </c>
      <c r="D78" s="207">
        <v>2500</v>
      </c>
      <c r="E78" s="152">
        <v>1539.9342810000001</v>
      </c>
      <c r="F78" s="207">
        <v>2500</v>
      </c>
      <c r="G78" s="152">
        <v>751.12904400000002</v>
      </c>
      <c r="H78" s="208">
        <v>2295.2449799999999</v>
      </c>
      <c r="I78" s="209">
        <v>0.91809799199999997</v>
      </c>
      <c r="J78" s="155">
        <v>754.00015799999983</v>
      </c>
      <c r="K78" s="152">
        <v>1539.732078</v>
      </c>
      <c r="L78" s="208">
        <v>2293.7322359999998</v>
      </c>
      <c r="M78" s="209">
        <v>0.91749289439999993</v>
      </c>
    </row>
    <row r="79" spans="1:13" x14ac:dyDescent="0.25">
      <c r="A79" s="207"/>
      <c r="B79" s="153" t="s">
        <v>16</v>
      </c>
      <c r="C79" s="166">
        <f>1.96*SQRT(C62)/SQRT(50)</f>
        <v>0.10450384750811809</v>
      </c>
      <c r="D79" s="207"/>
      <c r="E79" s="130">
        <f t="shared" ref="E79:G79" si="61">1.96*SQRT(E62)/SQRT(50)</f>
        <v>0.10197765292455009</v>
      </c>
      <c r="F79" s="207"/>
      <c r="G79" s="130">
        <f t="shared" si="61"/>
        <v>9.2002742393909098E-2</v>
      </c>
      <c r="H79" s="187"/>
      <c r="I79" s="210"/>
      <c r="J79" s="166">
        <f t="shared" ref="J79:K79" si="62">1.96*SQRT(J62)/SQRT(50)</f>
        <v>0.128058066579189</v>
      </c>
      <c r="K79" s="130">
        <f t="shared" si="62"/>
        <v>4.594183139579875E-2</v>
      </c>
      <c r="L79" s="187"/>
      <c r="M79" s="210"/>
    </row>
    <row r="80" spans="1:13" x14ac:dyDescent="0.25">
      <c r="A80" s="207">
        <v>3000</v>
      </c>
      <c r="B80" s="153" t="s">
        <v>0</v>
      </c>
      <c r="C80" s="155">
        <v>4.2791790000001129</v>
      </c>
      <c r="D80" s="207">
        <v>3000</v>
      </c>
      <c r="E80" s="152">
        <v>1842.1504109999998</v>
      </c>
      <c r="F80" s="207">
        <v>3000</v>
      </c>
      <c r="G80" s="152">
        <v>902.63273400000003</v>
      </c>
      <c r="H80" s="208">
        <v>2749.062324</v>
      </c>
      <c r="I80" s="209">
        <v>0.91635410799999995</v>
      </c>
      <c r="J80" s="155">
        <v>904.94962900000019</v>
      </c>
      <c r="K80" s="152">
        <v>1841.907588</v>
      </c>
      <c r="L80" s="208">
        <v>2746.8572170000002</v>
      </c>
      <c r="M80" s="209">
        <v>0.91561907233333339</v>
      </c>
    </row>
    <row r="81" spans="1:13" x14ac:dyDescent="0.25">
      <c r="A81" s="207"/>
      <c r="B81" s="153" t="s">
        <v>16</v>
      </c>
      <c r="C81" s="166">
        <f>1.96*SQRT(C64)/SQRT(50)</f>
        <v>0.15962223634569214</v>
      </c>
      <c r="D81" s="207"/>
      <c r="E81" s="130">
        <f t="shared" ref="E81:G81" si="63">1.96*SQRT(E64)/SQRT(50)</f>
        <v>0.15868254900901987</v>
      </c>
      <c r="F81" s="207"/>
      <c r="G81" s="130">
        <f t="shared" si="63"/>
        <v>7.9765498506559826E-2</v>
      </c>
      <c r="H81" s="187"/>
      <c r="I81" s="210"/>
      <c r="J81" s="166">
        <f t="shared" ref="J81:K81" si="64">1.96*SQRT(J64)/SQRT(50)</f>
        <v>0.18370815576887162</v>
      </c>
      <c r="K81" s="130">
        <f t="shared" si="64"/>
        <v>8.350658148912575E-2</v>
      </c>
      <c r="L81" s="187"/>
      <c r="M81" s="210"/>
    </row>
    <row r="82" spans="1:13" x14ac:dyDescent="0.25">
      <c r="A82" s="207">
        <v>3500</v>
      </c>
      <c r="B82" s="153" t="s">
        <v>0</v>
      </c>
      <c r="C82" s="155">
        <v>4.4479929999997694</v>
      </c>
      <c r="D82" s="207">
        <v>3500</v>
      </c>
      <c r="E82" s="152">
        <v>2145.6467890000004</v>
      </c>
      <c r="F82" s="207">
        <v>3500</v>
      </c>
      <c r="G82" s="152">
        <v>1052.374783</v>
      </c>
      <c r="H82" s="208">
        <v>3202.4695650000003</v>
      </c>
      <c r="I82" s="209">
        <v>0.9149913042857144</v>
      </c>
      <c r="J82" s="155">
        <v>1054.7736129999998</v>
      </c>
      <c r="K82" s="152">
        <v>2145.446758</v>
      </c>
      <c r="L82" s="208">
        <v>3200.2203709999999</v>
      </c>
      <c r="M82" s="209">
        <v>0.9143486774285714</v>
      </c>
    </row>
    <row r="83" spans="1:13" ht="15.75" thickBot="1" x14ac:dyDescent="0.3">
      <c r="A83" s="221"/>
      <c r="B83" s="163" t="s">
        <v>16</v>
      </c>
      <c r="C83" s="167">
        <f>1.96*SQRT(C66)/SQRT(50)</f>
        <v>0.16979574006434911</v>
      </c>
      <c r="D83" s="221"/>
      <c r="E83" s="168">
        <f t="shared" ref="E83:G83" si="65">1.96*SQRT(E66)/SQRT(50)</f>
        <v>0.16910541062899198</v>
      </c>
      <c r="F83" s="221"/>
      <c r="G83" s="168">
        <f t="shared" si="65"/>
        <v>0.10503003410453603</v>
      </c>
      <c r="H83" s="222"/>
      <c r="I83" s="223"/>
      <c r="J83" s="167">
        <f t="shared" ref="J83:K83" si="66">1.96*SQRT(J66)/SQRT(50)</f>
        <v>0.13865445071832352</v>
      </c>
      <c r="K83" s="168">
        <f t="shared" si="66"/>
        <v>5.443439089399274E-2</v>
      </c>
      <c r="L83" s="222"/>
      <c r="M83" s="223"/>
    </row>
  </sheetData>
  <mergeCells count="215">
    <mergeCell ref="F28:F29"/>
    <mergeCell ref="F30:F31"/>
    <mergeCell ref="F32:F33"/>
    <mergeCell ref="F34:F35"/>
    <mergeCell ref="D70:D71"/>
    <mergeCell ref="D72:D73"/>
    <mergeCell ref="D74:D75"/>
    <mergeCell ref="D76:D77"/>
    <mergeCell ref="D78:D79"/>
    <mergeCell ref="D55:D56"/>
    <mergeCell ref="D57:D58"/>
    <mergeCell ref="D34:D35"/>
    <mergeCell ref="D36:D37"/>
    <mergeCell ref="D38:D39"/>
    <mergeCell ref="F53:F54"/>
    <mergeCell ref="F55:F56"/>
    <mergeCell ref="F57:F58"/>
    <mergeCell ref="A32:A33"/>
    <mergeCell ref="H32:H33"/>
    <mergeCell ref="I32:I33"/>
    <mergeCell ref="A82:A83"/>
    <mergeCell ref="H82:H83"/>
    <mergeCell ref="I82:I83"/>
    <mergeCell ref="A65:A66"/>
    <mergeCell ref="H65:H66"/>
    <mergeCell ref="I65:I66"/>
    <mergeCell ref="A57:A58"/>
    <mergeCell ref="H57:H58"/>
    <mergeCell ref="I57:I58"/>
    <mergeCell ref="D61:D62"/>
    <mergeCell ref="D63:D64"/>
    <mergeCell ref="D59:D60"/>
    <mergeCell ref="F82:F83"/>
    <mergeCell ref="F70:F71"/>
    <mergeCell ref="F72:F73"/>
    <mergeCell ref="F74:F75"/>
    <mergeCell ref="D82:D83"/>
    <mergeCell ref="D80:D81"/>
    <mergeCell ref="F80:F81"/>
    <mergeCell ref="D32:D33"/>
    <mergeCell ref="L82:L83"/>
    <mergeCell ref="M82:M83"/>
    <mergeCell ref="D20:D21"/>
    <mergeCell ref="D22:D23"/>
    <mergeCell ref="D24:D25"/>
    <mergeCell ref="D26:D27"/>
    <mergeCell ref="L65:L66"/>
    <mergeCell ref="M65:M66"/>
    <mergeCell ref="L57:L58"/>
    <mergeCell ref="M57:M58"/>
    <mergeCell ref="L48:L49"/>
    <mergeCell ref="M48:M49"/>
    <mergeCell ref="L40:L41"/>
    <mergeCell ref="M40:M41"/>
    <mergeCell ref="F59:F60"/>
    <mergeCell ref="F61:F62"/>
    <mergeCell ref="F63:F64"/>
    <mergeCell ref="H40:H41"/>
    <mergeCell ref="I40:I41"/>
    <mergeCell ref="F20:F21"/>
    <mergeCell ref="F22:F23"/>
    <mergeCell ref="F24:F25"/>
    <mergeCell ref="F26:F27"/>
    <mergeCell ref="A78:A79"/>
    <mergeCell ref="H78:H79"/>
    <mergeCell ref="I78:I79"/>
    <mergeCell ref="L78:L79"/>
    <mergeCell ref="M78:M79"/>
    <mergeCell ref="A80:A81"/>
    <mergeCell ref="H80:H81"/>
    <mergeCell ref="I80:I81"/>
    <mergeCell ref="L80:L81"/>
    <mergeCell ref="M80:M81"/>
    <mergeCell ref="F78:F79"/>
    <mergeCell ref="A74:A75"/>
    <mergeCell ref="H74:H75"/>
    <mergeCell ref="I74:I75"/>
    <mergeCell ref="L74:L75"/>
    <mergeCell ref="M74:M75"/>
    <mergeCell ref="A76:A77"/>
    <mergeCell ref="H76:H77"/>
    <mergeCell ref="I76:I77"/>
    <mergeCell ref="L76:L77"/>
    <mergeCell ref="M76:M77"/>
    <mergeCell ref="F76:F77"/>
    <mergeCell ref="A70:A71"/>
    <mergeCell ref="H70:H71"/>
    <mergeCell ref="I70:I71"/>
    <mergeCell ref="L70:L71"/>
    <mergeCell ref="M70:M71"/>
    <mergeCell ref="A72:A73"/>
    <mergeCell ref="H72:H73"/>
    <mergeCell ref="I72:I73"/>
    <mergeCell ref="L72:L73"/>
    <mergeCell ref="M72:M73"/>
    <mergeCell ref="A68:B69"/>
    <mergeCell ref="C68:I68"/>
    <mergeCell ref="J68:M68"/>
    <mergeCell ref="F65:F66"/>
    <mergeCell ref="A61:A62"/>
    <mergeCell ref="H61:H62"/>
    <mergeCell ref="I61:I62"/>
    <mergeCell ref="L61:L62"/>
    <mergeCell ref="M61:M62"/>
    <mergeCell ref="A63:A64"/>
    <mergeCell ref="H63:H64"/>
    <mergeCell ref="I63:I64"/>
    <mergeCell ref="L63:L64"/>
    <mergeCell ref="M63:M64"/>
    <mergeCell ref="D65:D66"/>
    <mergeCell ref="A59:A60"/>
    <mergeCell ref="H59:H60"/>
    <mergeCell ref="I59:I60"/>
    <mergeCell ref="L59:L60"/>
    <mergeCell ref="M59:M60"/>
    <mergeCell ref="A53:A54"/>
    <mergeCell ref="H53:H54"/>
    <mergeCell ref="I53:I54"/>
    <mergeCell ref="L53:L54"/>
    <mergeCell ref="M53:M54"/>
    <mergeCell ref="A55:A56"/>
    <mergeCell ref="H55:H56"/>
    <mergeCell ref="I55:I56"/>
    <mergeCell ref="L55:L56"/>
    <mergeCell ref="M55:M56"/>
    <mergeCell ref="D53:D54"/>
    <mergeCell ref="A51:B52"/>
    <mergeCell ref="C51:I51"/>
    <mergeCell ref="J51:M51"/>
    <mergeCell ref="F48:F49"/>
    <mergeCell ref="A44:A45"/>
    <mergeCell ref="H44:H45"/>
    <mergeCell ref="I44:I45"/>
    <mergeCell ref="L44:L45"/>
    <mergeCell ref="M44:M45"/>
    <mergeCell ref="A46:A47"/>
    <mergeCell ref="H46:H47"/>
    <mergeCell ref="I46:I47"/>
    <mergeCell ref="L46:L47"/>
    <mergeCell ref="M46:M47"/>
    <mergeCell ref="D44:D45"/>
    <mergeCell ref="D46:D47"/>
    <mergeCell ref="D48:D49"/>
    <mergeCell ref="F44:F45"/>
    <mergeCell ref="F46:F47"/>
    <mergeCell ref="A48:A49"/>
    <mergeCell ref="H48:H49"/>
    <mergeCell ref="I48:I49"/>
    <mergeCell ref="A42:A43"/>
    <mergeCell ref="H42:H43"/>
    <mergeCell ref="I42:I43"/>
    <mergeCell ref="L42:L43"/>
    <mergeCell ref="M42:M43"/>
    <mergeCell ref="A36:A37"/>
    <mergeCell ref="H36:H37"/>
    <mergeCell ref="I36:I37"/>
    <mergeCell ref="L36:L37"/>
    <mergeCell ref="M36:M37"/>
    <mergeCell ref="A38:A39"/>
    <mergeCell ref="H38:H39"/>
    <mergeCell ref="I38:I39"/>
    <mergeCell ref="L38:L39"/>
    <mergeCell ref="M38:M39"/>
    <mergeCell ref="D40:D41"/>
    <mergeCell ref="D42:D43"/>
    <mergeCell ref="F36:F37"/>
    <mergeCell ref="F38:F39"/>
    <mergeCell ref="F40:F41"/>
    <mergeCell ref="F42:F43"/>
    <mergeCell ref="A40:A41"/>
    <mergeCell ref="A26:A27"/>
    <mergeCell ref="H26:H27"/>
    <mergeCell ref="I26:I27"/>
    <mergeCell ref="L26:L27"/>
    <mergeCell ref="M26:M27"/>
    <mergeCell ref="L32:L33"/>
    <mergeCell ref="M32:M33"/>
    <mergeCell ref="A34:A35"/>
    <mergeCell ref="H34:H35"/>
    <mergeCell ref="I34:I35"/>
    <mergeCell ref="L34:L35"/>
    <mergeCell ref="M34:M35"/>
    <mergeCell ref="A28:A29"/>
    <mergeCell ref="H28:H29"/>
    <mergeCell ref="I28:I29"/>
    <mergeCell ref="L28:L29"/>
    <mergeCell ref="M28:M29"/>
    <mergeCell ref="A30:A31"/>
    <mergeCell ref="H30:H31"/>
    <mergeCell ref="I30:I31"/>
    <mergeCell ref="L30:L31"/>
    <mergeCell ref="M30:M31"/>
    <mergeCell ref="D28:D29"/>
    <mergeCell ref="D30:D31"/>
    <mergeCell ref="A22:A23"/>
    <mergeCell ref="H22:H23"/>
    <mergeCell ref="I22:I23"/>
    <mergeCell ref="L22:L23"/>
    <mergeCell ref="M22:M23"/>
    <mergeCell ref="A24:A25"/>
    <mergeCell ref="H24:H25"/>
    <mergeCell ref="I24:I25"/>
    <mergeCell ref="L24:L25"/>
    <mergeCell ref="M24:M25"/>
    <mergeCell ref="A18:B19"/>
    <mergeCell ref="C18:I18"/>
    <mergeCell ref="J18:M18"/>
    <mergeCell ref="A1:B2"/>
    <mergeCell ref="C1:I1"/>
    <mergeCell ref="J1:M1"/>
    <mergeCell ref="A20:A21"/>
    <mergeCell ref="H20:H21"/>
    <mergeCell ref="I20:I21"/>
    <mergeCell ref="L20:L21"/>
    <mergeCell ref="M20:M2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9" sqref="D9"/>
    </sheetView>
  </sheetViews>
  <sheetFormatPr defaultRowHeight="15" x14ac:dyDescent="0.25"/>
  <cols>
    <col min="3" max="3" width="28.28515625" bestFit="1" customWidth="1"/>
  </cols>
  <sheetData>
    <row r="1" spans="1:19" x14ac:dyDescent="0.25">
      <c r="B1">
        <v>1.96</v>
      </c>
      <c r="C1" s="1">
        <v>50</v>
      </c>
      <c r="D1" s="7">
        <v>2</v>
      </c>
      <c r="E1" s="8">
        <v>4</v>
      </c>
      <c r="F1" s="7">
        <v>8</v>
      </c>
      <c r="G1" s="7">
        <v>16</v>
      </c>
      <c r="H1" s="7">
        <v>32</v>
      </c>
      <c r="I1" s="7">
        <v>64</v>
      </c>
      <c r="J1" s="7">
        <v>128</v>
      </c>
      <c r="K1" s="7">
        <v>256</v>
      </c>
      <c r="L1" s="7">
        <v>512</v>
      </c>
      <c r="M1" s="1">
        <f>L1*2</f>
        <v>1024</v>
      </c>
      <c r="N1" s="1">
        <f t="shared" ref="N1:S1" si="0">M1*2</f>
        <v>2048</v>
      </c>
      <c r="O1" s="1">
        <f t="shared" si="0"/>
        <v>4096</v>
      </c>
      <c r="P1" s="1">
        <f t="shared" si="0"/>
        <v>8192</v>
      </c>
      <c r="Q1" s="1">
        <f t="shared" si="0"/>
        <v>16384</v>
      </c>
      <c r="R1" s="1">
        <f t="shared" si="0"/>
        <v>32768</v>
      </c>
      <c r="S1" s="1">
        <f t="shared" si="0"/>
        <v>65536</v>
      </c>
    </row>
    <row r="2" spans="1:19" x14ac:dyDescent="0.25">
      <c r="B2" t="s">
        <v>0</v>
      </c>
      <c r="C2" s="1"/>
      <c r="D2" s="9">
        <v>42</v>
      </c>
      <c r="E2" s="9">
        <v>84</v>
      </c>
      <c r="F2" s="9">
        <v>168</v>
      </c>
      <c r="G2" s="9">
        <v>336</v>
      </c>
      <c r="H2" s="9">
        <v>672</v>
      </c>
      <c r="I2" s="9">
        <v>1344</v>
      </c>
      <c r="J2" s="9">
        <v>2688</v>
      </c>
      <c r="K2" s="9">
        <v>5376</v>
      </c>
      <c r="L2" s="9">
        <v>10752</v>
      </c>
      <c r="M2" s="1">
        <f>L2*2</f>
        <v>21504</v>
      </c>
      <c r="N2" s="1">
        <f t="shared" ref="N2:S2" si="1">M2*2</f>
        <v>43008</v>
      </c>
      <c r="O2" s="1">
        <f t="shared" si="1"/>
        <v>86016</v>
      </c>
      <c r="P2" s="1">
        <f t="shared" si="1"/>
        <v>172032</v>
      </c>
      <c r="Q2" s="1">
        <f t="shared" si="1"/>
        <v>344064</v>
      </c>
      <c r="R2" s="1">
        <f t="shared" si="1"/>
        <v>688128</v>
      </c>
      <c r="S2" s="1">
        <f t="shared" si="1"/>
        <v>1376256</v>
      </c>
    </row>
    <row r="3" spans="1:19" x14ac:dyDescent="0.25">
      <c r="A3">
        <v>1</v>
      </c>
      <c r="C3" s="1" t="s">
        <v>41</v>
      </c>
      <c r="D3" s="10">
        <v>159.48311999999996</v>
      </c>
      <c r="E3" s="10">
        <v>215.39615999999995</v>
      </c>
      <c r="F3" s="10">
        <v>324.62055999999995</v>
      </c>
      <c r="G3" s="10">
        <v>591.91433999999992</v>
      </c>
      <c r="H3" s="10">
        <v>1137.1994000000002</v>
      </c>
      <c r="I3" s="10">
        <v>2089.5517999999997</v>
      </c>
      <c r="J3" s="10">
        <v>3956.9597999999992</v>
      </c>
      <c r="K3" s="10">
        <v>7731.988199999998</v>
      </c>
      <c r="L3" s="10">
        <v>15284.238000000007</v>
      </c>
      <c r="M3" s="10">
        <v>30625.924000000003</v>
      </c>
      <c r="N3" s="10">
        <v>61263.646000000008</v>
      </c>
      <c r="O3" s="10">
        <v>123828.5</v>
      </c>
      <c r="P3" s="10">
        <v>250810.66</v>
      </c>
      <c r="Q3" s="10">
        <v>555231.21999999986</v>
      </c>
      <c r="R3" s="10">
        <v>1008587.7551020408</v>
      </c>
      <c r="S3" s="10">
        <v>2243444.2000000002</v>
      </c>
    </row>
    <row r="4" spans="1:19" x14ac:dyDescent="0.25">
      <c r="C4" s="1" t="s">
        <v>43</v>
      </c>
      <c r="D4" s="10">
        <v>156.28046000000001</v>
      </c>
      <c r="E4" s="10">
        <v>211.75698000000003</v>
      </c>
      <c r="F4" s="10">
        <v>320.85199999999998</v>
      </c>
      <c r="G4" s="10">
        <v>587.37030000000004</v>
      </c>
      <c r="H4" s="10">
        <v>1132.8438000000003</v>
      </c>
      <c r="I4" s="10">
        <v>2086.6380000000008</v>
      </c>
      <c r="J4" s="10">
        <v>3953.7000000000007</v>
      </c>
      <c r="K4" s="10">
        <v>7728.1356000000033</v>
      </c>
      <c r="L4" s="10">
        <v>15259.698</v>
      </c>
      <c r="M4" s="10">
        <v>30576.571999999993</v>
      </c>
      <c r="N4" s="10">
        <v>61194.974000000002</v>
      </c>
      <c r="O4" s="10">
        <v>123858.98</v>
      </c>
      <c r="P4" s="10">
        <v>246706.4</v>
      </c>
      <c r="Q4" s="10">
        <v>519014.88</v>
      </c>
      <c r="R4" s="10">
        <v>985324.20408163266</v>
      </c>
      <c r="S4" s="10">
        <v>2186843.6</v>
      </c>
    </row>
    <row r="5" spans="1:19" x14ac:dyDescent="0.25">
      <c r="C5" s="1" t="s">
        <v>42</v>
      </c>
      <c r="D5" s="10">
        <v>172.38654</v>
      </c>
      <c r="E5" s="10">
        <v>293.99712</v>
      </c>
      <c r="F5" s="10">
        <v>564.55243999999993</v>
      </c>
      <c r="G5" s="10">
        <v>1238.9875999999997</v>
      </c>
      <c r="H5" s="10">
        <v>2646.4046000000003</v>
      </c>
      <c r="I5" s="10">
        <v>5354.9544000000005</v>
      </c>
      <c r="J5" s="10">
        <v>10525.518</v>
      </c>
      <c r="K5" s="10">
        <v>21042.53200000001</v>
      </c>
      <c r="L5" s="10">
        <v>49227.564000000013</v>
      </c>
      <c r="M5" s="10">
        <v>113891.8</v>
      </c>
      <c r="N5" s="10">
        <v>230594.82</v>
      </c>
      <c r="O5" s="10">
        <v>463606.62</v>
      </c>
      <c r="P5" s="10">
        <v>931062.72</v>
      </c>
      <c r="Q5" s="10"/>
      <c r="R5" s="10"/>
      <c r="S5" s="10"/>
    </row>
    <row r="7" spans="1:19" x14ac:dyDescent="0.25">
      <c r="C7" s="1">
        <v>50</v>
      </c>
      <c r="D7" s="7">
        <v>2</v>
      </c>
      <c r="E7" s="8">
        <v>4</v>
      </c>
      <c r="F7" s="7">
        <v>8</v>
      </c>
      <c r="G7" s="7">
        <v>16</v>
      </c>
      <c r="H7" s="7">
        <v>32</v>
      </c>
      <c r="I7" s="7">
        <v>64</v>
      </c>
      <c r="J7" s="7">
        <v>128</v>
      </c>
      <c r="K7" s="7">
        <v>256</v>
      </c>
      <c r="L7" s="7">
        <v>512</v>
      </c>
      <c r="M7" s="1">
        <f>L7*2</f>
        <v>1024</v>
      </c>
      <c r="N7" s="1">
        <f t="shared" ref="N7:N8" si="2">M7*2</f>
        <v>2048</v>
      </c>
      <c r="O7" s="1">
        <f t="shared" ref="O7:O8" si="3">N7*2</f>
        <v>4096</v>
      </c>
      <c r="P7" s="1">
        <f t="shared" ref="P7:P8" si="4">O7*2</f>
        <v>8192</v>
      </c>
      <c r="Q7" s="1">
        <f t="shared" ref="Q7:Q8" si="5">P7*2</f>
        <v>16384</v>
      </c>
      <c r="R7" s="1">
        <f t="shared" ref="R7:R8" si="6">Q7*2</f>
        <v>32768</v>
      </c>
      <c r="S7" s="1">
        <f t="shared" ref="S7:S8" si="7">R7*2</f>
        <v>65536</v>
      </c>
    </row>
    <row r="8" spans="1:19" x14ac:dyDescent="0.25">
      <c r="C8" s="1"/>
      <c r="D8" s="9">
        <v>42</v>
      </c>
      <c r="E8" s="9">
        <v>84</v>
      </c>
      <c r="F8" s="9">
        <v>168</v>
      </c>
      <c r="G8" s="9">
        <v>336</v>
      </c>
      <c r="H8" s="9">
        <v>672</v>
      </c>
      <c r="I8" s="9">
        <v>1344</v>
      </c>
      <c r="J8" s="9">
        <v>2688</v>
      </c>
      <c r="K8" s="9">
        <v>5376</v>
      </c>
      <c r="L8" s="9">
        <v>10752</v>
      </c>
      <c r="M8" s="1">
        <f>L8*2</f>
        <v>21504</v>
      </c>
      <c r="N8" s="1">
        <f t="shared" si="2"/>
        <v>43008</v>
      </c>
      <c r="O8" s="1">
        <f t="shared" si="3"/>
        <v>86016</v>
      </c>
      <c r="P8" s="1">
        <f t="shared" si="4"/>
        <v>172032</v>
      </c>
      <c r="Q8" s="1">
        <f t="shared" si="5"/>
        <v>344064</v>
      </c>
      <c r="R8" s="1">
        <f t="shared" si="6"/>
        <v>688128</v>
      </c>
      <c r="S8" s="1">
        <f t="shared" si="7"/>
        <v>1376256</v>
      </c>
    </row>
    <row r="9" spans="1:19" x14ac:dyDescent="0.25">
      <c r="C9" s="1" t="s">
        <v>41</v>
      </c>
      <c r="D9" s="12">
        <f>D3/D$2</f>
        <v>3.797217142857142</v>
      </c>
      <c r="E9" s="12">
        <f t="shared" ref="E9:S9" si="8">E3/E$2</f>
        <v>2.5642399999999994</v>
      </c>
      <c r="F9" s="12">
        <f t="shared" si="8"/>
        <v>1.9322652380952379</v>
      </c>
      <c r="G9" s="12">
        <f t="shared" si="8"/>
        <v>1.7616498214285712</v>
      </c>
      <c r="H9" s="12">
        <f t="shared" si="8"/>
        <v>1.6922610119047623</v>
      </c>
      <c r="I9" s="12">
        <f t="shared" si="8"/>
        <v>1.5547260416666664</v>
      </c>
      <c r="J9" s="12">
        <f t="shared" si="8"/>
        <v>1.4720832589285711</v>
      </c>
      <c r="K9" s="12">
        <f t="shared" si="8"/>
        <v>1.438241852678571</v>
      </c>
      <c r="L9" s="12">
        <f t="shared" si="8"/>
        <v>1.4215251116071435</v>
      </c>
      <c r="M9" s="12">
        <f t="shared" si="8"/>
        <v>1.4241966145833334</v>
      </c>
      <c r="N9" s="12">
        <f t="shared" si="8"/>
        <v>1.424470935639881</v>
      </c>
      <c r="O9" s="12">
        <f t="shared" si="8"/>
        <v>1.4395984468005953</v>
      </c>
      <c r="P9" s="12">
        <f t="shared" si="8"/>
        <v>1.4579302687872024</v>
      </c>
      <c r="Q9" s="12">
        <f t="shared" si="8"/>
        <v>1.613744012741815</v>
      </c>
      <c r="R9" s="12">
        <f t="shared" si="8"/>
        <v>1.4656978862973762</v>
      </c>
      <c r="S9" s="12">
        <f t="shared" si="8"/>
        <v>1.6301067533947173</v>
      </c>
    </row>
    <row r="10" spans="1:19" x14ac:dyDescent="0.25">
      <c r="C10" s="1" t="s">
        <v>43</v>
      </c>
      <c r="D10" s="12">
        <f t="shared" ref="D10:S11" si="9">D4/D$2</f>
        <v>3.7209633333333336</v>
      </c>
      <c r="E10" s="12">
        <f t="shared" si="9"/>
        <v>2.5209164285714287</v>
      </c>
      <c r="F10" s="12">
        <f t="shared" si="9"/>
        <v>1.9098333333333333</v>
      </c>
      <c r="G10" s="12">
        <f t="shared" si="9"/>
        <v>1.748125892857143</v>
      </c>
      <c r="H10" s="12">
        <f t="shared" si="9"/>
        <v>1.6857794642857147</v>
      </c>
      <c r="I10" s="12">
        <f t="shared" si="9"/>
        <v>1.5525580357142863</v>
      </c>
      <c r="J10" s="12">
        <f t="shared" si="9"/>
        <v>1.4708705357142859</v>
      </c>
      <c r="K10" s="12">
        <f t="shared" si="9"/>
        <v>1.4375252232142863</v>
      </c>
      <c r="L10" s="12">
        <f t="shared" si="9"/>
        <v>1.4192427455357144</v>
      </c>
      <c r="M10" s="12">
        <f t="shared" si="9"/>
        <v>1.4219015997023807</v>
      </c>
      <c r="N10" s="12">
        <f t="shared" si="9"/>
        <v>1.4228742094494049</v>
      </c>
      <c r="O10" s="12">
        <f t="shared" si="9"/>
        <v>1.4399527994791665</v>
      </c>
      <c r="P10" s="12">
        <f t="shared" si="9"/>
        <v>1.4340727306547618</v>
      </c>
      <c r="Q10" s="12">
        <f t="shared" si="9"/>
        <v>1.5084835379464285</v>
      </c>
      <c r="R10" s="12">
        <f t="shared" si="9"/>
        <v>1.4318908750721271</v>
      </c>
      <c r="S10" s="12">
        <f t="shared" si="9"/>
        <v>1.5889802478608632</v>
      </c>
    </row>
    <row r="11" spans="1:19" x14ac:dyDescent="0.25">
      <c r="C11" s="1" t="s">
        <v>42</v>
      </c>
      <c r="D11" s="12">
        <f t="shared" si="9"/>
        <v>4.1044414285714286</v>
      </c>
      <c r="E11" s="12">
        <f t="shared" si="9"/>
        <v>3.4999657142857141</v>
      </c>
      <c r="F11" s="12">
        <f t="shared" si="9"/>
        <v>3.3604311904761901</v>
      </c>
      <c r="G11" s="12">
        <f t="shared" si="9"/>
        <v>3.6874630952380945</v>
      </c>
      <c r="H11" s="12">
        <f t="shared" si="9"/>
        <v>3.9381020833333338</v>
      </c>
      <c r="I11" s="12">
        <f t="shared" si="9"/>
        <v>3.9843410714285716</v>
      </c>
      <c r="J11" s="12">
        <f t="shared" si="9"/>
        <v>3.9157433035714284</v>
      </c>
      <c r="K11" s="12">
        <f t="shared" si="9"/>
        <v>3.9141614583333353</v>
      </c>
      <c r="L11" s="12">
        <f t="shared" si="9"/>
        <v>4.5784564732142865</v>
      </c>
      <c r="M11" s="12">
        <f t="shared" si="9"/>
        <v>5.2963076636904765</v>
      </c>
      <c r="N11" s="12">
        <f t="shared" si="9"/>
        <v>5.3616727120535712</v>
      </c>
      <c r="O11" s="12">
        <f t="shared" si="9"/>
        <v>5.3897719029017859</v>
      </c>
      <c r="P11" s="12">
        <f t="shared" si="9"/>
        <v>5.4121484375</v>
      </c>
      <c r="Q11" s="12"/>
      <c r="R11" s="12"/>
      <c r="S11" s="12"/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zoomScale="71" zoomScaleNormal="145" workbookViewId="0">
      <selection activeCell="C12" sqref="C12:J12"/>
    </sheetView>
  </sheetViews>
  <sheetFormatPr defaultRowHeight="15" x14ac:dyDescent="0.25"/>
  <cols>
    <col min="2" max="2" width="56.28515625" customWidth="1"/>
  </cols>
  <sheetData>
    <row r="2" spans="2:10" ht="15.75" thickBot="1" x14ac:dyDescent="0.3"/>
    <row r="3" spans="2:10" x14ac:dyDescent="0.25">
      <c r="B3" s="51" t="s">
        <v>68</v>
      </c>
      <c r="C3" s="57">
        <v>2</v>
      </c>
      <c r="D3" s="58">
        <v>4</v>
      </c>
      <c r="E3" s="59">
        <v>8</v>
      </c>
      <c r="F3" s="59">
        <v>16</v>
      </c>
      <c r="G3" s="59">
        <v>32</v>
      </c>
      <c r="H3" s="59">
        <v>64</v>
      </c>
      <c r="I3" s="59">
        <v>128</v>
      </c>
      <c r="J3" s="60">
        <v>256</v>
      </c>
    </row>
    <row r="4" spans="2:10" ht="15.75" thickBot="1" x14ac:dyDescent="0.3">
      <c r="B4" s="34" t="s">
        <v>69</v>
      </c>
      <c r="C4" s="61">
        <v>42</v>
      </c>
      <c r="D4" s="62">
        <v>84</v>
      </c>
      <c r="E4" s="62">
        <v>168</v>
      </c>
      <c r="F4" s="62">
        <v>336</v>
      </c>
      <c r="G4" s="62">
        <v>672</v>
      </c>
      <c r="H4" s="62">
        <v>1344</v>
      </c>
      <c r="I4" s="62">
        <v>2688</v>
      </c>
      <c r="J4" s="63">
        <v>5376</v>
      </c>
    </row>
    <row r="5" spans="2:10" ht="30" x14ac:dyDescent="0.25">
      <c r="B5" s="56" t="s">
        <v>85</v>
      </c>
      <c r="C5" s="64">
        <v>3.797217142857142</v>
      </c>
      <c r="D5" s="35">
        <v>2.5642399999999994</v>
      </c>
      <c r="E5" s="35">
        <v>1.9322652380952379</v>
      </c>
      <c r="F5" s="35">
        <v>1.7616498214285712</v>
      </c>
      <c r="G5" s="35">
        <v>1.6922610119047623</v>
      </c>
      <c r="H5" s="35">
        <v>1.5547260416666664</v>
      </c>
      <c r="I5" s="35">
        <v>1.4720832589285711</v>
      </c>
      <c r="J5" s="65">
        <v>1.438241852678571</v>
      </c>
    </row>
    <row r="6" spans="2:10" ht="30" x14ac:dyDescent="0.25">
      <c r="B6" s="52" t="s">
        <v>86</v>
      </c>
      <c r="C6" s="49">
        <v>3.7209633333333336</v>
      </c>
      <c r="D6" s="27">
        <v>2.5209164285714287</v>
      </c>
      <c r="E6" s="27">
        <v>1.9098333333333333</v>
      </c>
      <c r="F6" s="27">
        <v>1.748125892857143</v>
      </c>
      <c r="G6" s="27">
        <v>1.6857794642857147</v>
      </c>
      <c r="H6" s="27">
        <v>1.5525580357142863</v>
      </c>
      <c r="I6" s="27">
        <v>1.4708705357142859</v>
      </c>
      <c r="J6" s="43">
        <v>1.4375252232142863</v>
      </c>
    </row>
    <row r="7" spans="2:10" ht="15.75" thickBot="1" x14ac:dyDescent="0.3">
      <c r="B7" s="34" t="s">
        <v>89</v>
      </c>
      <c r="C7" s="50">
        <v>4.1044414285714286</v>
      </c>
      <c r="D7" s="44">
        <v>3.4999657142857141</v>
      </c>
      <c r="E7" s="44">
        <v>3.3604311904761901</v>
      </c>
      <c r="F7" s="44">
        <v>3.6874630952380945</v>
      </c>
      <c r="G7" s="44">
        <v>3.9381020833333338</v>
      </c>
      <c r="H7" s="44">
        <v>3.9843410714285716</v>
      </c>
      <c r="I7" s="44">
        <v>3.9157433035714284</v>
      </c>
      <c r="J7" s="45">
        <v>3.9141614583333353</v>
      </c>
    </row>
    <row r="8" spans="2:10" ht="15.75" thickBot="1" x14ac:dyDescent="0.3"/>
    <row r="9" spans="2:10" x14ac:dyDescent="0.25">
      <c r="B9" s="51" t="s">
        <v>68</v>
      </c>
      <c r="C9" s="57">
        <v>512</v>
      </c>
      <c r="D9" s="37">
        <v>1024</v>
      </c>
      <c r="E9" s="37">
        <v>2048</v>
      </c>
      <c r="F9" s="37">
        <v>4096</v>
      </c>
      <c r="G9" s="37">
        <v>8192</v>
      </c>
      <c r="H9" s="37">
        <v>16384</v>
      </c>
      <c r="I9" s="37">
        <v>32768</v>
      </c>
      <c r="J9" s="38">
        <v>65536</v>
      </c>
    </row>
    <row r="10" spans="2:10" ht="15.75" thickBot="1" x14ac:dyDescent="0.3">
      <c r="B10" s="34" t="s">
        <v>69</v>
      </c>
      <c r="C10" s="61">
        <v>10752</v>
      </c>
      <c r="D10" s="66">
        <v>21504</v>
      </c>
      <c r="E10" s="66">
        <v>43008</v>
      </c>
      <c r="F10" s="66">
        <v>86016</v>
      </c>
      <c r="G10" s="66">
        <v>172032</v>
      </c>
      <c r="H10" s="66">
        <v>344064</v>
      </c>
      <c r="I10" s="66">
        <v>688128</v>
      </c>
      <c r="J10" s="67">
        <v>1376256</v>
      </c>
    </row>
    <row r="11" spans="2:10" ht="30" x14ac:dyDescent="0.25">
      <c r="B11" s="56" t="s">
        <v>85</v>
      </c>
      <c r="C11" s="64">
        <v>1.4215251116071435</v>
      </c>
      <c r="D11" s="35">
        <v>1.4241966145833334</v>
      </c>
      <c r="E11" s="35">
        <v>1.424470935639881</v>
      </c>
      <c r="F11" s="35">
        <v>1.4395984468005953</v>
      </c>
      <c r="G11" s="35">
        <v>1.4579302687872024</v>
      </c>
      <c r="H11" s="35">
        <v>1.613744012741815</v>
      </c>
      <c r="I11" s="35">
        <v>1.4656978862973762</v>
      </c>
      <c r="J11" s="65">
        <v>1.6301067533947173</v>
      </c>
    </row>
    <row r="12" spans="2:10" ht="30" x14ac:dyDescent="0.25">
      <c r="B12" s="52" t="s">
        <v>86</v>
      </c>
      <c r="C12" s="49">
        <v>1.4192427455357144</v>
      </c>
      <c r="D12" s="27">
        <v>1.4219015997023807</v>
      </c>
      <c r="E12" s="27">
        <v>1.4228742094494049</v>
      </c>
      <c r="F12" s="27">
        <v>1.4399527994791665</v>
      </c>
      <c r="G12" s="27">
        <v>1.4340727306547618</v>
      </c>
      <c r="H12" s="27">
        <v>1.5084835379464285</v>
      </c>
      <c r="I12" s="27">
        <v>1.4318908750721271</v>
      </c>
      <c r="J12" s="43">
        <v>1.5889802478608632</v>
      </c>
    </row>
    <row r="13" spans="2:10" ht="15.75" thickBot="1" x14ac:dyDescent="0.3">
      <c r="B13" s="34" t="s">
        <v>89</v>
      </c>
      <c r="C13" s="50">
        <v>4.5784564732142865</v>
      </c>
      <c r="D13" s="44">
        <v>5.2963076636904765</v>
      </c>
      <c r="E13" s="44">
        <v>5.3616727120535712</v>
      </c>
      <c r="F13" s="44">
        <v>5.3897719029017859</v>
      </c>
      <c r="G13" s="44">
        <v>5.4121484375</v>
      </c>
      <c r="H13" s="44"/>
      <c r="I13" s="44"/>
      <c r="J13" s="45"/>
    </row>
    <row r="16" spans="2:10" x14ac:dyDescent="0.25">
      <c r="C16" t="s">
        <v>96</v>
      </c>
      <c r="D16" t="s">
        <v>97</v>
      </c>
      <c r="E16" t="s">
        <v>98</v>
      </c>
      <c r="F16" t="s">
        <v>99</v>
      </c>
      <c r="G16" t="s">
        <v>100</v>
      </c>
    </row>
    <row r="17" spans="2:10" x14ac:dyDescent="0.25">
      <c r="B17" t="s">
        <v>41</v>
      </c>
      <c r="C17">
        <v>1882</v>
      </c>
      <c r="D17">
        <v>5010.9599999999627</v>
      </c>
      <c r="E17">
        <v>152.08500000042841</v>
      </c>
      <c r="F17">
        <v>2165015.1328129997</v>
      </c>
      <c r="G17">
        <v>73266.022186999995</v>
      </c>
    </row>
    <row r="18" spans="2:10" ht="15.75" thickBot="1" x14ac:dyDescent="0.3">
      <c r="B18" t="s">
        <v>43</v>
      </c>
      <c r="C18">
        <v>5523.1999999997206</v>
      </c>
      <c r="D18">
        <v>5061.6699999999255</v>
      </c>
      <c r="E18">
        <v>40875.045000000391</v>
      </c>
      <c r="F18">
        <v>2140906.8849999998</v>
      </c>
      <c r="G18">
        <v>0</v>
      </c>
    </row>
    <row r="19" spans="2:10" ht="15.75" thickBot="1" x14ac:dyDescent="0.3">
      <c r="B19" s="83"/>
      <c r="C19" s="84" t="s">
        <v>96</v>
      </c>
      <c r="D19" s="85" t="s">
        <v>97</v>
      </c>
      <c r="E19" s="85" t="s">
        <v>98</v>
      </c>
      <c r="F19" s="85" t="s">
        <v>99</v>
      </c>
      <c r="G19" s="86" t="s">
        <v>100</v>
      </c>
      <c r="H19" s="87" t="s">
        <v>101</v>
      </c>
      <c r="I19" s="88" t="s">
        <v>102</v>
      </c>
    </row>
    <row r="20" spans="2:10" ht="30" x14ac:dyDescent="0.25">
      <c r="B20" s="89" t="s">
        <v>85</v>
      </c>
      <c r="C20" s="90">
        <f>C17/$J$10</f>
        <v>1.3674781436011905E-3</v>
      </c>
      <c r="D20" s="91">
        <f t="shared" ref="D20:G20" si="0">D17/$J$10</f>
        <v>3.6410086495535445E-3</v>
      </c>
      <c r="E20" s="91">
        <f t="shared" si="0"/>
        <v>1.1050633021794521E-4</v>
      </c>
      <c r="F20" s="91">
        <f t="shared" si="0"/>
        <v>1.5731194870816183</v>
      </c>
      <c r="G20" s="92">
        <f t="shared" si="0"/>
        <v>5.3235751333327516E-2</v>
      </c>
      <c r="H20" s="93">
        <f>SUM(C20:G20)</f>
        <v>1.6314742315383184</v>
      </c>
      <c r="I20" s="94">
        <f>F20/H20</f>
        <v>0.96423189326031988</v>
      </c>
    </row>
    <row r="21" spans="2:10" ht="30.75" thickBot="1" x14ac:dyDescent="0.3">
      <c r="B21" s="80" t="s">
        <v>86</v>
      </c>
      <c r="C21" s="77">
        <f>C18/$J$10</f>
        <v>4.0132068452378919E-3</v>
      </c>
      <c r="D21" s="78">
        <f t="shared" ref="D21:G21" si="1">D18/$J$10</f>
        <v>3.67785499209444E-3</v>
      </c>
      <c r="E21" s="78">
        <f t="shared" si="1"/>
        <v>2.9700175694057203E-2</v>
      </c>
      <c r="F21" s="78">
        <f t="shared" si="1"/>
        <v>1.5556022171747115</v>
      </c>
      <c r="G21" s="79">
        <f t="shared" si="1"/>
        <v>0</v>
      </c>
      <c r="H21" s="81">
        <f>SUM(C21:G21)</f>
        <v>1.5929934547061011</v>
      </c>
      <c r="I21" s="82">
        <f>F21/H21</f>
        <v>0.9765276891622332</v>
      </c>
    </row>
    <row r="23" spans="2:10" ht="15.75" thickBot="1" x14ac:dyDescent="0.3">
      <c r="B23" t="s">
        <v>106</v>
      </c>
    </row>
    <row r="24" spans="2:10" x14ac:dyDescent="0.25">
      <c r="B24" s="51" t="s">
        <v>68</v>
      </c>
      <c r="C24" s="57">
        <v>2</v>
      </c>
      <c r="D24" s="58">
        <v>4</v>
      </c>
      <c r="E24" s="59">
        <v>8</v>
      </c>
      <c r="F24" s="59">
        <v>16</v>
      </c>
      <c r="G24" s="59">
        <v>32</v>
      </c>
      <c r="H24" s="59">
        <v>64</v>
      </c>
      <c r="I24" s="59">
        <v>128</v>
      </c>
      <c r="J24" s="60">
        <v>256</v>
      </c>
    </row>
    <row r="25" spans="2:10" ht="15.75" thickBot="1" x14ac:dyDescent="0.3">
      <c r="B25" s="34" t="s">
        <v>69</v>
      </c>
      <c r="C25" s="61">
        <v>42</v>
      </c>
      <c r="D25" s="62">
        <v>84</v>
      </c>
      <c r="E25" s="62">
        <v>168</v>
      </c>
      <c r="F25" s="62">
        <v>336</v>
      </c>
      <c r="G25" s="62">
        <v>672</v>
      </c>
      <c r="H25" s="62">
        <v>1344</v>
      </c>
      <c r="I25" s="62">
        <v>2688</v>
      </c>
      <c r="J25" s="63">
        <v>5376</v>
      </c>
    </row>
    <row r="26" spans="2:10" ht="30" x14ac:dyDescent="0.25">
      <c r="B26" s="56" t="s">
        <v>85</v>
      </c>
      <c r="C26" s="100">
        <v>0.29809485793857066</v>
      </c>
      <c r="D26" s="100">
        <v>0.44478356995779317</v>
      </c>
      <c r="E26" s="100">
        <v>0.60639794657491808</v>
      </c>
      <c r="F26" s="100">
        <v>0.71199732549138794</v>
      </c>
      <c r="G26" s="100">
        <v>0.79116668105874821</v>
      </c>
      <c r="H26" s="100">
        <v>0.88568046410718326</v>
      </c>
      <c r="I26" s="100">
        <v>0.93919925039420438</v>
      </c>
      <c r="J26" s="100">
        <v>0.9307378541055944</v>
      </c>
    </row>
    <row r="27" spans="2:10" ht="30" x14ac:dyDescent="0.25">
      <c r="B27" s="52" t="s">
        <v>86</v>
      </c>
      <c r="C27" s="100">
        <v>0.30409184871864342</v>
      </c>
      <c r="D27" s="100">
        <v>0.45284494518197221</v>
      </c>
      <c r="E27" s="100">
        <v>0.6121933103112962</v>
      </c>
      <c r="F27" s="100">
        <v>0.71612966300815672</v>
      </c>
      <c r="G27" s="100">
        <v>0.79396669514367268</v>
      </c>
      <c r="H27" s="100">
        <v>0.88739046303191993</v>
      </c>
      <c r="I27" s="100">
        <v>0.94018737840503808</v>
      </c>
      <c r="J27" s="100">
        <v>0.96856729217460547</v>
      </c>
    </row>
    <row r="28" spans="2:10" ht="15.75" thickBot="1" x14ac:dyDescent="0.3">
      <c r="B28" s="34" t="s">
        <v>89</v>
      </c>
      <c r="C28" s="100">
        <v>0.44866820228539894</v>
      </c>
      <c r="D28" s="100">
        <v>0.45079721869384293</v>
      </c>
      <c r="E28" s="100">
        <v>0.44190592285811409</v>
      </c>
      <c r="F28" s="100">
        <v>0.40809382838052616</v>
      </c>
      <c r="G28" s="100">
        <v>0.39347476837064138</v>
      </c>
      <c r="H28" s="100">
        <v>0.38982850759662863</v>
      </c>
      <c r="I28" s="100">
        <v>0.39359865015669543</v>
      </c>
      <c r="J28" s="100">
        <v>0.39272074705648519</v>
      </c>
    </row>
    <row r="29" spans="2:10" ht="15.75" thickBot="1" x14ac:dyDescent="0.3"/>
    <row r="30" spans="2:10" x14ac:dyDescent="0.25">
      <c r="B30" s="51" t="s">
        <v>68</v>
      </c>
      <c r="C30" s="57">
        <v>512</v>
      </c>
      <c r="D30" s="37">
        <v>1024</v>
      </c>
      <c r="E30" s="37">
        <v>2048</v>
      </c>
      <c r="F30" s="37">
        <v>4096</v>
      </c>
      <c r="G30" s="37">
        <v>8192</v>
      </c>
      <c r="H30" s="37">
        <v>16384</v>
      </c>
      <c r="I30" s="37">
        <v>32768</v>
      </c>
      <c r="J30" s="38">
        <v>65536</v>
      </c>
    </row>
    <row r="31" spans="2:10" ht="15.75" thickBot="1" x14ac:dyDescent="0.3">
      <c r="B31" s="34" t="s">
        <v>69</v>
      </c>
      <c r="C31" s="61">
        <v>10752</v>
      </c>
      <c r="D31" s="66">
        <v>21504</v>
      </c>
      <c r="E31" s="66">
        <v>43008</v>
      </c>
      <c r="F31" s="66">
        <v>86016</v>
      </c>
      <c r="G31" s="66">
        <v>172032</v>
      </c>
      <c r="H31" s="66">
        <v>344064</v>
      </c>
      <c r="I31" s="66">
        <v>688128</v>
      </c>
      <c r="J31" s="67">
        <v>1376256</v>
      </c>
    </row>
    <row r="32" spans="2:10" ht="30" x14ac:dyDescent="0.25">
      <c r="B32" s="56" t="s">
        <v>85</v>
      </c>
      <c r="C32" s="100">
        <v>0.98394843668359477</v>
      </c>
      <c r="D32" s="100">
        <v>0.98292533394257742</v>
      </c>
      <c r="E32" s="100">
        <v>0.98402158671718609</v>
      </c>
      <c r="F32" s="100">
        <v>0.97448551224475777</v>
      </c>
      <c r="G32" s="100">
        <v>0.96226718759880459</v>
      </c>
      <c r="H32" s="100">
        <v>0.8689024520559202</v>
      </c>
      <c r="I32" s="100">
        <v>0.96245722547344437</v>
      </c>
      <c r="J32" s="100">
        <v>0.9650407765047152</v>
      </c>
    </row>
    <row r="33" spans="2:10" ht="30" x14ac:dyDescent="0.25">
      <c r="B33" s="52" t="s">
        <v>86</v>
      </c>
      <c r="C33" s="100">
        <v>0.98419343869059528</v>
      </c>
      <c r="D33" s="100">
        <v>0.98332230679750521</v>
      </c>
      <c r="E33" s="100">
        <v>0.98399008480663785</v>
      </c>
      <c r="F33" s="100">
        <v>0.97342930847646247</v>
      </c>
      <c r="G33" s="100">
        <v>0.97760612665500368</v>
      </c>
      <c r="H33" s="100">
        <v>0.97890474378114167</v>
      </c>
      <c r="I33" s="100">
        <v>0.97842550807787576</v>
      </c>
      <c r="J33" s="100">
        <v>0.97899405563342512</v>
      </c>
    </row>
    <row r="34" spans="2:10" ht="15.75" thickBot="1" x14ac:dyDescent="0.3">
      <c r="B34" s="34" t="s">
        <v>89</v>
      </c>
      <c r="C34" s="100">
        <v>0.33402667598989849</v>
      </c>
      <c r="D34" s="100">
        <v>0.2974002312370162</v>
      </c>
      <c r="E34" s="100">
        <v>0.29872116977736102</v>
      </c>
      <c r="F34" s="100">
        <v>0.30144098918389045</v>
      </c>
      <c r="G34" s="100">
        <v>0.30211824370972568</v>
      </c>
      <c r="H34" s="100"/>
      <c r="I34" s="100"/>
      <c r="J34" s="100"/>
    </row>
  </sheetData>
  <conditionalFormatting sqref="C11:J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J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J2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J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54"/>
  <sheetViews>
    <sheetView zoomScale="67" workbookViewId="0">
      <selection activeCell="L24" sqref="L24"/>
    </sheetView>
  </sheetViews>
  <sheetFormatPr defaultRowHeight="15" x14ac:dyDescent="0.25"/>
  <cols>
    <col min="4" max="4" width="10.140625" style="101" bestFit="1" customWidth="1"/>
    <col min="5" max="6" width="9.42578125" style="101" bestFit="1" customWidth="1"/>
    <col min="7" max="7" width="11.28515625" style="101" bestFit="1" customWidth="1"/>
    <col min="8" max="8" width="9.42578125" style="101" bestFit="1" customWidth="1"/>
    <col min="9" max="9" width="9.140625" style="101"/>
    <col min="10" max="10" width="10.140625" style="101" bestFit="1" customWidth="1"/>
    <col min="11" max="12" width="9.42578125" style="101" bestFit="1" customWidth="1"/>
    <col min="13" max="13" width="11.28515625" style="101" bestFit="1" customWidth="1"/>
    <col min="14" max="14" width="9.42578125" style="101" bestFit="1" customWidth="1"/>
    <col min="15" max="15" width="9.140625" style="101"/>
    <col min="16" max="18" width="9.42578125" style="101" bestFit="1" customWidth="1"/>
    <col min="19" max="20" width="10.140625" style="101" bestFit="1" customWidth="1"/>
    <col min="22" max="22" width="9.7109375" bestFit="1" customWidth="1"/>
    <col min="23" max="23" width="11.28515625" bestFit="1" customWidth="1"/>
    <col min="27" max="27" width="9.28515625" bestFit="1" customWidth="1"/>
    <col min="28" max="28" width="10.7109375" bestFit="1" customWidth="1"/>
  </cols>
  <sheetData>
    <row r="2" spans="1:28" x14ac:dyDescent="0.25">
      <c r="D2" s="101" t="s">
        <v>96</v>
      </c>
      <c r="E2" s="101" t="s">
        <v>97</v>
      </c>
      <c r="F2" s="101" t="s">
        <v>98</v>
      </c>
      <c r="G2" s="101" t="s">
        <v>99</v>
      </c>
      <c r="H2" s="101" t="s">
        <v>100</v>
      </c>
      <c r="J2" s="101" t="s">
        <v>96</v>
      </c>
      <c r="K2" s="101" t="s">
        <v>97</v>
      </c>
      <c r="L2" s="101" t="s">
        <v>98</v>
      </c>
      <c r="M2" s="101" t="s">
        <v>99</v>
      </c>
      <c r="N2" s="101" t="s">
        <v>100</v>
      </c>
      <c r="P2" s="101" t="s">
        <v>96</v>
      </c>
      <c r="Q2" s="101" t="s">
        <v>97</v>
      </c>
      <c r="R2" s="101" t="s">
        <v>98</v>
      </c>
      <c r="S2" s="101" t="s">
        <v>99</v>
      </c>
      <c r="T2" s="101" t="s">
        <v>100</v>
      </c>
    </row>
    <row r="3" spans="1:28" x14ac:dyDescent="0.25">
      <c r="A3">
        <f>B3/21</f>
        <v>2</v>
      </c>
      <c r="B3">
        <v>42</v>
      </c>
      <c r="D3" s="101">
        <v>23.741540000000015</v>
      </c>
      <c r="E3" s="101">
        <v>21.723372999999953</v>
      </c>
      <c r="F3" s="101">
        <v>3.7299840000000017</v>
      </c>
      <c r="G3" s="101">
        <v>47.541098000000005</v>
      </c>
      <c r="H3" s="101">
        <v>86.488664999999997</v>
      </c>
      <c r="J3" s="101">
        <v>25.801480000000026</v>
      </c>
      <c r="K3" s="101">
        <v>20.847679999999997</v>
      </c>
      <c r="L3" s="101">
        <v>87.909165999999999</v>
      </c>
      <c r="M3" s="101">
        <v>47.523614000000002</v>
      </c>
      <c r="N3" s="101">
        <v>0</v>
      </c>
      <c r="P3" s="101">
        <v>26.056279999999987</v>
      </c>
      <c r="Q3" s="101">
        <v>18.859364999999997</v>
      </c>
      <c r="R3" s="101">
        <v>1.9346119999999871</v>
      </c>
      <c r="S3" s="101">
        <v>77.344359000000011</v>
      </c>
      <c r="T3" s="101">
        <v>74.248204000000001</v>
      </c>
      <c r="V3" s="101">
        <f>G3-M3</f>
        <v>1.7484000000003164E-2</v>
      </c>
      <c r="W3" s="101">
        <f>G3-S3</f>
        <v>-29.803261000000006</v>
      </c>
      <c r="X3" s="99">
        <f>V3/G3</f>
        <v>3.6776601163067716E-4</v>
      </c>
      <c r="Y3" s="99">
        <f>W3/G3</f>
        <v>-0.62689467121689113</v>
      </c>
      <c r="Z3" s="99"/>
      <c r="AA3" s="101">
        <f t="shared" ref="AA3:AA18" si="0">F3+H3-L3</f>
        <v>2.3094830000000002</v>
      </c>
      <c r="AB3" s="101">
        <f t="shared" ref="AB3:AB18" si="1">F3+H3-R3-T3</f>
        <v>14.035833000000011</v>
      </c>
    </row>
    <row r="4" spans="1:28" x14ac:dyDescent="0.25">
      <c r="A4">
        <f t="shared" ref="A4:A18" si="2">B4/21</f>
        <v>4</v>
      </c>
      <c r="B4">
        <f>B3*2</f>
        <v>84</v>
      </c>
      <c r="D4" s="101">
        <v>36.339900000000057</v>
      </c>
      <c r="E4" s="101">
        <v>21.039133999999962</v>
      </c>
      <c r="F4" s="101">
        <v>3.6097800000000007</v>
      </c>
      <c r="G4" s="101">
        <v>95.804672999999994</v>
      </c>
      <c r="H4" s="101">
        <v>94.942572999999996</v>
      </c>
      <c r="J4" s="101">
        <v>39.102599999999967</v>
      </c>
      <c r="K4" s="101">
        <v>19.958546000000041</v>
      </c>
      <c r="L4" s="101">
        <v>95.905355999999983</v>
      </c>
      <c r="M4" s="101">
        <v>95.893078000000003</v>
      </c>
      <c r="N4" s="101">
        <v>0</v>
      </c>
      <c r="P4" s="101">
        <v>67.698880000000088</v>
      </c>
      <c r="Q4" s="101">
        <v>18.226639999999975</v>
      </c>
      <c r="R4" s="101">
        <v>3.3787880000000428</v>
      </c>
      <c r="S4" s="101">
        <v>132.53308399999997</v>
      </c>
      <c r="T4" s="101">
        <v>139.858608</v>
      </c>
      <c r="V4" s="101">
        <f t="shared" ref="V4:V10" si="3">G4-M4</f>
        <v>-8.8405000000008727E-2</v>
      </c>
      <c r="W4" s="101">
        <f t="shared" ref="W4:W14" si="4">G4-S4</f>
        <v>-36.72841099999998</v>
      </c>
      <c r="X4" s="99">
        <f t="shared" ref="X4:X18" si="5">V4/G4</f>
        <v>-9.2276292201330028E-4</v>
      </c>
      <c r="Y4" s="99">
        <f t="shared" ref="Y4:Y15" si="6">W4/G4</f>
        <v>-0.38336763593984591</v>
      </c>
      <c r="Z4" s="99"/>
      <c r="AA4" s="101">
        <f t="shared" si="0"/>
        <v>2.6469970000000131</v>
      </c>
      <c r="AB4" s="101">
        <f t="shared" si="1"/>
        <v>-44.68504300000005</v>
      </c>
    </row>
    <row r="5" spans="1:28" x14ac:dyDescent="0.25">
      <c r="A5">
        <f t="shared" si="2"/>
        <v>8</v>
      </c>
      <c r="B5">
        <f t="shared" ref="B5:B18" si="7">B4*2</f>
        <v>168</v>
      </c>
      <c r="D5" s="101">
        <v>72.845959999999991</v>
      </c>
      <c r="E5" s="101">
        <v>20.817635999999936</v>
      </c>
      <c r="F5" s="101">
        <v>3.7180140000000392</v>
      </c>
      <c r="G5" s="101">
        <v>196.84924099999998</v>
      </c>
      <c r="H5" s="101">
        <v>103.235669</v>
      </c>
      <c r="J5" s="101">
        <v>39.909660000000088</v>
      </c>
      <c r="K5" s="101">
        <v>19.89098899999999</v>
      </c>
      <c r="L5" s="101">
        <v>104.53756299999998</v>
      </c>
      <c r="M5" s="101">
        <v>196.42344800000001</v>
      </c>
      <c r="N5" s="101">
        <v>0</v>
      </c>
      <c r="P5" s="101">
        <v>82.738080000000195</v>
      </c>
      <c r="Q5" s="101">
        <v>18.266355999999973</v>
      </c>
      <c r="R5" s="101">
        <v>6.2195869999999331</v>
      </c>
      <c r="S5" s="101">
        <v>249.47906700000004</v>
      </c>
      <c r="T5" s="101">
        <v>290.58742999999998</v>
      </c>
      <c r="V5" s="101">
        <f t="shared" si="3"/>
        <v>0.42579299999997033</v>
      </c>
      <c r="W5" s="101">
        <f t="shared" si="4"/>
        <v>-52.629826000000065</v>
      </c>
      <c r="X5" s="99">
        <f t="shared" si="5"/>
        <v>2.1630411061629158E-3</v>
      </c>
      <c r="Y5" s="99">
        <f t="shared" si="6"/>
        <v>-0.26736108167163353</v>
      </c>
      <c r="Z5" s="99"/>
      <c r="AA5" s="101">
        <f t="shared" si="0"/>
        <v>2.4161200000000633</v>
      </c>
      <c r="AB5" s="101">
        <f t="shared" si="1"/>
        <v>-189.85333399999988</v>
      </c>
    </row>
    <row r="6" spans="1:28" x14ac:dyDescent="0.25">
      <c r="A6">
        <f t="shared" si="2"/>
        <v>16</v>
      </c>
      <c r="B6">
        <f t="shared" si="7"/>
        <v>336</v>
      </c>
      <c r="D6" s="101">
        <v>75.006480000000124</v>
      </c>
      <c r="E6" s="101">
        <v>21.594614999999976</v>
      </c>
      <c r="F6" s="101">
        <v>4.0787419999999202</v>
      </c>
      <c r="G6" s="101">
        <v>421.44142700000003</v>
      </c>
      <c r="H6" s="101">
        <v>144.799556</v>
      </c>
      <c r="J6" s="101">
        <v>86.361380000000054</v>
      </c>
      <c r="K6" s="101">
        <v>20.510923000000048</v>
      </c>
      <c r="L6" s="101">
        <v>146.22608200000002</v>
      </c>
      <c r="M6" s="101">
        <v>420.63329499999998</v>
      </c>
      <c r="N6" s="101">
        <v>0</v>
      </c>
      <c r="P6" s="101">
        <v>184.88100000000009</v>
      </c>
      <c r="Q6" s="101">
        <v>19.399591999999757</v>
      </c>
      <c r="R6" s="101">
        <v>12.565720000000056</v>
      </c>
      <c r="S6" s="101">
        <v>505.6231929999999</v>
      </c>
      <c r="T6" s="101">
        <v>701.39909499999999</v>
      </c>
      <c r="V6" s="101">
        <f t="shared" si="3"/>
        <v>0.80813200000005736</v>
      </c>
      <c r="W6" s="101">
        <f t="shared" si="4"/>
        <v>-84.181765999999868</v>
      </c>
      <c r="X6" s="99">
        <f t="shared" si="5"/>
        <v>1.9175428617748517E-3</v>
      </c>
      <c r="Y6" s="99">
        <f t="shared" si="6"/>
        <v>-0.19974724981177483</v>
      </c>
      <c r="Z6" s="99"/>
      <c r="AA6" s="101">
        <f t="shared" si="0"/>
        <v>2.6522159999998962</v>
      </c>
      <c r="AB6" s="101">
        <f t="shared" si="1"/>
        <v>-565.08651700000019</v>
      </c>
    </row>
    <row r="7" spans="1:28" x14ac:dyDescent="0.25">
      <c r="A7">
        <f t="shared" si="2"/>
        <v>32</v>
      </c>
      <c r="B7">
        <f t="shared" si="7"/>
        <v>672</v>
      </c>
      <c r="D7" s="101">
        <v>108.24699999999962</v>
      </c>
      <c r="E7" s="101">
        <v>21.368399000000181</v>
      </c>
      <c r="F7" s="101">
        <v>4.6667939999999817</v>
      </c>
      <c r="G7" s="101">
        <v>899.71427500000004</v>
      </c>
      <c r="H7" s="101">
        <v>211.44993199999999</v>
      </c>
      <c r="J7" s="101">
        <v>138.1110000000001</v>
      </c>
      <c r="K7" s="101">
        <v>20.486273000000438</v>
      </c>
      <c r="L7" s="101">
        <v>212.91727899999989</v>
      </c>
      <c r="M7" s="101">
        <v>899.440248</v>
      </c>
      <c r="N7" s="101">
        <v>0</v>
      </c>
      <c r="P7" s="101">
        <v>161.99259999999958</v>
      </c>
      <c r="Q7" s="101">
        <v>20.283448000000135</v>
      </c>
      <c r="R7" s="101">
        <v>24.900239000000056</v>
      </c>
      <c r="S7" s="101">
        <v>1041.293437</v>
      </c>
      <c r="T7" s="101">
        <v>1559.9274760000001</v>
      </c>
      <c r="V7" s="101">
        <f t="shared" si="3"/>
        <v>0.27402700000004643</v>
      </c>
      <c r="W7" s="101">
        <f t="shared" si="4"/>
        <v>-141.579162</v>
      </c>
      <c r="X7" s="99">
        <f t="shared" si="5"/>
        <v>3.0457113732028585E-4</v>
      </c>
      <c r="Y7" s="99">
        <f t="shared" si="6"/>
        <v>-0.15736013747253258</v>
      </c>
      <c r="Z7" s="99"/>
      <c r="AA7" s="101">
        <f t="shared" si="0"/>
        <v>3.1994470000000774</v>
      </c>
      <c r="AB7" s="101">
        <f t="shared" si="1"/>
        <v>-1368.7109890000002</v>
      </c>
    </row>
    <row r="8" spans="1:28" x14ac:dyDescent="0.25">
      <c r="A8">
        <f t="shared" si="2"/>
        <v>64</v>
      </c>
      <c r="B8">
        <f t="shared" si="7"/>
        <v>1344</v>
      </c>
      <c r="D8" s="101">
        <v>152.45679999999993</v>
      </c>
      <c r="E8" s="101">
        <v>21.892976999999519</v>
      </c>
      <c r="F8" s="101">
        <v>4.8492770000002565</v>
      </c>
      <c r="G8" s="101">
        <v>1850.6752079999999</v>
      </c>
      <c r="H8" s="101">
        <v>212.13433800000001</v>
      </c>
      <c r="J8" s="101">
        <v>146.08839999999918</v>
      </c>
      <c r="K8" s="101">
        <v>21.063752000000932</v>
      </c>
      <c r="L8" s="101">
        <v>213.91158699999983</v>
      </c>
      <c r="M8" s="101">
        <v>1851.6626610000001</v>
      </c>
      <c r="N8" s="101">
        <v>0</v>
      </c>
      <c r="P8" s="101">
        <v>134.18559999999798</v>
      </c>
      <c r="Q8" s="101">
        <v>21.070240000000922</v>
      </c>
      <c r="R8" s="101">
        <v>49.216805999999451</v>
      </c>
      <c r="S8" s="101">
        <v>2087.5138820000002</v>
      </c>
      <c r="T8" s="101">
        <v>3197.153472</v>
      </c>
      <c r="V8" s="101">
        <f t="shared" si="3"/>
        <v>-0.98745300000018688</v>
      </c>
      <c r="W8" s="101">
        <f t="shared" si="4"/>
        <v>-236.83867400000031</v>
      </c>
      <c r="X8" s="99">
        <f t="shared" si="5"/>
        <v>-5.3356363976330248E-4</v>
      </c>
      <c r="Y8" s="99">
        <f t="shared" si="6"/>
        <v>-0.12797419718825148</v>
      </c>
      <c r="Z8" s="99"/>
      <c r="AA8" s="101">
        <f t="shared" si="0"/>
        <v>3.0720280000004436</v>
      </c>
      <c r="AB8" s="101">
        <f t="shared" si="1"/>
        <v>-3029.3866629999993</v>
      </c>
    </row>
    <row r="9" spans="1:28" x14ac:dyDescent="0.25">
      <c r="A9">
        <f t="shared" si="2"/>
        <v>128</v>
      </c>
      <c r="B9">
        <f t="shared" si="7"/>
        <v>2688</v>
      </c>
      <c r="D9" s="101">
        <v>42.275600000000395</v>
      </c>
      <c r="E9" s="101">
        <v>22.146044999999049</v>
      </c>
      <c r="F9" s="101">
        <v>4.8338140000000749</v>
      </c>
      <c r="G9" s="101">
        <v>3716.3736779999999</v>
      </c>
      <c r="H9" s="101">
        <v>213.60626300000001</v>
      </c>
      <c r="J9" s="101">
        <v>43.590599999999995</v>
      </c>
      <c r="K9" s="101">
        <v>21.169766000000891</v>
      </c>
      <c r="L9" s="101">
        <v>215.31139600000006</v>
      </c>
      <c r="M9" s="101">
        <v>3717.2188379999998</v>
      </c>
      <c r="N9" s="101">
        <v>0</v>
      </c>
      <c r="P9" s="101">
        <v>82.58600000000115</v>
      </c>
      <c r="Q9" s="101">
        <v>22.548527000000831</v>
      </c>
      <c r="R9" s="101">
        <v>97.09898499999872</v>
      </c>
      <c r="S9" s="101">
        <v>4142.8296770000006</v>
      </c>
      <c r="T9" s="101">
        <v>6263.0408109999998</v>
      </c>
      <c r="V9" s="101">
        <f t="shared" si="3"/>
        <v>-0.8451599999998507</v>
      </c>
      <c r="W9" s="101">
        <f t="shared" si="4"/>
        <v>-426.4559990000007</v>
      </c>
      <c r="X9" s="99">
        <f t="shared" si="5"/>
        <v>-2.2741523679467056E-4</v>
      </c>
      <c r="Y9" s="99">
        <f t="shared" si="6"/>
        <v>-0.11475057030042841</v>
      </c>
      <c r="Z9" s="99"/>
      <c r="AA9" s="101">
        <f t="shared" si="0"/>
        <v>3.1286810000000287</v>
      </c>
      <c r="AB9" s="101">
        <f t="shared" si="1"/>
        <v>-6141.6997189999984</v>
      </c>
    </row>
    <row r="10" spans="1:28" x14ac:dyDescent="0.25">
      <c r="A10">
        <f t="shared" si="2"/>
        <v>256</v>
      </c>
      <c r="B10">
        <f t="shared" si="7"/>
        <v>5376</v>
      </c>
      <c r="D10" s="101">
        <v>268.05339999999978</v>
      </c>
      <c r="E10" s="101">
        <v>22.271168999997826</v>
      </c>
      <c r="F10" s="101">
        <v>4.89578100000017</v>
      </c>
      <c r="G10" s="101">
        <v>7488.9508740000001</v>
      </c>
      <c r="H10" s="101">
        <v>215.87037599999999</v>
      </c>
      <c r="J10" s="101">
        <v>272.10839999999462</v>
      </c>
      <c r="K10" s="101">
        <v>26.81358800000362</v>
      </c>
      <c r="L10" s="101">
        <v>217.80233399999997</v>
      </c>
      <c r="M10" s="101">
        <v>7483.5196779999997</v>
      </c>
      <c r="N10" s="101">
        <v>0</v>
      </c>
      <c r="P10" s="101">
        <v>157.64799999999013</v>
      </c>
      <c r="Q10" s="101">
        <v>25.349773000009009</v>
      </c>
      <c r="R10" s="101">
        <v>194.31461000000127</v>
      </c>
      <c r="S10" s="101">
        <v>8263.8388869999999</v>
      </c>
      <c r="T10" s="101">
        <v>12559.02873</v>
      </c>
      <c r="V10" s="101">
        <f t="shared" si="3"/>
        <v>5.4311960000004547</v>
      </c>
      <c r="W10" s="101">
        <f t="shared" si="4"/>
        <v>-774.88801299999977</v>
      </c>
      <c r="X10" s="99">
        <f t="shared" si="5"/>
        <v>7.2522788457010439E-4</v>
      </c>
      <c r="Y10" s="99">
        <f t="shared" si="6"/>
        <v>-0.103470836708282</v>
      </c>
      <c r="Z10" s="99"/>
      <c r="AA10" s="101">
        <f t="shared" si="0"/>
        <v>2.9638230000001897</v>
      </c>
      <c r="AB10" s="101">
        <f t="shared" si="1"/>
        <v>-12532.577183000001</v>
      </c>
    </row>
    <row r="11" spans="1:28" x14ac:dyDescent="0.25">
      <c r="A11">
        <f t="shared" si="2"/>
        <v>512</v>
      </c>
      <c r="B11">
        <f t="shared" si="7"/>
        <v>10752</v>
      </c>
      <c r="D11" s="101">
        <v>100.32399999999507</v>
      </c>
      <c r="E11" s="101">
        <v>22.266867000007551</v>
      </c>
      <c r="F11" s="101">
        <v>4.86060599999837</v>
      </c>
      <c r="G11" s="101">
        <v>15038.902086</v>
      </c>
      <c r="H11" s="101">
        <v>218.20844099999999</v>
      </c>
      <c r="J11" s="101">
        <v>89.39600000000064</v>
      </c>
      <c r="K11" s="101">
        <v>21.149680000000444</v>
      </c>
      <c r="L11" s="101">
        <v>220.05367200000001</v>
      </c>
      <c r="M11" s="101">
        <v>15018.494648</v>
      </c>
      <c r="N11" s="101">
        <v>0</v>
      </c>
      <c r="P11" s="101">
        <v>35.921999999991385</v>
      </c>
      <c r="Q11" s="101">
        <v>24.96845300001587</v>
      </c>
      <c r="R11" s="101">
        <v>391.26414099999965</v>
      </c>
      <c r="S11" s="101">
        <v>16443.319569999996</v>
      </c>
      <c r="T11" s="101">
        <v>32368.011836000001</v>
      </c>
      <c r="V11" s="101">
        <f t="shared" ref="V11:V18" si="8">G11-M11</f>
        <v>20.407438000000184</v>
      </c>
      <c r="W11" s="101">
        <f t="shared" si="4"/>
        <v>-1404.417483999996</v>
      </c>
      <c r="X11" s="99">
        <f t="shared" si="5"/>
        <v>1.35697658534514E-3</v>
      </c>
      <c r="Y11" s="99">
        <f t="shared" si="6"/>
        <v>-9.3385639188873701E-2</v>
      </c>
      <c r="Z11" s="99"/>
      <c r="AA11" s="101">
        <f t="shared" si="0"/>
        <v>3.0153749999983575</v>
      </c>
      <c r="AB11" s="101">
        <f t="shared" si="1"/>
        <v>-32536.206930000004</v>
      </c>
    </row>
    <row r="12" spans="1:28" x14ac:dyDescent="0.25">
      <c r="A12">
        <f t="shared" si="2"/>
        <v>1024</v>
      </c>
      <c r="B12">
        <f t="shared" si="7"/>
        <v>21504</v>
      </c>
      <c r="D12" s="101">
        <v>126.43799999999828</v>
      </c>
      <c r="E12" s="101">
        <v>59.129586000002746</v>
      </c>
      <c r="F12" s="101">
        <v>10.689180000001215</v>
      </c>
      <c r="G12" s="101">
        <v>30102.996574999997</v>
      </c>
      <c r="H12" s="101">
        <v>453.10865899999999</v>
      </c>
      <c r="J12" s="101">
        <v>209.89400000000751</v>
      </c>
      <c r="K12" s="101">
        <v>55.620515999991767</v>
      </c>
      <c r="L12" s="101">
        <v>454.32617100000061</v>
      </c>
      <c r="M12" s="101">
        <v>30066.625313</v>
      </c>
      <c r="N12" s="101">
        <v>0</v>
      </c>
      <c r="P12" s="101">
        <v>165.55999999999767</v>
      </c>
      <c r="Q12" s="101">
        <v>68.19999999999709</v>
      </c>
      <c r="R12" s="101">
        <v>792.62359400000423</v>
      </c>
      <c r="S12" s="101">
        <v>33871.447656000004</v>
      </c>
      <c r="T12" s="101">
        <v>79159.528749999998</v>
      </c>
      <c r="V12" s="101">
        <f t="shared" si="8"/>
        <v>36.371261999996932</v>
      </c>
      <c r="W12" s="101">
        <f t="shared" si="4"/>
        <v>-3768.4510810000065</v>
      </c>
      <c r="X12" s="99">
        <f t="shared" si="5"/>
        <v>1.2082272909070659E-3</v>
      </c>
      <c r="Y12" s="99">
        <f t="shared" si="6"/>
        <v>-0.12518524764174602</v>
      </c>
      <c r="Z12" s="99"/>
      <c r="AA12" s="101">
        <f t="shared" si="0"/>
        <v>9.4716680000005908</v>
      </c>
      <c r="AB12" s="101">
        <f t="shared" si="1"/>
        <v>-79488.354504999996</v>
      </c>
    </row>
    <row r="13" spans="1:28" x14ac:dyDescent="0.25">
      <c r="A13">
        <f t="shared" si="2"/>
        <v>2048</v>
      </c>
      <c r="B13">
        <f t="shared" si="7"/>
        <v>43008</v>
      </c>
      <c r="D13" s="101">
        <v>162.32199999999284</v>
      </c>
      <c r="E13" s="101">
        <v>76.762094000005163</v>
      </c>
      <c r="F13" s="101">
        <v>24.383047000002989</v>
      </c>
      <c r="G13" s="101">
        <v>60284.750144999998</v>
      </c>
      <c r="H13" s="101">
        <v>877.75071400000002</v>
      </c>
      <c r="J13" s="101">
        <v>308.61800000000221</v>
      </c>
      <c r="K13" s="101">
        <v>74.589858999999706</v>
      </c>
      <c r="L13" s="101">
        <v>905.13648500000272</v>
      </c>
      <c r="M13" s="101">
        <v>60215.247656</v>
      </c>
      <c r="N13" s="101">
        <v>0</v>
      </c>
      <c r="P13" s="101">
        <v>167.29999999998836</v>
      </c>
      <c r="Q13" s="101">
        <v>56.440938000014285</v>
      </c>
      <c r="R13" s="101">
        <v>1607.9078119999904</v>
      </c>
      <c r="S13" s="101">
        <v>68883.554375000007</v>
      </c>
      <c r="T13" s="101">
        <v>160046.916875</v>
      </c>
      <c r="V13" s="101">
        <f t="shared" si="8"/>
        <v>69.502488999998604</v>
      </c>
      <c r="W13" s="101">
        <f t="shared" si="4"/>
        <v>-8598.8042300000088</v>
      </c>
      <c r="X13" s="99">
        <f t="shared" si="5"/>
        <v>1.1529033268418236E-3</v>
      </c>
      <c r="Y13" s="99">
        <f t="shared" si="6"/>
        <v>-0.14263647455314521</v>
      </c>
      <c r="Z13" s="99"/>
      <c r="AA13" s="101">
        <f t="shared" si="0"/>
        <v>-3.0027239999997164</v>
      </c>
      <c r="AB13" s="101">
        <f t="shared" si="1"/>
        <v>-160752.69092599998</v>
      </c>
    </row>
    <row r="14" spans="1:28" x14ac:dyDescent="0.25">
      <c r="A14" s="102">
        <f t="shared" si="2"/>
        <v>4096</v>
      </c>
      <c r="B14" s="102">
        <f t="shared" si="7"/>
        <v>86016</v>
      </c>
      <c r="C14" s="102"/>
      <c r="D14" s="103">
        <v>235.39999999999418</v>
      </c>
      <c r="E14" s="103">
        <v>85.653437999993912</v>
      </c>
      <c r="F14" s="103">
        <v>22.44124900001043</v>
      </c>
      <c r="G14" s="103">
        <v>120669.07925299999</v>
      </c>
      <c r="H14" s="103">
        <v>3051.3260599999999</v>
      </c>
      <c r="I14" s="103"/>
      <c r="J14" s="103">
        <v>870.34000000001106</v>
      </c>
      <c r="K14" s="103">
        <v>129.4532809999946</v>
      </c>
      <c r="L14" s="103">
        <v>3161.5654690000083</v>
      </c>
      <c r="M14" s="103">
        <v>120567.96124999999</v>
      </c>
      <c r="N14" s="103">
        <v>0</v>
      </c>
      <c r="O14" s="103"/>
      <c r="P14" s="103">
        <v>383.28000000002794</v>
      </c>
      <c r="Q14" s="103">
        <v>65.54625000001397</v>
      </c>
      <c r="R14" s="103">
        <v>3240.6449999999604</v>
      </c>
      <c r="S14" s="103">
        <v>139750.03812500002</v>
      </c>
      <c r="T14" s="103">
        <v>320550.390625</v>
      </c>
      <c r="U14" s="102"/>
      <c r="V14" s="103">
        <f t="shared" si="8"/>
        <v>101.11800299999595</v>
      </c>
      <c r="W14" s="103">
        <f t="shared" si="4"/>
        <v>-19080.958872000032</v>
      </c>
      <c r="X14" s="104">
        <f t="shared" si="5"/>
        <v>8.3797774563264542E-4</v>
      </c>
      <c r="Y14" s="99">
        <f t="shared" si="6"/>
        <v>-0.15812633186662567</v>
      </c>
      <c r="Z14" s="104"/>
      <c r="AA14" s="103">
        <f t="shared" si="0"/>
        <v>-87.798159999998006</v>
      </c>
      <c r="AB14" s="101">
        <f t="shared" si="1"/>
        <v>-320717.26831599994</v>
      </c>
    </row>
    <row r="15" spans="1:28" x14ac:dyDescent="0.25">
      <c r="A15">
        <f t="shared" si="2"/>
        <v>8192</v>
      </c>
      <c r="B15">
        <f t="shared" si="7"/>
        <v>172032</v>
      </c>
      <c r="D15" s="101">
        <v>563.85999999998603</v>
      </c>
      <c r="E15" s="101">
        <v>24.704375000001164</v>
      </c>
      <c r="F15" s="101">
        <v>26.257500000006985</v>
      </c>
      <c r="G15" s="101">
        <v>241346.868418</v>
      </c>
      <c r="H15" s="101">
        <v>9412.8297070000008</v>
      </c>
      <c r="J15" s="101">
        <v>799.33999999999651</v>
      </c>
      <c r="K15" s="101">
        <v>24.597813000000315</v>
      </c>
      <c r="L15" s="101">
        <v>5500.1140620000078</v>
      </c>
      <c r="M15" s="101">
        <v>241181.68812499999</v>
      </c>
      <c r="N15" s="101">
        <v>0</v>
      </c>
      <c r="P15" s="101">
        <v>439.56000000005588</v>
      </c>
      <c r="Q15" s="101">
        <v>39.707500000018626</v>
      </c>
      <c r="R15" s="101">
        <v>6315.5399999999208</v>
      </c>
      <c r="S15" s="101">
        <v>281291.03375000006</v>
      </c>
      <c r="T15" s="101">
        <v>643416.43874999997</v>
      </c>
      <c r="V15" s="101">
        <f t="shared" si="8"/>
        <v>165.18029300001217</v>
      </c>
      <c r="W15" s="101">
        <f>G15-S15</f>
        <v>-39944.165332000062</v>
      </c>
      <c r="X15" s="99">
        <f t="shared" si="5"/>
        <v>6.8441034301687585E-4</v>
      </c>
      <c r="Y15" s="99">
        <f t="shared" si="6"/>
        <v>-0.16550521493744383</v>
      </c>
      <c r="Z15" s="99"/>
      <c r="AA15" s="101">
        <f t="shared" si="0"/>
        <v>3938.9731449999999</v>
      </c>
      <c r="AB15" s="101">
        <f t="shared" si="1"/>
        <v>-640292.89154299989</v>
      </c>
    </row>
    <row r="16" spans="1:28" x14ac:dyDescent="0.25">
      <c r="A16">
        <f t="shared" si="2"/>
        <v>16384</v>
      </c>
      <c r="B16">
        <f t="shared" si="7"/>
        <v>344064</v>
      </c>
      <c r="D16" s="101">
        <v>767.96000000007916</v>
      </c>
      <c r="E16" s="101">
        <v>54285.58249999996</v>
      </c>
      <c r="F16" s="101">
        <v>44.073750000039581</v>
      </c>
      <c r="G16" s="101">
        <v>482441.76851599995</v>
      </c>
      <c r="H16" s="101">
        <v>18459.795234000001</v>
      </c>
      <c r="J16" s="101">
        <v>1547.140000000014</v>
      </c>
      <c r="K16" s="101">
        <v>67.533125000016298</v>
      </c>
      <c r="L16" s="101">
        <v>10881.21875</v>
      </c>
      <c r="M16" s="101">
        <v>508066.12812499999</v>
      </c>
      <c r="N16" s="101">
        <v>0</v>
      </c>
      <c r="V16" s="101">
        <f t="shared" si="8"/>
        <v>-25624.359609000036</v>
      </c>
      <c r="W16" s="101"/>
      <c r="X16" s="106">
        <f t="shared" si="5"/>
        <v>-5.3113891211826567E-2</v>
      </c>
      <c r="Y16" s="99"/>
      <c r="Z16" s="99"/>
      <c r="AA16" s="101">
        <f t="shared" si="0"/>
        <v>7622.6502340000407</v>
      </c>
      <c r="AB16" s="101">
        <f t="shared" si="1"/>
        <v>18503.868984000041</v>
      </c>
    </row>
    <row r="17" spans="1:28" x14ac:dyDescent="0.25">
      <c r="A17">
        <f t="shared" si="2"/>
        <v>32768</v>
      </c>
      <c r="B17">
        <f t="shared" si="7"/>
        <v>688128</v>
      </c>
      <c r="D17" s="101">
        <v>990071.40802399919</v>
      </c>
      <c r="E17" s="101">
        <v>1048.9738520408282</v>
      </c>
      <c r="F17" s="101">
        <v>80.631249999976717</v>
      </c>
      <c r="G17" s="101">
        <v>970722.572422</v>
      </c>
      <c r="H17" s="101">
        <v>36735.577577999997</v>
      </c>
      <c r="J17" s="101">
        <v>970959.91644066735</v>
      </c>
      <c r="K17" s="101">
        <v>135.13783163262997</v>
      </c>
      <c r="L17" s="101">
        <v>21122.73125000007</v>
      </c>
      <c r="M17" s="101">
        <v>964066.33499999996</v>
      </c>
      <c r="N17" s="101">
        <v>0</v>
      </c>
      <c r="V17" s="101">
        <f t="shared" si="8"/>
        <v>6656.2374220000347</v>
      </c>
      <c r="W17" s="101"/>
      <c r="X17" s="99">
        <f t="shared" si="5"/>
        <v>6.8569925240250656E-3</v>
      </c>
      <c r="Y17" s="99"/>
      <c r="Z17" s="99"/>
      <c r="AA17" s="101">
        <f t="shared" si="0"/>
        <v>15693.477577999904</v>
      </c>
      <c r="AB17" s="101">
        <f t="shared" si="1"/>
        <v>36816.208827999973</v>
      </c>
    </row>
    <row r="18" spans="1:28" x14ac:dyDescent="0.25">
      <c r="A18">
        <f t="shared" si="2"/>
        <v>65536</v>
      </c>
      <c r="B18">
        <f t="shared" si="7"/>
        <v>1376256</v>
      </c>
      <c r="D18" s="101">
        <v>1882</v>
      </c>
      <c r="E18" s="101">
        <v>5010.9599999999627</v>
      </c>
      <c r="F18" s="101">
        <v>152.08500000042841</v>
      </c>
      <c r="G18" s="101">
        <v>2165015.1328129997</v>
      </c>
      <c r="H18" s="101">
        <v>73266.022186999995</v>
      </c>
      <c r="J18" s="101">
        <v>5523.1999999997206</v>
      </c>
      <c r="K18" s="101">
        <v>5061.6699999999255</v>
      </c>
      <c r="L18" s="101">
        <v>40875.045000000391</v>
      </c>
      <c r="M18" s="101">
        <v>2140906.8849999998</v>
      </c>
      <c r="N18" s="101">
        <v>0</v>
      </c>
      <c r="V18" s="101">
        <f t="shared" si="8"/>
        <v>24108.247812999878</v>
      </c>
      <c r="W18" s="101"/>
      <c r="X18" s="99">
        <f t="shared" si="5"/>
        <v>1.1135371502773786E-2</v>
      </c>
      <c r="Y18" s="99"/>
      <c r="Z18" s="99"/>
      <c r="AA18" s="101">
        <f t="shared" si="0"/>
        <v>32543.062187000032</v>
      </c>
      <c r="AB18" s="101">
        <f t="shared" si="1"/>
        <v>73418.107187000423</v>
      </c>
    </row>
    <row r="20" spans="1:28" x14ac:dyDescent="0.25">
      <c r="A20">
        <f>B20/21</f>
        <v>2</v>
      </c>
      <c r="B20">
        <v>42</v>
      </c>
      <c r="D20" s="105">
        <f>D3/$B3</f>
        <v>0.56527476190476222</v>
      </c>
      <c r="E20" s="105">
        <f t="shared" ref="E20:T20" si="9">E3/$B3</f>
        <v>0.51722316666666557</v>
      </c>
      <c r="F20" s="105">
        <f t="shared" si="9"/>
        <v>8.8809142857142892E-2</v>
      </c>
      <c r="G20" s="105">
        <f t="shared" si="9"/>
        <v>1.1319309047619048</v>
      </c>
      <c r="H20" s="105">
        <f t="shared" si="9"/>
        <v>2.0592539285714286</v>
      </c>
      <c r="I20" s="105"/>
      <c r="J20" s="105">
        <f t="shared" si="9"/>
        <v>0.61432095238095297</v>
      </c>
      <c r="K20" s="105">
        <f t="shared" si="9"/>
        <v>0.49637333333333328</v>
      </c>
      <c r="L20" s="105">
        <f t="shared" si="9"/>
        <v>2.093075380952381</v>
      </c>
      <c r="M20" s="105">
        <f t="shared" si="9"/>
        <v>1.1315146190476191</v>
      </c>
      <c r="N20" s="105">
        <f t="shared" si="9"/>
        <v>0</v>
      </c>
      <c r="O20" s="105"/>
      <c r="P20" s="105">
        <f t="shared" si="9"/>
        <v>0.62038761904761874</v>
      </c>
      <c r="Q20" s="105">
        <f t="shared" si="9"/>
        <v>0.44903249999999995</v>
      </c>
      <c r="R20" s="105">
        <f t="shared" si="9"/>
        <v>4.6062190476190167E-2</v>
      </c>
      <c r="S20" s="105">
        <f t="shared" si="9"/>
        <v>1.8415323571428575</v>
      </c>
      <c r="T20" s="105">
        <f t="shared" si="9"/>
        <v>1.767814380952381</v>
      </c>
    </row>
    <row r="21" spans="1:28" x14ac:dyDescent="0.25">
      <c r="A21">
        <f t="shared" ref="A21:A35" si="10">B21/21</f>
        <v>4</v>
      </c>
      <c r="B21">
        <f>B20*2</f>
        <v>84</v>
      </c>
      <c r="D21" s="105">
        <f t="shared" ref="D21:T21" si="11">D4/$B4</f>
        <v>0.43261785714285783</v>
      </c>
      <c r="E21" s="105">
        <f t="shared" si="11"/>
        <v>0.25046588095238048</v>
      </c>
      <c r="F21" s="105">
        <f t="shared" si="11"/>
        <v>4.2973571428571437E-2</v>
      </c>
      <c r="G21" s="105">
        <f t="shared" si="11"/>
        <v>1.1405318214285713</v>
      </c>
      <c r="H21" s="105">
        <f t="shared" si="11"/>
        <v>1.1302687261904762</v>
      </c>
      <c r="I21" s="105"/>
      <c r="J21" s="105">
        <f t="shared" si="11"/>
        <v>0.46550714285714245</v>
      </c>
      <c r="K21" s="105">
        <f t="shared" si="11"/>
        <v>0.23760173809523857</v>
      </c>
      <c r="L21" s="105">
        <f t="shared" si="11"/>
        <v>1.1417304285714285</v>
      </c>
      <c r="M21" s="105">
        <f t="shared" si="11"/>
        <v>1.141584261904762</v>
      </c>
      <c r="N21" s="105">
        <f t="shared" si="11"/>
        <v>0</v>
      </c>
      <c r="O21" s="105"/>
      <c r="P21" s="105">
        <f t="shared" si="11"/>
        <v>0.80593904761904867</v>
      </c>
      <c r="Q21" s="105">
        <f t="shared" si="11"/>
        <v>0.21698380952380922</v>
      </c>
      <c r="R21" s="105">
        <f t="shared" si="11"/>
        <v>4.0223666666667178E-2</v>
      </c>
      <c r="S21" s="105">
        <f t="shared" si="11"/>
        <v>1.5777748095238091</v>
      </c>
      <c r="T21" s="105">
        <f t="shared" si="11"/>
        <v>1.6649834285714287</v>
      </c>
    </row>
    <row r="22" spans="1:28" x14ac:dyDescent="0.25">
      <c r="A22">
        <f t="shared" si="10"/>
        <v>8</v>
      </c>
      <c r="B22">
        <f t="shared" ref="B22:B35" si="12">B21*2</f>
        <v>168</v>
      </c>
      <c r="D22" s="105">
        <f t="shared" ref="D22:T22" si="13">D5/$B5</f>
        <v>0.43360690476190472</v>
      </c>
      <c r="E22" s="105">
        <f t="shared" si="13"/>
        <v>0.12391449999999962</v>
      </c>
      <c r="F22" s="105">
        <f t="shared" si="13"/>
        <v>2.2131035714285947E-2</v>
      </c>
      <c r="G22" s="105">
        <f t="shared" si="13"/>
        <v>1.1717216726190476</v>
      </c>
      <c r="H22" s="105">
        <f t="shared" si="13"/>
        <v>0.61449802976190482</v>
      </c>
      <c r="I22" s="105"/>
      <c r="J22" s="105">
        <f t="shared" si="13"/>
        <v>0.23755750000000053</v>
      </c>
      <c r="K22" s="105">
        <f t="shared" si="13"/>
        <v>0.11839874404761899</v>
      </c>
      <c r="L22" s="105">
        <f t="shared" si="13"/>
        <v>0.62224739880952362</v>
      </c>
      <c r="M22" s="105">
        <f t="shared" si="13"/>
        <v>1.1691871904761906</v>
      </c>
      <c r="N22" s="105">
        <f t="shared" si="13"/>
        <v>0</v>
      </c>
      <c r="O22" s="105"/>
      <c r="P22" s="105">
        <f t="shared" si="13"/>
        <v>0.49248857142857261</v>
      </c>
      <c r="Q22" s="105">
        <f t="shared" si="13"/>
        <v>0.10872830952380937</v>
      </c>
      <c r="R22" s="105">
        <f t="shared" si="13"/>
        <v>3.7021351190475796E-2</v>
      </c>
      <c r="S22" s="105">
        <f t="shared" si="13"/>
        <v>1.4849944464285716</v>
      </c>
      <c r="T22" s="105">
        <f t="shared" si="13"/>
        <v>1.7296870833333333</v>
      </c>
    </row>
    <row r="23" spans="1:28" x14ac:dyDescent="0.25">
      <c r="A23">
        <f t="shared" si="10"/>
        <v>16</v>
      </c>
      <c r="B23">
        <f t="shared" si="12"/>
        <v>336</v>
      </c>
      <c r="D23" s="105">
        <f t="shared" ref="D23:T23" si="14">D6/$B6</f>
        <v>0.22323357142857181</v>
      </c>
      <c r="E23" s="105">
        <f t="shared" si="14"/>
        <v>6.4269687499999922E-2</v>
      </c>
      <c r="F23" s="105">
        <f t="shared" si="14"/>
        <v>1.2139113095237858E-2</v>
      </c>
      <c r="G23" s="105">
        <f t="shared" si="14"/>
        <v>1.254289961309524</v>
      </c>
      <c r="H23" s="105">
        <f t="shared" si="14"/>
        <v>0.43095105952380952</v>
      </c>
      <c r="I23" s="105"/>
      <c r="J23" s="105">
        <f t="shared" si="14"/>
        <v>0.2570279166666668</v>
      </c>
      <c r="K23" s="105">
        <f t="shared" si="14"/>
        <v>6.1044413690476335E-2</v>
      </c>
      <c r="L23" s="105">
        <f t="shared" si="14"/>
        <v>0.43519667261904765</v>
      </c>
      <c r="M23" s="105">
        <f t="shared" si="14"/>
        <v>1.2518848065476189</v>
      </c>
      <c r="N23" s="105">
        <f t="shared" si="14"/>
        <v>0</v>
      </c>
      <c r="O23" s="105"/>
      <c r="P23" s="105">
        <f t="shared" si="14"/>
        <v>0.5502410714285717</v>
      </c>
      <c r="Q23" s="105">
        <f t="shared" si="14"/>
        <v>5.7736880952380228E-2</v>
      </c>
      <c r="R23" s="105">
        <f t="shared" si="14"/>
        <v>3.7397976190476356E-2</v>
      </c>
      <c r="S23" s="105">
        <f t="shared" si="14"/>
        <v>1.5048309315476187</v>
      </c>
      <c r="T23" s="105">
        <f t="shared" si="14"/>
        <v>2.0874973065476192</v>
      </c>
    </row>
    <row r="24" spans="1:28" x14ac:dyDescent="0.25">
      <c r="A24">
        <f t="shared" si="10"/>
        <v>32</v>
      </c>
      <c r="B24">
        <f t="shared" si="12"/>
        <v>672</v>
      </c>
      <c r="D24" s="105">
        <f t="shared" ref="D24:T24" si="15">D7/$B7</f>
        <v>0.16108184523809466</v>
      </c>
      <c r="E24" s="105">
        <f t="shared" si="15"/>
        <v>3.1798212797619317E-2</v>
      </c>
      <c r="F24" s="105">
        <f t="shared" si="15"/>
        <v>6.9446339285714016E-3</v>
      </c>
      <c r="G24" s="105">
        <f t="shared" si="15"/>
        <v>1.3388605282738095</v>
      </c>
      <c r="H24" s="105">
        <f t="shared" si="15"/>
        <v>0.31465763690476189</v>
      </c>
      <c r="I24" s="105"/>
      <c r="J24" s="105">
        <f t="shared" si="15"/>
        <v>0.20552232142857157</v>
      </c>
      <c r="K24" s="105">
        <f t="shared" si="15"/>
        <v>3.0485525297619699E-2</v>
      </c>
      <c r="L24" s="105">
        <f t="shared" si="15"/>
        <v>0.3168411889880951</v>
      </c>
      <c r="M24" s="105">
        <f t="shared" si="15"/>
        <v>1.3384527500000001</v>
      </c>
      <c r="N24" s="105">
        <f t="shared" si="15"/>
        <v>0</v>
      </c>
      <c r="O24" s="105"/>
      <c r="P24" s="105">
        <f t="shared" si="15"/>
        <v>0.24106041666666606</v>
      </c>
      <c r="Q24" s="105">
        <f t="shared" si="15"/>
        <v>3.0183702380952582E-2</v>
      </c>
      <c r="R24" s="105">
        <f t="shared" si="15"/>
        <v>3.7053927083333417E-2</v>
      </c>
      <c r="S24" s="105">
        <f t="shared" si="15"/>
        <v>1.5495438050595238</v>
      </c>
      <c r="T24" s="105">
        <f t="shared" si="15"/>
        <v>2.3213206488095239</v>
      </c>
    </row>
    <row r="25" spans="1:28" x14ac:dyDescent="0.25">
      <c r="A25">
        <f t="shared" si="10"/>
        <v>64</v>
      </c>
      <c r="B25">
        <f t="shared" si="12"/>
        <v>1344</v>
      </c>
      <c r="D25" s="105">
        <f t="shared" ref="D25:T25" si="16">D8/$B8</f>
        <v>0.11343511904761899</v>
      </c>
      <c r="E25" s="105">
        <f t="shared" si="16"/>
        <v>1.6289417410713929E-2</v>
      </c>
      <c r="F25" s="105">
        <f t="shared" si="16"/>
        <v>3.6080930059525719E-3</v>
      </c>
      <c r="G25" s="105">
        <f t="shared" si="16"/>
        <v>1.3769904821428571</v>
      </c>
      <c r="H25" s="105">
        <f t="shared" si="16"/>
        <v>0.15783804910714286</v>
      </c>
      <c r="I25" s="105"/>
      <c r="J25" s="105">
        <f t="shared" si="16"/>
        <v>0.10869672619047559</v>
      </c>
      <c r="K25" s="105">
        <f t="shared" si="16"/>
        <v>1.5672434523810216E-2</v>
      </c>
      <c r="L25" s="105">
        <f t="shared" si="16"/>
        <v>0.15916040699404749</v>
      </c>
      <c r="M25" s="105">
        <f t="shared" si="16"/>
        <v>1.3777251941964286</v>
      </c>
      <c r="N25" s="105">
        <f t="shared" si="16"/>
        <v>0</v>
      </c>
      <c r="O25" s="105"/>
      <c r="P25" s="105">
        <f t="shared" si="16"/>
        <v>9.9840476190474689E-2</v>
      </c>
      <c r="Q25" s="105">
        <f t="shared" si="16"/>
        <v>1.5677261904762589E-2</v>
      </c>
      <c r="R25" s="105">
        <f t="shared" si="16"/>
        <v>3.661964732142816E-2</v>
      </c>
      <c r="S25" s="105">
        <f t="shared" si="16"/>
        <v>1.5532097336309525</v>
      </c>
      <c r="T25" s="105">
        <f t="shared" si="16"/>
        <v>2.3788344285714285</v>
      </c>
    </row>
    <row r="26" spans="1:28" x14ac:dyDescent="0.25">
      <c r="A26">
        <f t="shared" si="10"/>
        <v>128</v>
      </c>
      <c r="B26">
        <f t="shared" si="12"/>
        <v>2688</v>
      </c>
      <c r="D26" s="105">
        <f t="shared" ref="D26:T26" si="17">D9/$B9</f>
        <v>1.5727529761904908E-2</v>
      </c>
      <c r="E26" s="105">
        <f t="shared" si="17"/>
        <v>8.2388560267853597E-3</v>
      </c>
      <c r="F26" s="105">
        <f t="shared" si="17"/>
        <v>1.7982938988095516E-3</v>
      </c>
      <c r="G26" s="105">
        <f t="shared" si="17"/>
        <v>1.3825794933035713</v>
      </c>
      <c r="H26" s="105">
        <f t="shared" si="17"/>
        <v>7.9466615699404761E-2</v>
      </c>
      <c r="I26" s="105"/>
      <c r="J26" s="105">
        <f t="shared" si="17"/>
        <v>1.6216741071428571E-2</v>
      </c>
      <c r="K26" s="105">
        <f t="shared" si="17"/>
        <v>7.8756569940479498E-3</v>
      </c>
      <c r="L26" s="105">
        <f t="shared" si="17"/>
        <v>8.010096577380954E-2</v>
      </c>
      <c r="M26" s="105">
        <f t="shared" si="17"/>
        <v>1.3828939129464284</v>
      </c>
      <c r="N26" s="105">
        <f t="shared" si="17"/>
        <v>0</v>
      </c>
      <c r="O26" s="105"/>
      <c r="P26" s="105">
        <f t="shared" si="17"/>
        <v>3.0723958333333762E-2</v>
      </c>
      <c r="Q26" s="105">
        <f t="shared" si="17"/>
        <v>8.3885889136907851E-3</v>
      </c>
      <c r="R26" s="105">
        <f t="shared" si="17"/>
        <v>3.6123134300594759E-2</v>
      </c>
      <c r="S26" s="105">
        <f t="shared" si="17"/>
        <v>1.5412312786458335</v>
      </c>
      <c r="T26" s="105">
        <f t="shared" si="17"/>
        <v>2.3300003017113093</v>
      </c>
    </row>
    <row r="27" spans="1:28" x14ac:dyDescent="0.25">
      <c r="A27">
        <f t="shared" si="10"/>
        <v>256</v>
      </c>
      <c r="B27">
        <f t="shared" si="12"/>
        <v>5376</v>
      </c>
      <c r="D27" s="105">
        <f t="shared" ref="D27:T27" si="18">D10/$B10</f>
        <v>4.986112351190472E-2</v>
      </c>
      <c r="E27" s="105">
        <f t="shared" si="18"/>
        <v>4.1427025669638811E-3</v>
      </c>
      <c r="F27" s="105">
        <f t="shared" si="18"/>
        <v>9.1067354910717453E-4</v>
      </c>
      <c r="G27" s="105">
        <f t="shared" si="18"/>
        <v>1.3930340167410715</v>
      </c>
      <c r="H27" s="105">
        <f t="shared" si="18"/>
        <v>4.0154459821428568E-2</v>
      </c>
      <c r="I27" s="105"/>
      <c r="J27" s="105">
        <f t="shared" si="18"/>
        <v>5.0615401785713283E-2</v>
      </c>
      <c r="K27" s="105">
        <f t="shared" si="18"/>
        <v>4.9876465773816252E-3</v>
      </c>
      <c r="L27" s="105">
        <f t="shared" si="18"/>
        <v>4.0513827008928568E-2</v>
      </c>
      <c r="M27" s="105">
        <f t="shared" si="18"/>
        <v>1.3920237496279761</v>
      </c>
      <c r="N27" s="105">
        <f t="shared" si="18"/>
        <v>0</v>
      </c>
      <c r="O27" s="105"/>
      <c r="P27" s="105">
        <f t="shared" si="18"/>
        <v>2.9324404761902928E-2</v>
      </c>
      <c r="Q27" s="105">
        <f t="shared" si="18"/>
        <v>4.7153595610135808E-3</v>
      </c>
      <c r="R27" s="105">
        <f t="shared" si="18"/>
        <v>3.6144830729166903E-2</v>
      </c>
      <c r="S27" s="105">
        <f t="shared" si="18"/>
        <v>1.537172412016369</v>
      </c>
      <c r="T27" s="105">
        <f t="shared" si="18"/>
        <v>2.3361288560267859</v>
      </c>
    </row>
    <row r="28" spans="1:28" x14ac:dyDescent="0.25">
      <c r="A28">
        <f t="shared" si="10"/>
        <v>512</v>
      </c>
      <c r="B28">
        <f t="shared" si="12"/>
        <v>10752</v>
      </c>
      <c r="D28" s="105">
        <f t="shared" ref="D28:T28" si="19">D11/$B11</f>
        <v>9.330729166666208E-3</v>
      </c>
      <c r="E28" s="105">
        <f t="shared" si="19"/>
        <v>2.0709511718757022E-3</v>
      </c>
      <c r="F28" s="105">
        <f t="shared" si="19"/>
        <v>4.5206529017841984E-4</v>
      </c>
      <c r="G28" s="105">
        <f t="shared" si="19"/>
        <v>1.3987074112723215</v>
      </c>
      <c r="H28" s="105">
        <f t="shared" si="19"/>
        <v>2.0294683872767855E-2</v>
      </c>
      <c r="I28" s="105"/>
      <c r="J28" s="105">
        <f t="shared" si="19"/>
        <v>8.3143601190476778E-3</v>
      </c>
      <c r="K28" s="105">
        <f t="shared" si="19"/>
        <v>1.9670461309524222E-3</v>
      </c>
      <c r="L28" s="105">
        <f t="shared" si="19"/>
        <v>2.0466301339285713E-2</v>
      </c>
      <c r="M28" s="105">
        <f t="shared" si="19"/>
        <v>1.3968093980654761</v>
      </c>
      <c r="N28" s="105">
        <f t="shared" si="19"/>
        <v>0</v>
      </c>
      <c r="O28" s="105"/>
      <c r="P28" s="105">
        <f t="shared" si="19"/>
        <v>3.3409598214277701E-3</v>
      </c>
      <c r="Q28" s="105">
        <f t="shared" si="19"/>
        <v>2.3222147507455234E-3</v>
      </c>
      <c r="R28" s="105">
        <f t="shared" si="19"/>
        <v>3.6389894066220209E-2</v>
      </c>
      <c r="S28" s="105">
        <f t="shared" si="19"/>
        <v>1.5293265969122021</v>
      </c>
      <c r="T28" s="105">
        <f t="shared" si="19"/>
        <v>3.0104177674851194</v>
      </c>
    </row>
    <row r="29" spans="1:28" x14ac:dyDescent="0.25">
      <c r="A29">
        <f t="shared" si="10"/>
        <v>1024</v>
      </c>
      <c r="B29">
        <f t="shared" si="12"/>
        <v>21504</v>
      </c>
      <c r="D29" s="105">
        <f t="shared" ref="D29:T29" si="20">D12/$B12</f>
        <v>5.8797433035713484E-3</v>
      </c>
      <c r="E29" s="105">
        <f t="shared" si="20"/>
        <v>2.7497017299108421E-3</v>
      </c>
      <c r="F29" s="105">
        <f t="shared" si="20"/>
        <v>4.9707868303577082E-4</v>
      </c>
      <c r="G29" s="105">
        <f t="shared" si="20"/>
        <v>1.3998789329892112</v>
      </c>
      <c r="H29" s="105">
        <f t="shared" si="20"/>
        <v>2.1070901181175595E-2</v>
      </c>
      <c r="I29" s="105"/>
      <c r="J29" s="105">
        <f t="shared" si="20"/>
        <v>9.7606956845241594E-3</v>
      </c>
      <c r="K29" s="105">
        <f t="shared" si="20"/>
        <v>2.586519531249617E-3</v>
      </c>
      <c r="L29" s="105">
        <f t="shared" si="20"/>
        <v>2.1127519112723241E-2</v>
      </c>
      <c r="M29" s="105">
        <f t="shared" si="20"/>
        <v>1.3981875610584078</v>
      </c>
      <c r="N29" s="105">
        <f t="shared" si="20"/>
        <v>0</v>
      </c>
      <c r="O29" s="105"/>
      <c r="P29" s="105">
        <f t="shared" si="20"/>
        <v>7.6990327380951299E-3</v>
      </c>
      <c r="Q29" s="105">
        <f t="shared" si="20"/>
        <v>3.1715029761903409E-3</v>
      </c>
      <c r="R29" s="105">
        <f t="shared" si="20"/>
        <v>3.6859356119791867E-2</v>
      </c>
      <c r="S29" s="105">
        <f t="shared" si="20"/>
        <v>1.5751231238839287</v>
      </c>
      <c r="T29" s="105">
        <f t="shared" si="20"/>
        <v>3.6811536807105654</v>
      </c>
    </row>
    <row r="30" spans="1:28" x14ac:dyDescent="0.25">
      <c r="A30">
        <f t="shared" si="10"/>
        <v>2048</v>
      </c>
      <c r="B30">
        <f t="shared" si="12"/>
        <v>43008</v>
      </c>
      <c r="D30" s="105">
        <f t="shared" ref="D30:T30" si="21">D13/$B13</f>
        <v>3.7742280505950717E-3</v>
      </c>
      <c r="E30" s="105">
        <f t="shared" si="21"/>
        <v>1.7848329148066676E-3</v>
      </c>
      <c r="F30" s="105">
        <f t="shared" si="21"/>
        <v>5.6694212704620046E-4</v>
      </c>
      <c r="G30" s="105">
        <f t="shared" si="21"/>
        <v>1.4017101503208704</v>
      </c>
      <c r="H30" s="105">
        <f t="shared" si="21"/>
        <v>2.0409010277157739E-2</v>
      </c>
      <c r="I30" s="105"/>
      <c r="J30" s="105">
        <f t="shared" si="21"/>
        <v>7.1758277529762422E-3</v>
      </c>
      <c r="K30" s="105">
        <f t="shared" si="21"/>
        <v>1.7343252185639813E-3</v>
      </c>
      <c r="L30" s="105">
        <f t="shared" si="21"/>
        <v>2.104577020554322E-2</v>
      </c>
      <c r="M30" s="105">
        <f t="shared" si="21"/>
        <v>1.4000941140252976</v>
      </c>
      <c r="N30" s="105">
        <f t="shared" si="21"/>
        <v>0</v>
      </c>
      <c r="O30" s="105"/>
      <c r="P30" s="105">
        <f t="shared" si="21"/>
        <v>3.8899739583330628E-3</v>
      </c>
      <c r="Q30" s="105">
        <f t="shared" si="21"/>
        <v>1.3123357979914036E-3</v>
      </c>
      <c r="R30" s="105">
        <f t="shared" si="21"/>
        <v>3.7386249348958109E-2</v>
      </c>
      <c r="S30" s="105">
        <f t="shared" si="21"/>
        <v>1.6016451445079987</v>
      </c>
      <c r="T30" s="105">
        <f t="shared" si="21"/>
        <v>3.7213289823986235</v>
      </c>
    </row>
    <row r="31" spans="1:28" x14ac:dyDescent="0.25">
      <c r="A31">
        <f t="shared" si="10"/>
        <v>4096</v>
      </c>
      <c r="B31">
        <f t="shared" si="12"/>
        <v>86016</v>
      </c>
      <c r="D31" s="105">
        <f t="shared" ref="D31:T31" si="22">D14/$B14</f>
        <v>2.736700148809456E-3</v>
      </c>
      <c r="E31" s="105">
        <f t="shared" si="22"/>
        <v>9.9578494698653627E-4</v>
      </c>
      <c r="F31" s="105">
        <f t="shared" si="22"/>
        <v>2.6089621698300816E-4</v>
      </c>
      <c r="G31" s="105">
        <f t="shared" si="22"/>
        <v>1.4028678298572357</v>
      </c>
      <c r="H31" s="105">
        <f t="shared" si="22"/>
        <v>3.5473935779389877E-2</v>
      </c>
      <c r="I31" s="105"/>
      <c r="J31" s="105">
        <f t="shared" si="22"/>
        <v>1.011835007440489E-2</v>
      </c>
      <c r="K31" s="105">
        <f t="shared" si="22"/>
        <v>1.5049907110304432E-3</v>
      </c>
      <c r="L31" s="105">
        <f t="shared" si="22"/>
        <v>3.6755550932384772E-2</v>
      </c>
      <c r="M31" s="105">
        <f t="shared" si="22"/>
        <v>1.4016922578357514</v>
      </c>
      <c r="N31" s="105">
        <f t="shared" si="22"/>
        <v>0</v>
      </c>
      <c r="O31" s="105"/>
      <c r="P31" s="105">
        <f t="shared" si="22"/>
        <v>4.4559151785717533E-3</v>
      </c>
      <c r="Q31" s="105">
        <f t="shared" si="22"/>
        <v>7.6202392578141238E-4</v>
      </c>
      <c r="R31" s="105">
        <f t="shared" si="22"/>
        <v>3.7674909319195968E-2</v>
      </c>
      <c r="S31" s="105">
        <f t="shared" si="22"/>
        <v>1.624698173886254</v>
      </c>
      <c r="T31" s="105">
        <f t="shared" si="22"/>
        <v>3.7266367957705544</v>
      </c>
    </row>
    <row r="32" spans="1:28" x14ac:dyDescent="0.25">
      <c r="A32">
        <f t="shared" si="10"/>
        <v>8192</v>
      </c>
      <c r="B32">
        <f t="shared" si="12"/>
        <v>172032</v>
      </c>
      <c r="D32" s="105">
        <f t="shared" ref="D32:T32" si="23">D15/$B15</f>
        <v>3.2776460193451569E-3</v>
      </c>
      <c r="E32" s="105">
        <f t="shared" si="23"/>
        <v>1.4360337030320616E-4</v>
      </c>
      <c r="F32" s="105">
        <f t="shared" si="23"/>
        <v>1.5263148716521919E-4</v>
      </c>
      <c r="G32" s="105">
        <f t="shared" si="23"/>
        <v>1.4029184594610304</v>
      </c>
      <c r="H32" s="105">
        <f t="shared" si="23"/>
        <v>5.4715574468703503E-2</v>
      </c>
      <c r="I32" s="105"/>
      <c r="J32" s="105">
        <f t="shared" si="23"/>
        <v>4.646461123511884E-3</v>
      </c>
      <c r="K32" s="105">
        <f t="shared" si="23"/>
        <v>1.4298393903460003E-4</v>
      </c>
      <c r="L32" s="105">
        <f t="shared" si="23"/>
        <v>3.1971459158761206E-2</v>
      </c>
      <c r="M32" s="105">
        <f t="shared" si="23"/>
        <v>1.4019582875569661</v>
      </c>
      <c r="N32" s="105">
        <f t="shared" si="23"/>
        <v>0</v>
      </c>
      <c r="O32" s="105"/>
      <c r="P32" s="105">
        <f t="shared" si="23"/>
        <v>2.5551060267860392E-3</v>
      </c>
      <c r="Q32" s="105">
        <f t="shared" si="23"/>
        <v>2.3081461588552493E-4</v>
      </c>
      <c r="R32" s="105">
        <f t="shared" si="23"/>
        <v>3.6711425781249543E-2</v>
      </c>
      <c r="S32" s="105">
        <f t="shared" si="23"/>
        <v>1.635108780633836</v>
      </c>
      <c r="T32" s="105">
        <f t="shared" si="23"/>
        <v>3.740097416469029</v>
      </c>
    </row>
    <row r="33" spans="1:28" x14ac:dyDescent="0.25">
      <c r="A33">
        <f t="shared" si="10"/>
        <v>16384</v>
      </c>
      <c r="B33">
        <f t="shared" si="12"/>
        <v>344064</v>
      </c>
      <c r="D33" s="105">
        <f t="shared" ref="D33:N33" si="24">D16/$B16</f>
        <v>2.2320265997026112E-3</v>
      </c>
      <c r="E33" s="105">
        <f t="shared" si="24"/>
        <v>0.15777757190522682</v>
      </c>
      <c r="F33" s="105">
        <f t="shared" si="24"/>
        <v>1.2809753417980253E-4</v>
      </c>
      <c r="G33" s="105">
        <f t="shared" si="24"/>
        <v>1.4021861296619231</v>
      </c>
      <c r="H33" s="105">
        <f t="shared" si="24"/>
        <v>5.3652213640485495E-2</v>
      </c>
      <c r="I33" s="105"/>
      <c r="J33" s="105">
        <f t="shared" si="24"/>
        <v>4.496663411458374E-3</v>
      </c>
      <c r="K33" s="105">
        <f t="shared" si="24"/>
        <v>1.9628070649651313E-4</v>
      </c>
      <c r="L33" s="105">
        <f t="shared" si="24"/>
        <v>3.1625566028413321E-2</v>
      </c>
      <c r="M33" s="105">
        <f t="shared" si="24"/>
        <v>1.4766616912115187</v>
      </c>
      <c r="N33" s="105">
        <f t="shared" si="24"/>
        <v>0</v>
      </c>
      <c r="O33" s="105"/>
      <c r="P33" s="105"/>
      <c r="Q33" s="105"/>
      <c r="R33" s="105"/>
      <c r="S33" s="105"/>
      <c r="T33" s="105"/>
    </row>
    <row r="34" spans="1:28" x14ac:dyDescent="0.25">
      <c r="A34">
        <f t="shared" si="10"/>
        <v>32768</v>
      </c>
      <c r="B34">
        <f t="shared" si="12"/>
        <v>688128</v>
      </c>
      <c r="D34" s="105">
        <f t="shared" ref="D34:N34" si="25">D17/$B17</f>
        <v>1.4387895973191023</v>
      </c>
      <c r="E34" s="105">
        <f t="shared" si="25"/>
        <v>1.5243876895589602E-3</v>
      </c>
      <c r="F34" s="105">
        <f t="shared" si="25"/>
        <v>1.1717478434241408E-4</v>
      </c>
      <c r="G34" s="105">
        <f t="shared" si="25"/>
        <v>1.4106715210280645</v>
      </c>
      <c r="H34" s="105">
        <f t="shared" si="25"/>
        <v>5.338480279541015E-2</v>
      </c>
      <c r="I34" s="105"/>
      <c r="J34" s="105">
        <f t="shared" si="25"/>
        <v>1.4110164336295969</v>
      </c>
      <c r="K34" s="105">
        <f t="shared" si="25"/>
        <v>1.9638473021389911E-4</v>
      </c>
      <c r="L34" s="105">
        <f t="shared" si="25"/>
        <v>3.0695933387393144E-2</v>
      </c>
      <c r="M34" s="105">
        <f t="shared" si="25"/>
        <v>1.40099855695452</v>
      </c>
      <c r="N34" s="105">
        <f t="shared" si="25"/>
        <v>0</v>
      </c>
      <c r="O34" s="105"/>
      <c r="P34" s="105"/>
      <c r="Q34" s="105"/>
      <c r="R34" s="105"/>
      <c r="S34" s="105"/>
      <c r="T34" s="105"/>
    </row>
    <row r="35" spans="1:28" x14ac:dyDescent="0.25">
      <c r="A35">
        <f t="shared" si="10"/>
        <v>65536</v>
      </c>
      <c r="B35">
        <f t="shared" si="12"/>
        <v>1376256</v>
      </c>
      <c r="D35" s="105">
        <f t="shared" ref="D35:N35" si="26">D18/$B18</f>
        <v>1.3674781436011905E-3</v>
      </c>
      <c r="E35" s="105">
        <f t="shared" si="26"/>
        <v>3.6410086495535445E-3</v>
      </c>
      <c r="F35" s="105">
        <f t="shared" si="26"/>
        <v>1.1050633021794521E-4</v>
      </c>
      <c r="G35" s="105">
        <f t="shared" si="26"/>
        <v>1.5731194870816183</v>
      </c>
      <c r="H35" s="105">
        <f t="shared" si="26"/>
        <v>5.3235751333327516E-2</v>
      </c>
      <c r="I35" s="105"/>
      <c r="J35" s="105">
        <f t="shared" si="26"/>
        <v>4.0132068452378919E-3</v>
      </c>
      <c r="K35" s="105">
        <f t="shared" si="26"/>
        <v>3.67785499209444E-3</v>
      </c>
      <c r="L35" s="105">
        <f t="shared" si="26"/>
        <v>2.9700175694057203E-2</v>
      </c>
      <c r="M35" s="105">
        <f t="shared" si="26"/>
        <v>1.5556022171747115</v>
      </c>
      <c r="N35" s="105">
        <f t="shared" si="26"/>
        <v>0</v>
      </c>
      <c r="O35" s="105"/>
      <c r="P35" s="105"/>
      <c r="Q35" s="105"/>
      <c r="R35" s="105"/>
      <c r="S35" s="105"/>
      <c r="T35" s="105"/>
    </row>
    <row r="38" spans="1:28" x14ac:dyDescent="0.25">
      <c r="A38">
        <v>3060</v>
      </c>
    </row>
    <row r="39" spans="1:28" x14ac:dyDescent="0.25">
      <c r="D39" s="101" t="s">
        <v>96</v>
      </c>
      <c r="E39" s="101" t="s">
        <v>97</v>
      </c>
      <c r="F39" s="101" t="s">
        <v>98</v>
      </c>
      <c r="G39" s="101" t="s">
        <v>99</v>
      </c>
      <c r="H39" s="101" t="s">
        <v>100</v>
      </c>
      <c r="J39" s="101" t="s">
        <v>96</v>
      </c>
      <c r="K39" s="101" t="s">
        <v>97</v>
      </c>
      <c r="L39" s="101" t="s">
        <v>98</v>
      </c>
      <c r="M39" s="101" t="s">
        <v>99</v>
      </c>
      <c r="N39" s="101" t="s">
        <v>100</v>
      </c>
      <c r="P39" s="101" t="s">
        <v>96</v>
      </c>
      <c r="Q39" s="101" t="s">
        <v>97</v>
      </c>
      <c r="R39" s="101" t="s">
        <v>98</v>
      </c>
      <c r="S39" s="101" t="s">
        <v>99</v>
      </c>
      <c r="T39" s="101" t="s">
        <v>100</v>
      </c>
    </row>
    <row r="40" spans="1:28" x14ac:dyDescent="0.25">
      <c r="A40">
        <f>B40/21</f>
        <v>2</v>
      </c>
      <c r="B40">
        <v>42</v>
      </c>
      <c r="C40" t="s">
        <v>41</v>
      </c>
      <c r="D40" s="101">
        <v>7.7982800000002044</v>
      </c>
      <c r="E40" s="101">
        <v>33.73976599999969</v>
      </c>
      <c r="F40" s="101">
        <v>24.188378000000057</v>
      </c>
      <c r="G40" s="101">
        <v>206.92702599999996</v>
      </c>
      <c r="H40" s="101">
        <v>430.99495000000002</v>
      </c>
      <c r="I40" s="101" t="s">
        <v>43</v>
      </c>
      <c r="J40" s="101">
        <v>8.0313199999997096</v>
      </c>
      <c r="K40" s="101">
        <v>36.296982000000185</v>
      </c>
      <c r="L40" s="101">
        <v>449.34626399999996</v>
      </c>
      <c r="M40" s="101">
        <v>204.90231399999999</v>
      </c>
      <c r="N40" s="101">
        <v>0</v>
      </c>
      <c r="O40" s="101" t="s">
        <v>42</v>
      </c>
      <c r="P40" s="101">
        <v>7.8210000000000264</v>
      </c>
      <c r="Q40" s="101">
        <v>22.806691999999998</v>
      </c>
      <c r="R40" s="101">
        <v>-0.34154399999999896</v>
      </c>
      <c r="S40" s="101">
        <v>255.275926</v>
      </c>
      <c r="T40" s="101">
        <v>37.991385999999999</v>
      </c>
      <c r="V40" s="101">
        <f>G40-M40</f>
        <v>2.0247119999999654</v>
      </c>
      <c r="W40" s="101">
        <f>G40-S40</f>
        <v>-48.348900000000043</v>
      </c>
      <c r="X40" s="99">
        <f>V40/G40</f>
        <v>9.7846667935969165E-3</v>
      </c>
      <c r="Y40" s="99">
        <f>W40/G40</f>
        <v>-0.23365193486132668</v>
      </c>
      <c r="Z40" s="99"/>
      <c r="AA40" s="101">
        <f t="shared" ref="AA40:AA46" si="27">F40+H40-L40</f>
        <v>5.8370640000001117</v>
      </c>
      <c r="AB40" s="101">
        <f t="shared" ref="AB40:AB46" si="28">F40+H40-R40-T40</f>
        <v>417.5334860000001</v>
      </c>
    </row>
    <row r="41" spans="1:28" x14ac:dyDescent="0.25">
      <c r="A41">
        <f t="shared" ref="A41:A46" si="29">B41/21</f>
        <v>4</v>
      </c>
      <c r="B41">
        <f>B40*2</f>
        <v>84</v>
      </c>
      <c r="C41" t="s">
        <v>41</v>
      </c>
      <c r="D41" s="101">
        <v>7.5832199999998693</v>
      </c>
      <c r="E41" s="101">
        <v>36.273923000000423</v>
      </c>
      <c r="F41" s="101">
        <v>24.800532999999973</v>
      </c>
      <c r="G41" s="101">
        <v>390.848502</v>
      </c>
      <c r="H41" s="101">
        <v>436.56694199999998</v>
      </c>
      <c r="I41" s="101" t="s">
        <v>43</v>
      </c>
      <c r="J41" s="101">
        <v>7.3828200000004927</v>
      </c>
      <c r="K41" s="101">
        <v>31.153559999999857</v>
      </c>
      <c r="L41" s="101">
        <v>454.770916</v>
      </c>
      <c r="M41" s="101">
        <v>387.13132400000001</v>
      </c>
      <c r="N41" s="101">
        <v>0</v>
      </c>
      <c r="O41" s="101" t="s">
        <v>42</v>
      </c>
      <c r="P41" s="101">
        <v>7.2309200000003102</v>
      </c>
      <c r="Q41" s="101">
        <v>21.563159999999868</v>
      </c>
      <c r="R41" s="101">
        <v>1.8470439999999826</v>
      </c>
      <c r="S41" s="101">
        <v>439.28702400000003</v>
      </c>
      <c r="T41" s="101">
        <v>68.924492000000001</v>
      </c>
      <c r="V41" s="101">
        <f t="shared" ref="V41:V46" si="30">G41-M41</f>
        <v>3.7171779999999899</v>
      </c>
      <c r="W41" s="101">
        <f t="shared" ref="W41:W46" si="31">G41-S41</f>
        <v>-48.438522000000034</v>
      </c>
      <c r="X41" s="99">
        <f t="shared" ref="X41:X46" si="32">V41/G41</f>
        <v>9.5105340841244671E-3</v>
      </c>
      <c r="Y41" s="99">
        <f t="shared" ref="Y41:Y46" si="33">W41/G41</f>
        <v>-0.12393170692003838</v>
      </c>
      <c r="Z41" s="99"/>
      <c r="AA41" s="101">
        <f t="shared" si="27"/>
        <v>6.5965589999999565</v>
      </c>
      <c r="AB41" s="101">
        <f t="shared" si="28"/>
        <v>390.59593899999999</v>
      </c>
    </row>
    <row r="42" spans="1:28" x14ac:dyDescent="0.25">
      <c r="A42">
        <f t="shared" si="29"/>
        <v>8</v>
      </c>
      <c r="B42">
        <f t="shared" ref="B42:B46" si="34">B41*2</f>
        <v>168</v>
      </c>
      <c r="C42" t="s">
        <v>41</v>
      </c>
      <c r="D42" s="101">
        <v>8.4726000000005115</v>
      </c>
      <c r="E42" s="101">
        <v>45.737262999999984</v>
      </c>
      <c r="F42" s="101">
        <v>27.338724000000184</v>
      </c>
      <c r="G42" s="101">
        <v>763.02182899999991</v>
      </c>
      <c r="H42" s="101">
        <v>432.63198399999999</v>
      </c>
      <c r="I42" s="101" t="s">
        <v>43</v>
      </c>
      <c r="J42" s="101">
        <v>8.6003999999993539</v>
      </c>
      <c r="K42" s="101">
        <v>43.460006000000249</v>
      </c>
      <c r="L42" s="101">
        <v>455.37673999999993</v>
      </c>
      <c r="M42" s="101">
        <v>757.95245399999999</v>
      </c>
      <c r="N42" s="101">
        <v>0</v>
      </c>
      <c r="O42" s="101" t="s">
        <v>42</v>
      </c>
      <c r="P42" s="101">
        <v>8.4074200000002293</v>
      </c>
      <c r="Q42" s="101">
        <v>28.194134999999847</v>
      </c>
      <c r="R42" s="101">
        <v>2.8645290000000614</v>
      </c>
      <c r="S42" s="101">
        <v>839.01121399999988</v>
      </c>
      <c r="T42" s="101">
        <v>141.09030200000001</v>
      </c>
      <c r="V42" s="101">
        <f t="shared" si="30"/>
        <v>5.0693749999999227</v>
      </c>
      <c r="W42" s="101">
        <f t="shared" si="31"/>
        <v>-75.98938499999997</v>
      </c>
      <c r="X42" s="99">
        <f t="shared" si="32"/>
        <v>6.6438138560776655E-3</v>
      </c>
      <c r="Y42" s="99">
        <f t="shared" si="33"/>
        <v>-9.9590053799103018E-2</v>
      </c>
      <c r="Z42" s="99"/>
      <c r="AA42" s="101">
        <f t="shared" si="27"/>
        <v>4.5939680000002454</v>
      </c>
      <c r="AB42" s="101">
        <f t="shared" si="28"/>
        <v>316.0158770000001</v>
      </c>
    </row>
    <row r="43" spans="1:28" x14ac:dyDescent="0.25">
      <c r="A43">
        <f t="shared" si="29"/>
        <v>16</v>
      </c>
      <c r="B43">
        <f t="shared" si="34"/>
        <v>336</v>
      </c>
      <c r="C43" t="s">
        <v>41</v>
      </c>
      <c r="D43" s="101">
        <v>10.618399999999383</v>
      </c>
      <c r="E43" s="101">
        <v>51.250976000000264</v>
      </c>
      <c r="F43" s="101">
        <v>29.611832999999933</v>
      </c>
      <c r="G43" s="101">
        <v>1503.8060260000002</v>
      </c>
      <c r="H43" s="101">
        <v>437.26936499999999</v>
      </c>
      <c r="I43" s="101" t="s">
        <v>43</v>
      </c>
      <c r="J43" s="101">
        <v>10.682799999999133</v>
      </c>
      <c r="K43" s="101">
        <v>51.367868000000726</v>
      </c>
      <c r="L43" s="101">
        <v>464.89463300000011</v>
      </c>
      <c r="M43" s="101">
        <v>1507.5334989999999</v>
      </c>
      <c r="N43" s="101">
        <v>0</v>
      </c>
      <c r="O43" s="101" t="s">
        <v>42</v>
      </c>
      <c r="P43" s="101">
        <v>10.577600000000984</v>
      </c>
      <c r="Q43" s="101">
        <v>31.819786999999678</v>
      </c>
      <c r="R43" s="101">
        <v>5.0133470000000671</v>
      </c>
      <c r="S43" s="101">
        <v>1621.9212579999999</v>
      </c>
      <c r="T43" s="101">
        <v>312.18340799999999</v>
      </c>
      <c r="V43" s="101">
        <f t="shared" si="30"/>
        <v>-3.7274729999996907</v>
      </c>
      <c r="W43" s="101">
        <f t="shared" si="31"/>
        <v>-118.11523199999965</v>
      </c>
      <c r="X43" s="99">
        <f t="shared" si="32"/>
        <v>-2.4786926874568131E-3</v>
      </c>
      <c r="Y43" s="99">
        <f t="shared" si="33"/>
        <v>-7.8544193837403631E-2</v>
      </c>
      <c r="Z43" s="99"/>
      <c r="AA43" s="101">
        <f t="shared" si="27"/>
        <v>1.9865649999998141</v>
      </c>
      <c r="AB43" s="101">
        <f t="shared" si="28"/>
        <v>149.68444299999987</v>
      </c>
    </row>
    <row r="44" spans="1:28" x14ac:dyDescent="0.25">
      <c r="A44">
        <f t="shared" si="29"/>
        <v>32</v>
      </c>
      <c r="B44">
        <f t="shared" si="34"/>
        <v>672</v>
      </c>
      <c r="C44" t="s">
        <v>41</v>
      </c>
      <c r="D44" s="101">
        <v>13.186600000001363</v>
      </c>
      <c r="E44" s="101">
        <v>65.580542000000605</v>
      </c>
      <c r="F44" s="101">
        <v>33.592354000000341</v>
      </c>
      <c r="G44" s="101">
        <v>3106.5974029999998</v>
      </c>
      <c r="H44" s="101">
        <v>458.73930100000001</v>
      </c>
      <c r="I44" s="101" t="s">
        <v>43</v>
      </c>
      <c r="J44" s="101">
        <v>13.441600000001017</v>
      </c>
      <c r="K44" s="101">
        <v>67.215607999999065</v>
      </c>
      <c r="L44" s="101">
        <v>488.44428199999993</v>
      </c>
      <c r="M44" s="101">
        <v>3110.8129100000001</v>
      </c>
      <c r="N44" s="101">
        <v>0</v>
      </c>
      <c r="O44" s="101" t="s">
        <v>42</v>
      </c>
      <c r="P44" s="101">
        <v>13.281399999997575</v>
      </c>
      <c r="Q44" s="101">
        <v>36.704662000000098</v>
      </c>
      <c r="R44" s="101">
        <v>8.0406590000002325</v>
      </c>
      <c r="S44" s="101">
        <v>3298.7797890000002</v>
      </c>
      <c r="T44" s="101">
        <v>671.19128999999998</v>
      </c>
      <c r="V44" s="101">
        <f t="shared" si="30"/>
        <v>-4.2155070000003434</v>
      </c>
      <c r="W44" s="101">
        <f t="shared" si="31"/>
        <v>-192.18238600000041</v>
      </c>
      <c r="X44" s="99">
        <f t="shared" si="32"/>
        <v>-1.3569531075798508E-3</v>
      </c>
      <c r="Y44" s="99">
        <f t="shared" si="33"/>
        <v>-6.18626622858863E-2</v>
      </c>
      <c r="Z44" s="99"/>
      <c r="AA44" s="101">
        <f t="shared" si="27"/>
        <v>3.887373000000423</v>
      </c>
      <c r="AB44" s="101">
        <f t="shared" si="28"/>
        <v>-186.90029399999986</v>
      </c>
    </row>
    <row r="45" spans="1:28" x14ac:dyDescent="0.25">
      <c r="A45">
        <f t="shared" si="29"/>
        <v>64</v>
      </c>
      <c r="B45">
        <f t="shared" si="34"/>
        <v>1344</v>
      </c>
      <c r="C45" t="s">
        <v>41</v>
      </c>
      <c r="D45" s="101">
        <v>19.653000000002066</v>
      </c>
      <c r="E45" s="101">
        <v>85.905163999997967</v>
      </c>
      <c r="F45" s="101">
        <v>34.252978000000439</v>
      </c>
      <c r="G45" s="101">
        <v>6243.2982229999998</v>
      </c>
      <c r="H45" s="101">
        <v>454.87103500000001</v>
      </c>
      <c r="I45" s="101" t="s">
        <v>43</v>
      </c>
      <c r="J45" s="101">
        <v>19.858200000000579</v>
      </c>
      <c r="K45" s="101">
        <v>92.480508999999984</v>
      </c>
      <c r="L45" s="101">
        <v>483.07661199999984</v>
      </c>
      <c r="M45" s="101">
        <v>6238.621279</v>
      </c>
      <c r="N45" s="101">
        <v>0</v>
      </c>
      <c r="O45" s="101" t="s">
        <v>42</v>
      </c>
      <c r="P45" s="101">
        <v>19.42200000000048</v>
      </c>
      <c r="Q45" s="101">
        <v>42.151630999998815</v>
      </c>
      <c r="R45" s="101">
        <v>17.081680000000233</v>
      </c>
      <c r="S45" s="101">
        <v>6529.2680460000001</v>
      </c>
      <c r="T45" s="101">
        <v>1352.9586429999999</v>
      </c>
      <c r="V45" s="101">
        <f t="shared" si="30"/>
        <v>4.6769439999998212</v>
      </c>
      <c r="W45" s="101">
        <f t="shared" si="31"/>
        <v>-285.96982300000036</v>
      </c>
      <c r="X45" s="99">
        <f t="shared" si="32"/>
        <v>7.4911430352152524E-4</v>
      </c>
      <c r="Y45" s="99">
        <f t="shared" si="33"/>
        <v>-4.5804286898630239E-2</v>
      </c>
      <c r="Z45" s="99"/>
      <c r="AA45" s="101">
        <f t="shared" si="27"/>
        <v>6.0474010000006047</v>
      </c>
      <c r="AB45" s="101">
        <f t="shared" si="28"/>
        <v>-880.91630999999973</v>
      </c>
    </row>
    <row r="46" spans="1:28" x14ac:dyDescent="0.25">
      <c r="A46">
        <f t="shared" si="29"/>
        <v>128</v>
      </c>
      <c r="B46">
        <f t="shared" si="34"/>
        <v>2688</v>
      </c>
      <c r="C46" t="s">
        <v>41</v>
      </c>
      <c r="D46" s="101">
        <v>31.981999999994514</v>
      </c>
      <c r="E46" s="101">
        <v>98.747812000001431</v>
      </c>
      <c r="F46" s="101">
        <v>36.428458000000319</v>
      </c>
      <c r="G46" s="101">
        <v>12495.452052000001</v>
      </c>
      <c r="H46" s="101">
        <v>492.62167799999997</v>
      </c>
      <c r="I46" s="101" t="s">
        <v>43</v>
      </c>
      <c r="J46" s="101">
        <v>32.97599999999693</v>
      </c>
      <c r="K46" s="101">
        <v>106.69214500000635</v>
      </c>
      <c r="L46" s="101">
        <v>525.20845699999882</v>
      </c>
      <c r="M46" s="101">
        <v>12500.333398000001</v>
      </c>
      <c r="N46" s="101">
        <v>0</v>
      </c>
      <c r="O46" s="101" t="s">
        <v>42</v>
      </c>
      <c r="P46" s="101">
        <v>31.752000000002226</v>
      </c>
      <c r="Q46" s="101">
        <v>53.271226999999271</v>
      </c>
      <c r="R46" s="101">
        <v>36.867440999998507</v>
      </c>
      <c r="S46" s="101">
        <v>12970.553115000001</v>
      </c>
      <c r="T46" s="101">
        <v>2736.8722170000001</v>
      </c>
      <c r="V46" s="101">
        <f t="shared" si="30"/>
        <v>-4.8813460000001214</v>
      </c>
      <c r="W46" s="101">
        <f t="shared" si="31"/>
        <v>-475.10106300000007</v>
      </c>
      <c r="X46" s="99">
        <f t="shared" si="32"/>
        <v>-3.9064981240265103E-4</v>
      </c>
      <c r="Y46" s="99">
        <f t="shared" si="33"/>
        <v>-3.8021918776756557E-2</v>
      </c>
      <c r="Z46" s="99"/>
      <c r="AA46" s="101">
        <f t="shared" si="27"/>
        <v>3.8416790000014771</v>
      </c>
      <c r="AB46" s="101">
        <f t="shared" si="28"/>
        <v>-2244.6895219999983</v>
      </c>
    </row>
    <row r="48" spans="1:28" x14ac:dyDescent="0.25">
      <c r="A48">
        <f>B48/21</f>
        <v>2</v>
      </c>
      <c r="B48">
        <v>42</v>
      </c>
      <c r="D48" s="105">
        <f t="shared" ref="D48:H54" si="35">D40/$B40</f>
        <v>0.18567333333333819</v>
      </c>
      <c r="E48" s="105">
        <f t="shared" si="35"/>
        <v>0.80332776190475452</v>
      </c>
      <c r="F48" s="105">
        <f t="shared" si="35"/>
        <v>0.57591376190476329</v>
      </c>
      <c r="G48" s="105">
        <f t="shared" si="35"/>
        <v>4.9268339523809512</v>
      </c>
      <c r="H48" s="105">
        <f t="shared" si="35"/>
        <v>10.261784523809524</v>
      </c>
      <c r="I48" s="105"/>
      <c r="J48" s="105">
        <f t="shared" ref="J48:N54" si="36">J40/$B40</f>
        <v>0.19122190476189785</v>
      </c>
      <c r="K48" s="105">
        <f t="shared" si="36"/>
        <v>0.86421385714286159</v>
      </c>
      <c r="L48" s="105">
        <f t="shared" si="36"/>
        <v>10.69872057142857</v>
      </c>
      <c r="M48" s="105">
        <f t="shared" si="36"/>
        <v>4.8786265238095234</v>
      </c>
      <c r="N48" s="105">
        <f t="shared" si="36"/>
        <v>0</v>
      </c>
      <c r="O48" s="105"/>
      <c r="P48" s="105">
        <f t="shared" ref="P48:T54" si="37">P40/$B40</f>
        <v>0.18621428571428633</v>
      </c>
      <c r="Q48" s="105">
        <f t="shared" si="37"/>
        <v>0.54301647619047611</v>
      </c>
      <c r="R48" s="105">
        <f t="shared" si="37"/>
        <v>-8.1319999999999761E-3</v>
      </c>
      <c r="S48" s="105">
        <f t="shared" si="37"/>
        <v>6.0779982380952378</v>
      </c>
      <c r="T48" s="105">
        <f t="shared" si="37"/>
        <v>0.90455680952380946</v>
      </c>
    </row>
    <row r="49" spans="1:20" x14ac:dyDescent="0.25">
      <c r="A49">
        <f t="shared" ref="A49:A54" si="38">B49/21</f>
        <v>4</v>
      </c>
      <c r="B49">
        <f>B48*2</f>
        <v>84</v>
      </c>
      <c r="D49" s="105">
        <f t="shared" si="35"/>
        <v>9.0276428571427009E-2</v>
      </c>
      <c r="E49" s="105">
        <f t="shared" si="35"/>
        <v>0.43183241666667171</v>
      </c>
      <c r="F49" s="105">
        <f t="shared" si="35"/>
        <v>0.29524444047619014</v>
      </c>
      <c r="G49" s="105">
        <f t="shared" si="35"/>
        <v>4.6529583571428574</v>
      </c>
      <c r="H49" s="105">
        <f t="shared" si="35"/>
        <v>5.1972255000000001</v>
      </c>
      <c r="I49" s="105"/>
      <c r="J49" s="105">
        <f t="shared" si="36"/>
        <v>8.7890714285720151E-2</v>
      </c>
      <c r="K49" s="105">
        <f t="shared" si="36"/>
        <v>0.37087571428571259</v>
      </c>
      <c r="L49" s="105">
        <f t="shared" si="36"/>
        <v>5.4139394761904764</v>
      </c>
      <c r="M49" s="105">
        <f t="shared" si="36"/>
        <v>4.6087062380952384</v>
      </c>
      <c r="N49" s="105">
        <f t="shared" si="36"/>
        <v>0</v>
      </c>
      <c r="O49" s="105"/>
      <c r="P49" s="105">
        <f t="shared" si="37"/>
        <v>8.6082380952384643E-2</v>
      </c>
      <c r="Q49" s="105">
        <f t="shared" si="37"/>
        <v>0.25670428571428416</v>
      </c>
      <c r="R49" s="105">
        <f t="shared" si="37"/>
        <v>2.198861904761884E-2</v>
      </c>
      <c r="S49" s="105">
        <f t="shared" si="37"/>
        <v>5.2296074285714287</v>
      </c>
      <c r="T49" s="105">
        <f t="shared" si="37"/>
        <v>0.82052966666666671</v>
      </c>
    </row>
    <row r="50" spans="1:20" x14ac:dyDescent="0.25">
      <c r="A50">
        <f t="shared" si="38"/>
        <v>8</v>
      </c>
      <c r="B50">
        <f t="shared" ref="B50:B54" si="39">B49*2</f>
        <v>168</v>
      </c>
      <c r="D50" s="105">
        <f t="shared" si="35"/>
        <v>5.0432142857145902E-2</v>
      </c>
      <c r="E50" s="105">
        <f t="shared" si="35"/>
        <v>0.27224561309523798</v>
      </c>
      <c r="F50" s="105">
        <f t="shared" si="35"/>
        <v>0.16273050000000108</v>
      </c>
      <c r="G50" s="105">
        <f t="shared" si="35"/>
        <v>4.5417966011904758</v>
      </c>
      <c r="H50" s="105">
        <f t="shared" si="35"/>
        <v>2.5751903809523808</v>
      </c>
      <c r="I50" s="105"/>
      <c r="J50" s="105">
        <f t="shared" si="36"/>
        <v>5.11928571428533E-2</v>
      </c>
      <c r="K50" s="105">
        <f t="shared" si="36"/>
        <v>0.25869051190476339</v>
      </c>
      <c r="L50" s="105">
        <f t="shared" si="36"/>
        <v>2.710575833333333</v>
      </c>
      <c r="M50" s="105">
        <f t="shared" si="36"/>
        <v>4.5116217499999998</v>
      </c>
      <c r="N50" s="105">
        <f t="shared" si="36"/>
        <v>0</v>
      </c>
      <c r="O50" s="105"/>
      <c r="P50" s="105">
        <f t="shared" si="37"/>
        <v>5.0044166666668034E-2</v>
      </c>
      <c r="Q50" s="105">
        <f t="shared" si="37"/>
        <v>0.16782223214285624</v>
      </c>
      <c r="R50" s="105">
        <f t="shared" si="37"/>
        <v>1.7050767857143222E-2</v>
      </c>
      <c r="S50" s="105">
        <f t="shared" si="37"/>
        <v>4.994114369047618</v>
      </c>
      <c r="T50" s="105">
        <f t="shared" si="37"/>
        <v>0.83982322619047622</v>
      </c>
    </row>
    <row r="51" spans="1:20" x14ac:dyDescent="0.25">
      <c r="A51">
        <f t="shared" si="38"/>
        <v>16</v>
      </c>
      <c r="B51">
        <f t="shared" si="39"/>
        <v>336</v>
      </c>
      <c r="D51" s="105">
        <f t="shared" si="35"/>
        <v>3.1602380952379119E-2</v>
      </c>
      <c r="E51" s="105">
        <f t="shared" si="35"/>
        <v>0.15253266666666745</v>
      </c>
      <c r="F51" s="105">
        <f t="shared" si="35"/>
        <v>8.8130455357142659E-2</v>
      </c>
      <c r="G51" s="105">
        <f t="shared" si="35"/>
        <v>4.475613172619048</v>
      </c>
      <c r="H51" s="105">
        <f t="shared" si="35"/>
        <v>1.3013969196428572</v>
      </c>
      <c r="I51" s="105"/>
      <c r="J51" s="105">
        <f t="shared" si="36"/>
        <v>3.1794047619045043E-2</v>
      </c>
      <c r="K51" s="105">
        <f t="shared" si="36"/>
        <v>0.15288055952381169</v>
      </c>
      <c r="L51" s="105">
        <f t="shared" si="36"/>
        <v>1.383614979166667</v>
      </c>
      <c r="M51" s="105">
        <f t="shared" si="36"/>
        <v>4.4867068422619045</v>
      </c>
      <c r="N51" s="105">
        <f t="shared" si="36"/>
        <v>0</v>
      </c>
      <c r="O51" s="105"/>
      <c r="P51" s="105">
        <f t="shared" si="37"/>
        <v>3.1480952380955309E-2</v>
      </c>
      <c r="Q51" s="105">
        <f t="shared" si="37"/>
        <v>9.4701747023808569E-2</v>
      </c>
      <c r="R51" s="105">
        <f t="shared" si="37"/>
        <v>1.4920675595238294E-2</v>
      </c>
      <c r="S51" s="105">
        <f t="shared" si="37"/>
        <v>4.827146601190476</v>
      </c>
      <c r="T51" s="105">
        <f t="shared" si="37"/>
        <v>0.92911728571428565</v>
      </c>
    </row>
    <row r="52" spans="1:20" x14ac:dyDescent="0.25">
      <c r="A52">
        <f t="shared" si="38"/>
        <v>32</v>
      </c>
      <c r="B52">
        <f t="shared" si="39"/>
        <v>672</v>
      </c>
      <c r="D52" s="105">
        <f t="shared" si="35"/>
        <v>1.9622916666668693E-2</v>
      </c>
      <c r="E52" s="105">
        <f t="shared" si="35"/>
        <v>9.7590092261905667E-2</v>
      </c>
      <c r="F52" s="105">
        <f t="shared" si="35"/>
        <v>4.9988622023810034E-2</v>
      </c>
      <c r="G52" s="105">
        <f t="shared" si="35"/>
        <v>4.6229128020833326</v>
      </c>
      <c r="H52" s="105">
        <f t="shared" si="35"/>
        <v>0.68264776934523808</v>
      </c>
      <c r="I52" s="105"/>
      <c r="J52" s="105">
        <f t="shared" si="36"/>
        <v>2.0002380952382465E-2</v>
      </c>
      <c r="K52" s="105">
        <f t="shared" si="36"/>
        <v>0.1000232261904748</v>
      </c>
      <c r="L52" s="105">
        <f t="shared" si="36"/>
        <v>0.72685161011904753</v>
      </c>
      <c r="M52" s="105">
        <f t="shared" si="36"/>
        <v>4.629185877976191</v>
      </c>
      <c r="N52" s="105">
        <f t="shared" si="36"/>
        <v>0</v>
      </c>
      <c r="O52" s="105"/>
      <c r="P52" s="105">
        <f t="shared" si="37"/>
        <v>1.9763988095234487E-2</v>
      </c>
      <c r="Q52" s="105">
        <f t="shared" si="37"/>
        <v>5.4620032738095382E-2</v>
      </c>
      <c r="R52" s="105">
        <f t="shared" si="37"/>
        <v>1.1965266369047965E-2</v>
      </c>
      <c r="S52" s="105">
        <f t="shared" si="37"/>
        <v>4.9088984955357144</v>
      </c>
      <c r="T52" s="105">
        <f t="shared" si="37"/>
        <v>0.99879656249999993</v>
      </c>
    </row>
    <row r="53" spans="1:20" x14ac:dyDescent="0.25">
      <c r="A53">
        <f t="shared" si="38"/>
        <v>64</v>
      </c>
      <c r="B53">
        <f t="shared" si="39"/>
        <v>1344</v>
      </c>
      <c r="D53" s="105">
        <f t="shared" si="35"/>
        <v>1.4622767857144395E-2</v>
      </c>
      <c r="E53" s="105">
        <f t="shared" si="35"/>
        <v>6.3917532738093724E-2</v>
      </c>
      <c r="F53" s="105">
        <f t="shared" si="35"/>
        <v>2.5485846726190801E-2</v>
      </c>
      <c r="G53" s="105">
        <f t="shared" si="35"/>
        <v>4.6453111778273808</v>
      </c>
      <c r="H53" s="105">
        <f t="shared" si="35"/>
        <v>0.33844571056547618</v>
      </c>
      <c r="I53" s="105"/>
      <c r="J53" s="105">
        <f t="shared" si="36"/>
        <v>1.477544642857186E-2</v>
      </c>
      <c r="K53" s="105">
        <f t="shared" si="36"/>
        <v>6.8809902529761893E-2</v>
      </c>
      <c r="L53" s="105">
        <f t="shared" si="36"/>
        <v>0.35943200297619038</v>
      </c>
      <c r="M53" s="105">
        <f t="shared" si="36"/>
        <v>4.6418313087797616</v>
      </c>
      <c r="N53" s="105">
        <f t="shared" si="36"/>
        <v>0</v>
      </c>
      <c r="O53" s="105"/>
      <c r="P53" s="105">
        <f t="shared" si="37"/>
        <v>1.4450892857143214E-2</v>
      </c>
      <c r="Q53" s="105">
        <f t="shared" si="37"/>
        <v>3.1362820684522931E-2</v>
      </c>
      <c r="R53" s="105">
        <f t="shared" si="37"/>
        <v>1.2709583333333507E-2</v>
      </c>
      <c r="S53" s="105">
        <f t="shared" si="37"/>
        <v>4.8580863437500001</v>
      </c>
      <c r="T53" s="105">
        <f t="shared" si="37"/>
        <v>1.0066656569940475</v>
      </c>
    </row>
    <row r="54" spans="1:20" x14ac:dyDescent="0.25">
      <c r="A54">
        <f t="shared" si="38"/>
        <v>128</v>
      </c>
      <c r="B54">
        <f t="shared" si="39"/>
        <v>2688</v>
      </c>
      <c r="D54" s="105">
        <f t="shared" si="35"/>
        <v>1.1898065476188435E-2</v>
      </c>
      <c r="E54" s="105">
        <f t="shared" si="35"/>
        <v>3.6736537202381486E-2</v>
      </c>
      <c r="F54" s="105">
        <f t="shared" si="35"/>
        <v>1.3552253720238213E-2</v>
      </c>
      <c r="G54" s="105">
        <f t="shared" si="35"/>
        <v>4.6486056741071433</v>
      </c>
      <c r="H54" s="105">
        <f t="shared" si="35"/>
        <v>0.18326699330357141</v>
      </c>
      <c r="I54" s="105"/>
      <c r="J54" s="105">
        <f t="shared" si="36"/>
        <v>1.2267857142856001E-2</v>
      </c>
      <c r="K54" s="105">
        <f t="shared" si="36"/>
        <v>3.9692018229169027E-2</v>
      </c>
      <c r="L54" s="105">
        <f t="shared" si="36"/>
        <v>0.19539005096726147</v>
      </c>
      <c r="M54" s="105">
        <f t="shared" si="36"/>
        <v>4.6504216510416665</v>
      </c>
      <c r="N54" s="105">
        <f t="shared" si="36"/>
        <v>0</v>
      </c>
      <c r="O54" s="105"/>
      <c r="P54" s="105">
        <f t="shared" si="37"/>
        <v>1.1812500000000828E-2</v>
      </c>
      <c r="Q54" s="105">
        <f t="shared" si="37"/>
        <v>1.9818164806547349E-2</v>
      </c>
      <c r="R54" s="105">
        <f t="shared" si="37"/>
        <v>1.3715565848213731E-2</v>
      </c>
      <c r="S54" s="105">
        <f t="shared" si="37"/>
        <v>4.8253545814732144</v>
      </c>
      <c r="T54" s="105">
        <f t="shared" si="37"/>
        <v>1.0181816283482144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"/>
  <sheetViews>
    <sheetView workbookViewId="0">
      <selection activeCell="A8" sqref="A8"/>
    </sheetView>
  </sheetViews>
  <sheetFormatPr defaultRowHeight="15" x14ac:dyDescent="0.25"/>
  <cols>
    <col min="1" max="1" width="110.7109375" bestFit="1" customWidth="1"/>
    <col min="2" max="7" width="12" bestFit="1" customWidth="1"/>
  </cols>
  <sheetData>
    <row r="2" spans="1:7" x14ac:dyDescent="0.25">
      <c r="B2" t="s">
        <v>96</v>
      </c>
      <c r="C2" t="s">
        <v>97</v>
      </c>
      <c r="D2" t="s">
        <v>98</v>
      </c>
      <c r="E2" t="s">
        <v>99</v>
      </c>
      <c r="F2" t="s">
        <v>100</v>
      </c>
    </row>
    <row r="3" spans="1:7" x14ac:dyDescent="0.25">
      <c r="A3" t="s">
        <v>85</v>
      </c>
      <c r="B3">
        <v>1.3674781436011905E-3</v>
      </c>
      <c r="C3">
        <v>3.6410086495535445E-3</v>
      </c>
      <c r="D3">
        <v>1.1050633021794521E-4</v>
      </c>
      <c r="E3">
        <v>1.5731194870816183</v>
      </c>
      <c r="F3">
        <v>5.3235751333327516E-2</v>
      </c>
      <c r="G3">
        <v>1.6314742315383184</v>
      </c>
    </row>
    <row r="4" spans="1:7" x14ac:dyDescent="0.25">
      <c r="A4" t="s">
        <v>86</v>
      </c>
      <c r="B4">
        <v>4.0132068452378919E-3</v>
      </c>
      <c r="C4">
        <v>3.67785499209444E-3</v>
      </c>
      <c r="D4">
        <v>2.9700175694057203E-2</v>
      </c>
      <c r="E4">
        <v>1.5556022171747115</v>
      </c>
      <c r="F4">
        <v>0</v>
      </c>
      <c r="G4">
        <v>1.5929934547061011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zoomScale="130" zoomScaleNormal="130" workbookViewId="0">
      <selection activeCell="J37" sqref="J37"/>
    </sheetView>
  </sheetViews>
  <sheetFormatPr defaultRowHeight="15" x14ac:dyDescent="0.25"/>
  <cols>
    <col min="1" max="1" width="49" style="32" customWidth="1"/>
    <col min="10" max="10" width="49" style="32" customWidth="1"/>
  </cols>
  <sheetData>
    <row r="1" spans="1:17" ht="15.75" thickBot="1" x14ac:dyDescent="0.3"/>
    <row r="2" spans="1:17" x14ac:dyDescent="0.25">
      <c r="A2" s="33" t="s">
        <v>68</v>
      </c>
      <c r="B2" s="46">
        <v>2</v>
      </c>
      <c r="C2" s="36">
        <v>4</v>
      </c>
      <c r="D2" s="37">
        <v>8</v>
      </c>
      <c r="E2" s="37">
        <v>16</v>
      </c>
      <c r="F2" s="37">
        <v>32</v>
      </c>
      <c r="G2" s="37">
        <v>64</v>
      </c>
      <c r="H2" s="38">
        <v>128</v>
      </c>
      <c r="J2" s="33" t="s">
        <v>68</v>
      </c>
      <c r="K2" s="46">
        <v>2</v>
      </c>
      <c r="L2" s="36">
        <v>4</v>
      </c>
      <c r="M2" s="37">
        <v>8</v>
      </c>
      <c r="N2" s="37">
        <v>16</v>
      </c>
      <c r="O2" s="37">
        <v>32</v>
      </c>
      <c r="P2" s="37">
        <v>64</v>
      </c>
      <c r="Q2" s="38">
        <v>128</v>
      </c>
    </row>
    <row r="3" spans="1:17" ht="15.75" thickBot="1" x14ac:dyDescent="0.3">
      <c r="A3" s="34" t="s">
        <v>69</v>
      </c>
      <c r="B3" s="47">
        <v>42</v>
      </c>
      <c r="C3" s="39">
        <v>84</v>
      </c>
      <c r="D3" s="39">
        <v>168</v>
      </c>
      <c r="E3" s="39">
        <v>336</v>
      </c>
      <c r="F3" s="39">
        <v>672</v>
      </c>
      <c r="G3" s="39">
        <v>1344</v>
      </c>
      <c r="H3" s="40">
        <v>2688</v>
      </c>
      <c r="J3" s="34" t="s">
        <v>69</v>
      </c>
      <c r="K3" s="47">
        <v>42</v>
      </c>
      <c r="L3" s="39">
        <v>84</v>
      </c>
      <c r="M3" s="39">
        <v>168</v>
      </c>
      <c r="N3" s="39">
        <v>336</v>
      </c>
      <c r="O3" s="39">
        <v>672</v>
      </c>
      <c r="P3" s="39">
        <v>1344</v>
      </c>
      <c r="Q3" s="40">
        <v>2688</v>
      </c>
    </row>
    <row r="4" spans="1:17" x14ac:dyDescent="0.25">
      <c r="A4" s="51" t="s">
        <v>70</v>
      </c>
      <c r="B4" s="48">
        <v>17.226717318360336</v>
      </c>
      <c r="C4" s="41">
        <v>21.533427363246869</v>
      </c>
      <c r="D4" s="41">
        <v>14.489074187562187</v>
      </c>
      <c r="E4" s="41">
        <v>8.3248177464213473</v>
      </c>
      <c r="F4" s="41"/>
      <c r="G4" s="41"/>
      <c r="H4" s="42"/>
      <c r="J4" s="51" t="s">
        <v>70</v>
      </c>
      <c r="K4" s="12">
        <v>11.650599933763989</v>
      </c>
      <c r="L4" s="12">
        <v>10.400677441188487</v>
      </c>
      <c r="M4" s="12">
        <v>14.856560097402966</v>
      </c>
      <c r="N4" s="12">
        <v>11.163182304101703</v>
      </c>
      <c r="O4" s="12"/>
      <c r="P4" s="12"/>
      <c r="Q4" s="12"/>
    </row>
    <row r="5" spans="1:17" ht="30" x14ac:dyDescent="0.25">
      <c r="A5" s="52" t="s">
        <v>71</v>
      </c>
      <c r="B5" s="49">
        <v>12.231899818477968</v>
      </c>
      <c r="C5" s="27">
        <v>17.683484834054905</v>
      </c>
      <c r="D5" s="27">
        <v>23.655040989729873</v>
      </c>
      <c r="E5" s="27">
        <v>28.603032152031577</v>
      </c>
      <c r="F5" s="27">
        <v>37.881594080058406</v>
      </c>
      <c r="G5" s="27">
        <v>33.781920925664139</v>
      </c>
      <c r="H5" s="43">
        <v>33.401084295371788</v>
      </c>
      <c r="J5" s="52" t="s">
        <v>71</v>
      </c>
      <c r="K5" s="12">
        <v>15.040560401329341</v>
      </c>
      <c r="L5" s="12">
        <v>17.552862506832856</v>
      </c>
      <c r="M5" s="12">
        <v>18.449802814129754</v>
      </c>
      <c r="N5" s="12">
        <v>19.344364936881149</v>
      </c>
      <c r="O5" s="12">
        <v>18.238885935660445</v>
      </c>
      <c r="P5" s="12">
        <v>17.990998969700794</v>
      </c>
      <c r="Q5" s="12">
        <v>18.107713547584915</v>
      </c>
    </row>
    <row r="6" spans="1:17" ht="30" x14ac:dyDescent="0.25">
      <c r="A6" s="52" t="s">
        <v>72</v>
      </c>
      <c r="B6" s="49">
        <v>12.232090636933231</v>
      </c>
      <c r="C6" s="27">
        <v>17.837842658264567</v>
      </c>
      <c r="D6" s="27">
        <v>23.788087921720287</v>
      </c>
      <c r="E6" s="27">
        <v>29.224675975498126</v>
      </c>
      <c r="F6" s="27">
        <v>38.050544452628934</v>
      </c>
      <c r="G6" s="27">
        <v>36.877326982923606</v>
      </c>
      <c r="H6" s="43">
        <v>37.459879595724132</v>
      </c>
      <c r="J6" s="52" t="s">
        <v>72</v>
      </c>
      <c r="K6" s="12">
        <v>16.614502252389816</v>
      </c>
      <c r="L6" s="12">
        <v>23.698660459919846</v>
      </c>
      <c r="M6" s="12">
        <v>33.625620476953245</v>
      </c>
      <c r="N6" s="12">
        <v>38.180109904433614</v>
      </c>
      <c r="O6" s="12">
        <v>37.343904656179134</v>
      </c>
      <c r="P6" s="12">
        <v>38.829221404955071</v>
      </c>
      <c r="Q6" s="12">
        <v>41.386496085207554</v>
      </c>
    </row>
    <row r="7" spans="1:17" x14ac:dyDescent="0.25">
      <c r="A7" s="52" t="s">
        <v>73</v>
      </c>
      <c r="B7" s="49">
        <v>17.17228549000659</v>
      </c>
      <c r="C7" s="27">
        <v>22.126569186744835</v>
      </c>
      <c r="D7" s="27">
        <v>14.805044505288762</v>
      </c>
      <c r="E7" s="27">
        <v>8.566362247537981</v>
      </c>
      <c r="F7" s="27"/>
      <c r="G7" s="27"/>
      <c r="H7" s="43"/>
      <c r="J7" s="52" t="s">
        <v>73</v>
      </c>
      <c r="K7" s="12">
        <v>11.680854233464252</v>
      </c>
      <c r="L7" s="12">
        <v>10.421332206303045</v>
      </c>
      <c r="M7" s="12">
        <v>14.892793772839608</v>
      </c>
      <c r="N7" s="12">
        <v>11.147461002897897</v>
      </c>
      <c r="O7" s="12"/>
      <c r="P7" s="12"/>
      <c r="Q7" s="12"/>
    </row>
    <row r="8" spans="1:17" ht="30" x14ac:dyDescent="0.25">
      <c r="A8" s="52" t="s">
        <v>74</v>
      </c>
      <c r="B8" s="49">
        <v>12.497723349536233</v>
      </c>
      <c r="C8" s="27">
        <v>18.059803700956479</v>
      </c>
      <c r="D8" s="27">
        <v>23.9952298018632</v>
      </c>
      <c r="E8" s="27">
        <v>29.575692011241536</v>
      </c>
      <c r="F8" s="27">
        <v>37.408967113735223</v>
      </c>
      <c r="G8" s="27">
        <v>34.076899104838617</v>
      </c>
      <c r="H8" s="43">
        <v>33.683687609222048</v>
      </c>
      <c r="J8" s="52" t="s">
        <v>74</v>
      </c>
      <c r="K8" s="12">
        <v>15.202093383903074</v>
      </c>
      <c r="L8" s="12">
        <v>17.690582116777179</v>
      </c>
      <c r="M8" s="12">
        <v>19.288572233682231</v>
      </c>
      <c r="N8" s="12">
        <v>19.474286206704196</v>
      </c>
      <c r="O8" s="12">
        <v>18.452535604327451</v>
      </c>
      <c r="P8" s="12">
        <v>17.892646037601008</v>
      </c>
      <c r="Q8" s="12">
        <v>18.100441468405897</v>
      </c>
    </row>
    <row r="9" spans="1:17" ht="45" x14ac:dyDescent="0.25">
      <c r="A9" s="52" t="s">
        <v>75</v>
      </c>
      <c r="B9" s="49">
        <v>12.405461974340506</v>
      </c>
      <c r="C9" s="27">
        <v>17.994586141340918</v>
      </c>
      <c r="D9" s="27">
        <v>24.197340278042603</v>
      </c>
      <c r="E9" s="27">
        <v>29.662553366671599</v>
      </c>
      <c r="F9" s="27">
        <v>37.516292106796051</v>
      </c>
      <c r="G9" s="27">
        <v>36.221897446377319</v>
      </c>
      <c r="H9" s="43">
        <v>37.502839077080502</v>
      </c>
      <c r="J9" s="52" t="s">
        <v>75</v>
      </c>
      <c r="K9" s="12">
        <v>16.774653415469565</v>
      </c>
      <c r="L9" s="12">
        <v>23.847072990897541</v>
      </c>
      <c r="M9" s="12">
        <v>33.902610216761786</v>
      </c>
      <c r="N9" s="12">
        <v>38.397713768432439</v>
      </c>
      <c r="O9" s="12">
        <v>37.086264167803023</v>
      </c>
      <c r="P9" s="12">
        <v>39.143024625384626</v>
      </c>
      <c r="Q9" s="12">
        <v>41.372072627808791</v>
      </c>
    </row>
    <row r="10" spans="1:17" x14ac:dyDescent="0.25">
      <c r="A10" s="52" t="s">
        <v>76</v>
      </c>
      <c r="B10" s="49">
        <v>12.268227114877064</v>
      </c>
      <c r="C10" s="27">
        <v>13.181433063442409</v>
      </c>
      <c r="D10" s="27">
        <v>8.4480925940388598</v>
      </c>
      <c r="E10" s="27">
        <v>4.7616303035551075</v>
      </c>
      <c r="F10" s="27"/>
      <c r="G10" s="27"/>
      <c r="H10" s="43"/>
      <c r="J10" s="52" t="s">
        <v>76</v>
      </c>
      <c r="K10" s="12"/>
      <c r="L10" s="12"/>
      <c r="M10" s="12"/>
      <c r="N10" s="12"/>
      <c r="O10" s="12"/>
      <c r="P10" s="12"/>
      <c r="Q10" s="12"/>
    </row>
    <row r="11" spans="1:17" ht="30" x14ac:dyDescent="0.25">
      <c r="A11" s="52" t="s">
        <v>77</v>
      </c>
      <c r="B11" s="49">
        <v>0.42802315598120183</v>
      </c>
      <c r="C11" s="27">
        <v>0.40359375795885349</v>
      </c>
      <c r="D11" s="27">
        <v>0.37344035100598727</v>
      </c>
      <c r="E11" s="27">
        <v>0.37377335470359296</v>
      </c>
      <c r="F11" s="27">
        <v>0.4278145925286217</v>
      </c>
      <c r="G11" s="27">
        <v>0.37135596310009605</v>
      </c>
      <c r="H11" s="43">
        <v>0.36370318918600753</v>
      </c>
      <c r="J11" s="52" t="s">
        <v>77</v>
      </c>
      <c r="K11" s="12"/>
      <c r="L11" s="12"/>
      <c r="M11" s="12"/>
      <c r="N11" s="12"/>
      <c r="O11" s="12"/>
      <c r="P11" s="12"/>
      <c r="Q11" s="12"/>
    </row>
    <row r="12" spans="1:17" ht="30" x14ac:dyDescent="0.25">
      <c r="A12" s="52" t="s">
        <v>78</v>
      </c>
      <c r="B12" s="49">
        <v>8.2079662766222512</v>
      </c>
      <c r="C12" s="27">
        <v>7.7540904413415142</v>
      </c>
      <c r="D12" s="27">
        <v>7.3838207706187919</v>
      </c>
      <c r="E12" s="27">
        <v>7.2837368715217972</v>
      </c>
      <c r="F12" s="27">
        <v>8.3624102366719271</v>
      </c>
      <c r="G12" s="27">
        <v>6.7723505296821465</v>
      </c>
      <c r="H12" s="43">
        <v>5.0985891604338738</v>
      </c>
      <c r="J12" s="52" t="s">
        <v>78</v>
      </c>
      <c r="K12" s="12"/>
      <c r="L12" s="12"/>
      <c r="M12" s="12"/>
      <c r="N12" s="12"/>
      <c r="O12" s="12"/>
      <c r="P12" s="12"/>
      <c r="Q12" s="12"/>
    </row>
    <row r="13" spans="1:17" x14ac:dyDescent="0.25">
      <c r="A13" s="52" t="s">
        <v>79</v>
      </c>
      <c r="B13" s="49">
        <v>17.080267985837594</v>
      </c>
      <c r="C13" s="27">
        <v>22.116793318854334</v>
      </c>
      <c r="D13" s="27">
        <v>14.751202355709438</v>
      </c>
      <c r="E13" s="27">
        <v>8.5612774676785612</v>
      </c>
      <c r="F13" s="27"/>
      <c r="G13" s="27"/>
      <c r="H13" s="43"/>
      <c r="J13" s="52" t="s">
        <v>79</v>
      </c>
      <c r="K13" s="12">
        <v>15.979183650163835</v>
      </c>
      <c r="L13" s="12">
        <v>15.712493240035753</v>
      </c>
      <c r="M13" s="12">
        <v>14.624836529993692</v>
      </c>
      <c r="N13" s="12">
        <v>11.115432125256282</v>
      </c>
      <c r="O13" s="12"/>
      <c r="P13" s="12"/>
      <c r="Q13" s="12"/>
    </row>
    <row r="14" spans="1:17" ht="30" x14ac:dyDescent="0.25">
      <c r="A14" s="52" t="s">
        <v>80</v>
      </c>
      <c r="B14" s="49">
        <v>12.373081574099908</v>
      </c>
      <c r="C14" s="27">
        <v>18.073037587495023</v>
      </c>
      <c r="D14" s="27">
        <v>23.726264847133098</v>
      </c>
      <c r="E14" s="27">
        <v>29.554664277669314</v>
      </c>
      <c r="F14" s="27">
        <v>38.971893330484001</v>
      </c>
      <c r="G14" s="27">
        <v>33.782850626539975</v>
      </c>
      <c r="H14" s="43"/>
      <c r="J14" s="52" t="s">
        <v>80</v>
      </c>
      <c r="K14" s="12">
        <v>16.887432359596087</v>
      </c>
      <c r="L14" s="12">
        <v>19.547884210031878</v>
      </c>
      <c r="M14" s="12">
        <v>18.409071949171889</v>
      </c>
      <c r="N14" s="12">
        <v>19.296596629802078</v>
      </c>
      <c r="O14" s="12">
        <v>18.470174030239544</v>
      </c>
      <c r="P14" s="12">
        <v>18.385518114990969</v>
      </c>
      <c r="Q14" s="12"/>
    </row>
    <row r="15" spans="1:17" ht="45" x14ac:dyDescent="0.25">
      <c r="A15" s="52" t="s">
        <v>81</v>
      </c>
      <c r="B15" s="49">
        <v>12.338600936894515</v>
      </c>
      <c r="C15" s="27">
        <v>17.984166071121557</v>
      </c>
      <c r="D15" s="27">
        <v>24.028078377560927</v>
      </c>
      <c r="E15" s="27">
        <v>29.693819446313622</v>
      </c>
      <c r="F15" s="27">
        <v>39.08821355983811</v>
      </c>
      <c r="G15" s="27">
        <v>36.417992532913026</v>
      </c>
      <c r="H15" s="43"/>
      <c r="J15" s="52" t="s">
        <v>81</v>
      </c>
      <c r="K15" s="12">
        <v>17.849626170914057</v>
      </c>
      <c r="L15" s="12">
        <v>25.243894034247081</v>
      </c>
      <c r="M15" s="12">
        <v>33.428857823561714</v>
      </c>
      <c r="N15" s="12">
        <v>37.923926788768732</v>
      </c>
      <c r="O15" s="12">
        <v>38.028554719668932</v>
      </c>
      <c r="P15" s="12">
        <v>40.982830081959733</v>
      </c>
      <c r="Q15" s="12"/>
    </row>
    <row r="16" spans="1:17" ht="30" x14ac:dyDescent="0.25">
      <c r="A16" s="52" t="s">
        <v>82</v>
      </c>
      <c r="B16" s="49">
        <v>17.391863562646446</v>
      </c>
      <c r="C16" s="27">
        <v>22.270356941509505</v>
      </c>
      <c r="D16" s="27">
        <v>14.782024098593984</v>
      </c>
      <c r="E16" s="27">
        <v>8.6437143975760087</v>
      </c>
      <c r="F16" s="27"/>
      <c r="G16" s="27"/>
      <c r="H16" s="43"/>
      <c r="J16" s="52" t="s">
        <v>82</v>
      </c>
      <c r="K16" s="12">
        <v>16.076885054435657</v>
      </c>
      <c r="L16" s="12">
        <v>15.768108932083425</v>
      </c>
      <c r="M16" s="12">
        <v>14.847740269750332</v>
      </c>
      <c r="N16" s="12">
        <v>11.136608391410125</v>
      </c>
      <c r="O16" s="12"/>
      <c r="P16" s="12"/>
      <c r="Q16" s="12"/>
    </row>
    <row r="17" spans="1:17" ht="45" x14ac:dyDescent="0.25">
      <c r="A17" s="52" t="s">
        <v>83</v>
      </c>
      <c r="B17" s="49">
        <v>12.627061199576424</v>
      </c>
      <c r="C17" s="27">
        <v>18.081192964552457</v>
      </c>
      <c r="D17" s="27">
        <v>23.87863090102416</v>
      </c>
      <c r="E17" s="27">
        <v>29.631839674338497</v>
      </c>
      <c r="F17" s="27">
        <v>39.071719338620838</v>
      </c>
      <c r="G17" s="27">
        <v>33.802845587467395</v>
      </c>
      <c r="H17" s="43"/>
      <c r="J17" s="52" t="s">
        <v>83</v>
      </c>
      <c r="K17" s="12">
        <v>17.158568678494884</v>
      </c>
      <c r="L17" s="12">
        <v>19.771542438429094</v>
      </c>
      <c r="M17" s="12">
        <v>19.210638497011683</v>
      </c>
      <c r="N17" s="12">
        <v>19.413691965340995</v>
      </c>
      <c r="O17" s="12">
        <v>18.703170160561029</v>
      </c>
      <c r="P17" s="12">
        <v>18.242897406489881</v>
      </c>
      <c r="Q17" s="12"/>
    </row>
    <row r="18" spans="1:17" ht="45" x14ac:dyDescent="0.25">
      <c r="A18" s="52" t="s">
        <v>84</v>
      </c>
      <c r="B18" s="49">
        <v>12.381990897393363</v>
      </c>
      <c r="C18" s="27">
        <v>18.030558359165184</v>
      </c>
      <c r="D18" s="27">
        <v>24.071021143985018</v>
      </c>
      <c r="E18" s="27">
        <v>29.708863687927543</v>
      </c>
      <c r="F18" s="27">
        <v>39.152954912707784</v>
      </c>
      <c r="G18" s="27">
        <v>36.746846704055585</v>
      </c>
      <c r="H18" s="43"/>
      <c r="J18" s="52" t="s">
        <v>84</v>
      </c>
      <c r="K18" s="12">
        <v>18.075099447344545</v>
      </c>
      <c r="L18" s="12">
        <v>25.516177081764116</v>
      </c>
      <c r="M18" s="12">
        <v>33.648682459895007</v>
      </c>
      <c r="N18" s="12">
        <v>38.104404293551838</v>
      </c>
      <c r="O18" s="12">
        <v>38.219821293386225</v>
      </c>
      <c r="P18" s="12">
        <v>41.134626082418912</v>
      </c>
      <c r="Q18" s="12"/>
    </row>
    <row r="19" spans="1:17" ht="45" x14ac:dyDescent="0.25">
      <c r="A19" s="52" t="s">
        <v>85</v>
      </c>
      <c r="B19" s="49">
        <v>12.373529535610103</v>
      </c>
      <c r="C19" s="27">
        <v>17.772537960756313</v>
      </c>
      <c r="D19" s="27">
        <v>23.657025646286453</v>
      </c>
      <c r="E19" s="27">
        <v>29.102525374989991</v>
      </c>
      <c r="F19" s="27">
        <v>38.552220281021171</v>
      </c>
      <c r="G19" s="27">
        <v>36.566106814224227</v>
      </c>
      <c r="H19" s="43">
        <v>37.118704940038569</v>
      </c>
      <c r="J19" s="52" t="s">
        <v>85</v>
      </c>
      <c r="K19" s="12">
        <v>16.721519252194998</v>
      </c>
      <c r="L19" s="12">
        <v>23.338937611834716</v>
      </c>
      <c r="M19" s="12">
        <v>29.956355971474402</v>
      </c>
      <c r="N19" s="12">
        <v>32.413932882198985</v>
      </c>
      <c r="O19" s="12">
        <v>31.965869729805988</v>
      </c>
      <c r="P19" s="12">
        <v>33.433773430847509</v>
      </c>
      <c r="Q19" s="12">
        <v>35.333366876151359</v>
      </c>
    </row>
    <row r="20" spans="1:17" ht="45.75" thickBot="1" x14ac:dyDescent="0.3">
      <c r="A20" s="34" t="s">
        <v>86</v>
      </c>
      <c r="B20" s="50">
        <v>12.168642371703665</v>
      </c>
      <c r="C20" s="44">
        <v>17.919517372114267</v>
      </c>
      <c r="D20" s="44">
        <v>23.942844013583425</v>
      </c>
      <c r="E20" s="44">
        <v>29.238581942532964</v>
      </c>
      <c r="F20" s="44">
        <v>37.134789529718276</v>
      </c>
      <c r="G20" s="44">
        <v>36.323113506366973</v>
      </c>
      <c r="H20" s="45">
        <v>37.120927463542813</v>
      </c>
      <c r="J20" s="34" t="s">
        <v>86</v>
      </c>
      <c r="K20" s="12">
        <v>16.917410697051825</v>
      </c>
      <c r="L20" s="12">
        <v>23.523410345440428</v>
      </c>
      <c r="M20" s="12">
        <v>30.129409993829</v>
      </c>
      <c r="N20" s="12">
        <v>32.604351922593004</v>
      </c>
      <c r="O20" s="12">
        <v>31.832293111821279</v>
      </c>
      <c r="P20" s="12">
        <v>33.545776266477702</v>
      </c>
      <c r="Q20" s="12">
        <v>35.363395146534742</v>
      </c>
    </row>
    <row r="22" spans="1:17" ht="15.75" thickBot="1" x14ac:dyDescent="0.3"/>
    <row r="23" spans="1:17" x14ac:dyDescent="0.25">
      <c r="A23" s="33" t="s">
        <v>68</v>
      </c>
      <c r="B23" s="46">
        <v>2</v>
      </c>
      <c r="C23" s="36">
        <v>4</v>
      </c>
      <c r="D23" s="37">
        <v>8</v>
      </c>
      <c r="E23" s="37">
        <v>16</v>
      </c>
      <c r="F23" s="37">
        <v>32</v>
      </c>
      <c r="G23" s="37">
        <v>64</v>
      </c>
      <c r="H23" s="38">
        <v>128</v>
      </c>
      <c r="J23" s="33" t="s">
        <v>68</v>
      </c>
      <c r="K23" s="46">
        <v>2</v>
      </c>
      <c r="L23" s="36">
        <v>4</v>
      </c>
      <c r="M23" s="37">
        <v>8</v>
      </c>
      <c r="N23" s="37">
        <v>16</v>
      </c>
      <c r="O23" s="37">
        <v>32</v>
      </c>
      <c r="P23" s="37">
        <v>64</v>
      </c>
      <c r="Q23" s="38">
        <v>128</v>
      </c>
    </row>
    <row r="24" spans="1:17" ht="15.75" thickBot="1" x14ac:dyDescent="0.3">
      <c r="A24" s="34" t="s">
        <v>69</v>
      </c>
      <c r="B24" s="47">
        <v>42</v>
      </c>
      <c r="C24" s="39">
        <v>84</v>
      </c>
      <c r="D24" s="39">
        <v>168</v>
      </c>
      <c r="E24" s="39">
        <v>336</v>
      </c>
      <c r="F24" s="39">
        <v>672</v>
      </c>
      <c r="G24" s="39">
        <v>1344</v>
      </c>
      <c r="H24" s="40">
        <v>2688</v>
      </c>
      <c r="J24" s="34" t="s">
        <v>69</v>
      </c>
      <c r="K24" s="47">
        <v>42</v>
      </c>
      <c r="L24" s="39">
        <v>84</v>
      </c>
      <c r="M24" s="39">
        <v>168</v>
      </c>
      <c r="N24" s="39">
        <v>336</v>
      </c>
      <c r="O24" s="39">
        <v>672</v>
      </c>
      <c r="P24" s="39">
        <v>1344</v>
      </c>
      <c r="Q24" s="40">
        <v>2688</v>
      </c>
    </row>
    <row r="25" spans="1:17" x14ac:dyDescent="0.25">
      <c r="A25" s="51" t="s">
        <v>70</v>
      </c>
      <c r="B25" s="53">
        <v>17.226717318360336</v>
      </c>
      <c r="C25" s="53">
        <v>21.533427363246869</v>
      </c>
      <c r="D25" s="53">
        <v>14.489074187562187</v>
      </c>
      <c r="E25" s="53">
        <v>8.3248177464213473</v>
      </c>
      <c r="F25" s="53"/>
      <c r="G25" s="53"/>
      <c r="H25" s="53"/>
      <c r="J25" s="51" t="s">
        <v>70</v>
      </c>
      <c r="K25" s="12">
        <v>11.650599933763989</v>
      </c>
      <c r="L25" s="12">
        <v>10.400677441188487</v>
      </c>
      <c r="M25" s="12">
        <v>14.856560097402966</v>
      </c>
      <c r="N25" s="12">
        <v>11.163182304101703</v>
      </c>
      <c r="O25" s="12"/>
      <c r="P25" s="12"/>
      <c r="Q25" s="12"/>
    </row>
    <row r="26" spans="1:17" ht="30" x14ac:dyDescent="0.25">
      <c r="A26" s="52" t="s">
        <v>71</v>
      </c>
      <c r="B26" s="54">
        <v>12.231899818477968</v>
      </c>
      <c r="C26" s="54">
        <v>17.683484834054905</v>
      </c>
      <c r="D26" s="54">
        <v>23.655040989729873</v>
      </c>
      <c r="E26" s="54">
        <v>28.603032152031577</v>
      </c>
      <c r="F26" s="54">
        <v>37.881594080058406</v>
      </c>
      <c r="G26" s="54">
        <v>33.781920925664139</v>
      </c>
      <c r="H26" s="54">
        <v>33.401084295371788</v>
      </c>
      <c r="J26" s="52" t="s">
        <v>71</v>
      </c>
      <c r="K26" s="12">
        <v>15.040560401329341</v>
      </c>
      <c r="L26" s="12">
        <v>17.552862506832856</v>
      </c>
      <c r="M26" s="12">
        <v>18.449802814129754</v>
      </c>
      <c r="N26" s="12">
        <v>19.344364936881149</v>
      </c>
      <c r="O26" s="12">
        <v>18.238885935660445</v>
      </c>
      <c r="P26" s="12">
        <v>17.990998969700794</v>
      </c>
      <c r="Q26" s="12">
        <v>18.107713547584915</v>
      </c>
    </row>
    <row r="27" spans="1:17" ht="30" x14ac:dyDescent="0.25">
      <c r="A27" s="52" t="s">
        <v>72</v>
      </c>
      <c r="B27" s="54">
        <v>12.232090636933231</v>
      </c>
      <c r="C27" s="54">
        <v>17.837842658264567</v>
      </c>
      <c r="D27" s="54">
        <v>23.788087921720287</v>
      </c>
      <c r="E27" s="54">
        <v>29.224675975498126</v>
      </c>
      <c r="F27" s="54">
        <v>38.050544452628934</v>
      </c>
      <c r="G27" s="54">
        <v>36.877326982923606</v>
      </c>
      <c r="H27" s="54">
        <v>37.459879595724132</v>
      </c>
      <c r="J27" s="52" t="s">
        <v>72</v>
      </c>
      <c r="K27" s="12">
        <v>16.614502252389816</v>
      </c>
      <c r="L27" s="12">
        <v>23.698660459919846</v>
      </c>
      <c r="M27" s="12">
        <v>33.625620476953245</v>
      </c>
      <c r="N27" s="12">
        <v>38.180109904433614</v>
      </c>
      <c r="O27" s="12">
        <v>37.343904656179134</v>
      </c>
      <c r="P27" s="12">
        <v>38.829221404955071</v>
      </c>
      <c r="Q27" s="12">
        <v>41.386496085207554</v>
      </c>
    </row>
    <row r="28" spans="1:17" x14ac:dyDescent="0.25">
      <c r="A28" s="52" t="s">
        <v>79</v>
      </c>
      <c r="B28" s="54">
        <v>17.080267985837594</v>
      </c>
      <c r="C28" s="54">
        <v>22.116793318854334</v>
      </c>
      <c r="D28" s="54">
        <v>14.751202355709438</v>
      </c>
      <c r="E28" s="54">
        <v>8.5612774676785612</v>
      </c>
      <c r="F28" s="54"/>
      <c r="G28" s="54"/>
      <c r="H28" s="54"/>
      <c r="J28" s="52" t="s">
        <v>79</v>
      </c>
      <c r="K28" s="12">
        <v>15.979183650163835</v>
      </c>
      <c r="L28" s="12">
        <v>15.712493240035753</v>
      </c>
      <c r="M28" s="12">
        <v>14.624836529993692</v>
      </c>
      <c r="N28" s="12">
        <v>11.115432125256282</v>
      </c>
      <c r="O28" s="12"/>
      <c r="P28" s="12"/>
      <c r="Q28" s="12"/>
    </row>
    <row r="29" spans="1:17" ht="30" x14ac:dyDescent="0.25">
      <c r="A29" s="52" t="s">
        <v>80</v>
      </c>
      <c r="B29" s="54">
        <v>12.373081574099908</v>
      </c>
      <c r="C29" s="54">
        <v>18.073037587495023</v>
      </c>
      <c r="D29" s="54">
        <v>23.726264847133098</v>
      </c>
      <c r="E29" s="54">
        <v>29.554664277669314</v>
      </c>
      <c r="F29" s="54">
        <v>38.971893330484001</v>
      </c>
      <c r="G29" s="54">
        <v>33.782850626539975</v>
      </c>
      <c r="H29" s="54"/>
      <c r="J29" s="52" t="s">
        <v>80</v>
      </c>
      <c r="K29" s="12">
        <v>16.887432359596087</v>
      </c>
      <c r="L29" s="12">
        <v>19.547884210031878</v>
      </c>
      <c r="M29" s="12">
        <v>18.409071949171889</v>
      </c>
      <c r="N29" s="12">
        <v>19.296596629802078</v>
      </c>
      <c r="O29" s="12">
        <v>18.470174030239544</v>
      </c>
      <c r="P29" s="12">
        <v>18.385518114990969</v>
      </c>
      <c r="Q29" s="12"/>
    </row>
    <row r="30" spans="1:17" ht="45" x14ac:dyDescent="0.25">
      <c r="A30" s="52" t="s">
        <v>81</v>
      </c>
      <c r="B30" s="54">
        <v>12.338600936894515</v>
      </c>
      <c r="C30" s="54">
        <v>17.984166071121557</v>
      </c>
      <c r="D30" s="54">
        <v>24.028078377560927</v>
      </c>
      <c r="E30" s="54">
        <v>29.693819446313622</v>
      </c>
      <c r="F30" s="54">
        <v>39.08821355983811</v>
      </c>
      <c r="G30" s="54">
        <v>36.417992532913026</v>
      </c>
      <c r="H30" s="54"/>
      <c r="J30" s="52" t="s">
        <v>81</v>
      </c>
      <c r="K30" s="12">
        <v>17.849626170914057</v>
      </c>
      <c r="L30" s="12">
        <v>25.243894034247081</v>
      </c>
      <c r="M30" s="12">
        <v>33.428857823561714</v>
      </c>
      <c r="N30" s="12">
        <v>37.923926788768732</v>
      </c>
      <c r="O30" s="12">
        <v>38.028554719668932</v>
      </c>
      <c r="P30" s="12">
        <v>40.982830081959733</v>
      </c>
      <c r="Q30" s="12"/>
    </row>
    <row r="31" spans="1:17" ht="45" x14ac:dyDescent="0.25">
      <c r="A31" s="52" t="s">
        <v>85</v>
      </c>
      <c r="B31" s="54">
        <v>12.373529535610103</v>
      </c>
      <c r="C31" s="54">
        <v>17.772537960756313</v>
      </c>
      <c r="D31" s="54">
        <v>23.657025646286453</v>
      </c>
      <c r="E31" s="54">
        <v>29.102525374989991</v>
      </c>
      <c r="F31" s="54">
        <v>38.552220281021171</v>
      </c>
      <c r="G31" s="54">
        <v>36.566106814224227</v>
      </c>
      <c r="H31" s="54">
        <v>37.118704940038569</v>
      </c>
      <c r="J31" s="52" t="s">
        <v>85</v>
      </c>
      <c r="K31" s="12">
        <v>16.721519252194998</v>
      </c>
      <c r="L31" s="12">
        <v>23.338937611834716</v>
      </c>
      <c r="M31" s="12">
        <v>29.956355971474402</v>
      </c>
      <c r="N31" s="12">
        <v>32.413932882198985</v>
      </c>
      <c r="O31" s="12">
        <v>31.965869729805988</v>
      </c>
      <c r="P31" s="12">
        <v>33.433773430847509</v>
      </c>
      <c r="Q31" s="12">
        <v>35.333366876151359</v>
      </c>
    </row>
    <row r="32" spans="1:17" x14ac:dyDescent="0.25">
      <c r="A32" s="52" t="s">
        <v>87</v>
      </c>
      <c r="B32" s="54">
        <v>24.815059501476554</v>
      </c>
      <c r="C32" s="54">
        <v>25.738203523220864</v>
      </c>
      <c r="D32" s="54">
        <v>26.928113344191928</v>
      </c>
      <c r="E32" s="54">
        <v>27.270504250243864</v>
      </c>
      <c r="F32" s="54">
        <v>31.161825981238763</v>
      </c>
      <c r="G32" s="54">
        <v>28.546485947045198</v>
      </c>
      <c r="H32" s="54">
        <v>28.018177325381938</v>
      </c>
    </row>
    <row r="33" spans="1:8" x14ac:dyDescent="0.25">
      <c r="A33" s="52" t="s">
        <v>88</v>
      </c>
      <c r="B33" s="54">
        <v>23.594630926270511</v>
      </c>
      <c r="C33" s="54">
        <v>25.058276094630639</v>
      </c>
      <c r="D33" s="54">
        <v>25.791431413426864</v>
      </c>
      <c r="E33" s="54">
        <v>27.334847058237496</v>
      </c>
      <c r="F33" s="54">
        <v>32.498440571616996</v>
      </c>
      <c r="G33" s="54">
        <v>28.072359453339214</v>
      </c>
      <c r="H33" s="54"/>
    </row>
    <row r="34" spans="1:8" ht="30" x14ac:dyDescent="0.25">
      <c r="A34" s="52" t="s">
        <v>89</v>
      </c>
      <c r="B34" s="54">
        <v>24.248102111198854</v>
      </c>
      <c r="C34" s="54">
        <v>24.644264053902049</v>
      </c>
      <c r="D34" s="54">
        <v>26.429343744249842</v>
      </c>
      <c r="E34" s="54">
        <v>26.669504187138056</v>
      </c>
      <c r="F34" s="54">
        <v>31.101371152069714</v>
      </c>
      <c r="G34" s="54">
        <v>27.710492374183374</v>
      </c>
      <c r="H34" s="54">
        <v>27.871471172796337</v>
      </c>
    </row>
    <row r="35" spans="1:8" ht="30" x14ac:dyDescent="0.25">
      <c r="A35" s="52" t="s">
        <v>90</v>
      </c>
      <c r="B35" s="54"/>
      <c r="C35" s="54">
        <v>26.594059222753366</v>
      </c>
      <c r="D35" s="54">
        <v>26.38212597401952</v>
      </c>
      <c r="E35" s="54">
        <v>27.407712153210163</v>
      </c>
      <c r="F35" s="54">
        <v>32.599929769851705</v>
      </c>
      <c r="G35" s="54">
        <v>28.041059597887706</v>
      </c>
      <c r="H35" s="54">
        <v>28.038633445610181</v>
      </c>
    </row>
    <row r="36" spans="1:8" x14ac:dyDescent="0.25">
      <c r="A36" s="52" t="s">
        <v>91</v>
      </c>
      <c r="B36" s="54">
        <v>4.7664411890616218</v>
      </c>
      <c r="C36" s="54">
        <v>3.1446809991318587</v>
      </c>
      <c r="D36" s="54">
        <v>3.4819935827555231</v>
      </c>
      <c r="E36" s="54">
        <v>4.054277413035333</v>
      </c>
      <c r="F36" s="54">
        <v>6.0159367565989461</v>
      </c>
      <c r="G36" s="54">
        <v>6.0686724042902087</v>
      </c>
      <c r="H36" s="54">
        <v>6.8488335611454945</v>
      </c>
    </row>
    <row r="37" spans="1:8" x14ac:dyDescent="0.25">
      <c r="A37" s="52" t="s">
        <v>94</v>
      </c>
      <c r="B37" s="54">
        <v>5.5549882266642729</v>
      </c>
      <c r="C37" s="54">
        <v>5.4679325426865173</v>
      </c>
      <c r="D37" s="54">
        <v>5.4163407333108387</v>
      </c>
      <c r="E37" s="54">
        <v>5.5235372823670712</v>
      </c>
      <c r="F37" s="54">
        <v>7.0022093261391456</v>
      </c>
      <c r="G37" s="54">
        <v>6.3783190914216625</v>
      </c>
      <c r="H37" s="54">
        <v>5.9653353174705224</v>
      </c>
    </row>
    <row r="38" spans="1:8" ht="15.75" thickBot="1" x14ac:dyDescent="0.3">
      <c r="A38" s="34" t="s">
        <v>93</v>
      </c>
      <c r="B38" s="55">
        <v>24.459661401845398</v>
      </c>
      <c r="C38" s="55">
        <v>25.915529989817664</v>
      </c>
      <c r="D38" s="55">
        <v>26.331466515569399</v>
      </c>
      <c r="E38" s="55">
        <v>27.479732466231098</v>
      </c>
      <c r="F38" s="55">
        <v>31.284492482405003</v>
      </c>
      <c r="G38" s="55">
        <v>28.524926743248074</v>
      </c>
      <c r="H38" s="55">
        <v>28.126804996471048</v>
      </c>
    </row>
  </sheetData>
  <conditionalFormatting sqref="B4:B20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20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20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0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20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0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20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20 M19:M20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20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18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20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20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2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2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:M30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:K31 M31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L31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:N31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:O31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5:P31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5:Q31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:B35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:B3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:B3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C3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C3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C3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D3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D3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D3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E3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:E3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E3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5:F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6:F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5:F3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6:G3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H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:H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H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zoomScale="115" zoomScaleNormal="115" workbookViewId="0">
      <selection activeCell="D2" sqref="D2:J4"/>
    </sheetView>
  </sheetViews>
  <sheetFormatPr defaultRowHeight="15" x14ac:dyDescent="0.25"/>
  <cols>
    <col min="2" max="2" width="6.28515625" bestFit="1" customWidth="1"/>
    <col min="3" max="3" width="45.7109375" customWidth="1"/>
    <col min="4" max="10" width="6.7109375" bestFit="1" customWidth="1"/>
    <col min="14" max="14" width="6.28515625" bestFit="1" customWidth="1"/>
    <col min="15" max="15" width="45.7109375" customWidth="1"/>
    <col min="16" max="22" width="9.42578125" bestFit="1" customWidth="1"/>
  </cols>
  <sheetData>
    <row r="1" spans="1:22" ht="15.75" thickBot="1" x14ac:dyDescent="0.3"/>
    <row r="2" spans="1:22" ht="17.25" thickTop="1" thickBot="1" x14ac:dyDescent="0.3">
      <c r="B2" s="246" t="s">
        <v>54</v>
      </c>
      <c r="C2" s="247"/>
      <c r="D2" s="68">
        <v>2</v>
      </c>
      <c r="E2" s="68">
        <v>4</v>
      </c>
      <c r="F2" s="68">
        <v>8</v>
      </c>
      <c r="G2" s="68">
        <v>16</v>
      </c>
      <c r="H2" s="68">
        <v>32</v>
      </c>
      <c r="I2" s="68">
        <v>64</v>
      </c>
      <c r="J2" s="69">
        <v>128</v>
      </c>
      <c r="N2" s="246" t="s">
        <v>54</v>
      </c>
      <c r="O2" s="247"/>
      <c r="P2" s="68">
        <v>2</v>
      </c>
      <c r="Q2" s="68">
        <v>4</v>
      </c>
      <c r="R2" s="68">
        <v>8</v>
      </c>
      <c r="S2" s="68">
        <v>16</v>
      </c>
      <c r="T2" s="68">
        <v>32</v>
      </c>
      <c r="U2" s="68">
        <v>64</v>
      </c>
      <c r="V2" s="97">
        <v>128</v>
      </c>
    </row>
    <row r="3" spans="1:22" ht="16.5" thickBot="1" x14ac:dyDescent="0.3">
      <c r="B3" s="248" t="s">
        <v>55</v>
      </c>
      <c r="C3" s="249"/>
      <c r="D3" s="250">
        <v>42</v>
      </c>
      <c r="E3" s="240">
        <v>84</v>
      </c>
      <c r="F3" s="240">
        <v>168</v>
      </c>
      <c r="G3" s="240">
        <v>336</v>
      </c>
      <c r="H3" s="240">
        <v>672</v>
      </c>
      <c r="I3" s="242">
        <v>1344</v>
      </c>
      <c r="J3" s="244">
        <v>2688</v>
      </c>
      <c r="N3" s="248" t="s">
        <v>55</v>
      </c>
      <c r="O3" s="249"/>
      <c r="P3" s="250">
        <v>42</v>
      </c>
      <c r="Q3" s="240">
        <v>84</v>
      </c>
      <c r="R3" s="240">
        <v>168</v>
      </c>
      <c r="S3" s="240">
        <v>336</v>
      </c>
      <c r="T3" s="240">
        <v>672</v>
      </c>
      <c r="U3" s="242">
        <v>1344</v>
      </c>
      <c r="V3" s="244">
        <v>2688</v>
      </c>
    </row>
    <row r="4" spans="1:22" ht="16.5" thickBot="1" x14ac:dyDescent="0.3">
      <c r="B4" s="70" t="s">
        <v>56</v>
      </c>
      <c r="C4" s="71" t="s">
        <v>92</v>
      </c>
      <c r="D4" s="239"/>
      <c r="E4" s="241"/>
      <c r="F4" s="241"/>
      <c r="G4" s="241"/>
      <c r="H4" s="241"/>
      <c r="I4" s="243"/>
      <c r="J4" s="245"/>
      <c r="N4" s="96" t="s">
        <v>56</v>
      </c>
      <c r="O4" s="71" t="s">
        <v>92</v>
      </c>
      <c r="P4" s="239"/>
      <c r="Q4" s="241"/>
      <c r="R4" s="241"/>
      <c r="S4" s="241"/>
      <c r="T4" s="241"/>
      <c r="U4" s="243"/>
      <c r="V4" s="245"/>
    </row>
    <row r="5" spans="1:22" ht="33" thickTop="1" thickBot="1" x14ac:dyDescent="0.3">
      <c r="A5">
        <v>5120</v>
      </c>
      <c r="B5" s="238">
        <v>1</v>
      </c>
      <c r="C5" s="72" t="s">
        <v>60</v>
      </c>
      <c r="D5" s="73">
        <v>3.25</v>
      </c>
      <c r="E5" s="73">
        <v>1.97</v>
      </c>
      <c r="F5" s="73">
        <v>1.38</v>
      </c>
      <c r="G5" s="73">
        <v>1.1100000000000001</v>
      </c>
      <c r="H5" s="73">
        <v>1.05</v>
      </c>
      <c r="I5" s="73">
        <v>0.98</v>
      </c>
      <c r="J5" s="73"/>
      <c r="N5" s="238">
        <v>1</v>
      </c>
      <c r="O5" s="72" t="s">
        <v>60</v>
      </c>
      <c r="P5" s="98">
        <f>D5/$A5</f>
        <v>6.3476562500000002E-4</v>
      </c>
      <c r="Q5" s="98">
        <f t="shared" ref="Q5:U5" si="0">E5/$A5</f>
        <v>3.8476562500000002E-4</v>
      </c>
      <c r="R5" s="98">
        <f t="shared" si="0"/>
        <v>2.6953124999999997E-4</v>
      </c>
      <c r="S5" s="98">
        <f t="shared" si="0"/>
        <v>2.1679687500000003E-4</v>
      </c>
      <c r="T5" s="98">
        <f t="shared" si="0"/>
        <v>2.0507812500000002E-4</v>
      </c>
      <c r="U5" s="98">
        <f t="shared" si="0"/>
        <v>1.9140625000000001E-4</v>
      </c>
      <c r="V5" s="98"/>
    </row>
    <row r="6" spans="1:22" ht="16.5" thickBot="1" x14ac:dyDescent="0.3">
      <c r="B6" s="239"/>
      <c r="C6" s="74" t="s">
        <v>61</v>
      </c>
      <c r="D6" s="75">
        <v>3.46</v>
      </c>
      <c r="E6" s="75">
        <v>2.15</v>
      </c>
      <c r="F6" s="75">
        <v>1.55</v>
      </c>
      <c r="G6" s="75">
        <v>1.28</v>
      </c>
      <c r="H6" s="75">
        <v>1.1399999999999999</v>
      </c>
      <c r="I6" s="75">
        <v>1.0900000000000001</v>
      </c>
      <c r="J6" s="75">
        <v>1.08</v>
      </c>
      <c r="N6" s="239"/>
      <c r="O6" s="74" t="s">
        <v>61</v>
      </c>
      <c r="P6" s="98">
        <f>D6/$A5</f>
        <v>6.7578124999999995E-4</v>
      </c>
      <c r="Q6" s="98">
        <f t="shared" ref="Q6:V6" si="1">E6/$A5</f>
        <v>4.1992187499999999E-4</v>
      </c>
      <c r="R6" s="98">
        <f t="shared" si="1"/>
        <v>3.02734375E-4</v>
      </c>
      <c r="S6" s="98">
        <f t="shared" si="1"/>
        <v>2.5000000000000001E-4</v>
      </c>
      <c r="T6" s="98">
        <f t="shared" si="1"/>
        <v>2.2265624999999998E-4</v>
      </c>
      <c r="U6" s="98">
        <f t="shared" si="1"/>
        <v>2.1289062500000003E-4</v>
      </c>
      <c r="V6" s="98">
        <f t="shared" si="1"/>
        <v>2.1093750000000002E-4</v>
      </c>
    </row>
    <row r="7" spans="1:22" ht="17.25" thickTop="1" thickBot="1" x14ac:dyDescent="0.3">
      <c r="A7">
        <v>1024</v>
      </c>
      <c r="B7" s="238">
        <v>2</v>
      </c>
      <c r="C7" s="72" t="s">
        <v>61</v>
      </c>
      <c r="D7" s="73">
        <v>11.32</v>
      </c>
      <c r="E7" s="73">
        <v>7.29</v>
      </c>
      <c r="F7" s="73">
        <v>4.95</v>
      </c>
      <c r="G7" s="73">
        <v>4.2300000000000004</v>
      </c>
      <c r="H7" s="73">
        <v>4.33</v>
      </c>
      <c r="I7" s="73">
        <v>4.07</v>
      </c>
      <c r="J7" s="73">
        <v>3.89</v>
      </c>
      <c r="N7" s="238">
        <v>2</v>
      </c>
      <c r="O7" s="72" t="s">
        <v>61</v>
      </c>
      <c r="P7" s="98">
        <f>D7/$A7</f>
        <v>1.10546875E-2</v>
      </c>
      <c r="Q7" s="98">
        <f t="shared" ref="Q7:V7" si="2">E7/$A7</f>
        <v>7.119140625E-3</v>
      </c>
      <c r="R7" s="98">
        <f t="shared" si="2"/>
        <v>4.8339843750000002E-3</v>
      </c>
      <c r="S7" s="98">
        <f t="shared" si="2"/>
        <v>4.1308593750000004E-3</v>
      </c>
      <c r="T7" s="98">
        <f t="shared" si="2"/>
        <v>4.2285156250000001E-3</v>
      </c>
      <c r="U7" s="98">
        <f t="shared" si="2"/>
        <v>3.9746093750000003E-3</v>
      </c>
      <c r="V7" s="98">
        <f t="shared" si="2"/>
        <v>3.7988281250000001E-3</v>
      </c>
    </row>
    <row r="8" spans="1:22" ht="32.25" thickBot="1" x14ac:dyDescent="0.3">
      <c r="B8" s="239"/>
      <c r="C8" s="74" t="s">
        <v>60</v>
      </c>
      <c r="D8" s="75">
        <v>10.51</v>
      </c>
      <c r="E8" s="75">
        <v>6.82</v>
      </c>
      <c r="F8" s="75">
        <v>4.99</v>
      </c>
      <c r="G8" s="75">
        <v>4.26</v>
      </c>
      <c r="H8" s="75">
        <v>4.21</v>
      </c>
      <c r="I8" s="75">
        <v>3.87</v>
      </c>
      <c r="J8" s="75"/>
      <c r="N8" s="239"/>
      <c r="O8" s="74" t="s">
        <v>60</v>
      </c>
      <c r="P8" s="98">
        <f>D8/$A7</f>
        <v>1.0263671875E-2</v>
      </c>
      <c r="Q8" s="98">
        <f t="shared" ref="Q8:U8" si="3">E8/$A7</f>
        <v>6.6601562500000003E-3</v>
      </c>
      <c r="R8" s="98">
        <f t="shared" si="3"/>
        <v>4.8730468750000002E-3</v>
      </c>
      <c r="S8" s="98">
        <f t="shared" si="3"/>
        <v>4.1601562499999998E-3</v>
      </c>
      <c r="T8" s="98">
        <f t="shared" si="3"/>
        <v>4.111328125E-3</v>
      </c>
      <c r="U8" s="98">
        <f t="shared" si="3"/>
        <v>3.7792968750000001E-3</v>
      </c>
      <c r="V8" s="98"/>
    </row>
    <row r="9" spans="1:22" ht="33" thickTop="1" thickBot="1" x14ac:dyDescent="0.3">
      <c r="A9">
        <v>4352</v>
      </c>
      <c r="B9" s="238">
        <v>3</v>
      </c>
      <c r="C9" s="72" t="s">
        <v>64</v>
      </c>
      <c r="D9" s="73">
        <v>6.12</v>
      </c>
      <c r="E9" s="73">
        <v>5.26</v>
      </c>
      <c r="F9" s="73">
        <v>4.87</v>
      </c>
      <c r="G9" s="73">
        <v>4.6100000000000003</v>
      </c>
      <c r="H9" s="73">
        <v>4.68</v>
      </c>
      <c r="I9" s="73">
        <v>4.4800000000000004</v>
      </c>
      <c r="J9" s="73">
        <v>4.42</v>
      </c>
      <c r="N9" s="238">
        <v>3</v>
      </c>
      <c r="O9" s="72" t="s">
        <v>64</v>
      </c>
      <c r="P9" s="98">
        <f>D9/$A9</f>
        <v>1.4062499999999999E-3</v>
      </c>
      <c r="Q9" s="98">
        <f t="shared" ref="Q9:V9" si="4">E9/$A9</f>
        <v>1.2086397058823529E-3</v>
      </c>
      <c r="R9" s="98">
        <f t="shared" si="4"/>
        <v>1.1190257352941177E-3</v>
      </c>
      <c r="S9" s="98">
        <f t="shared" si="4"/>
        <v>1.0592830882352941E-3</v>
      </c>
      <c r="T9" s="98">
        <f t="shared" si="4"/>
        <v>1.0753676470588234E-3</v>
      </c>
      <c r="U9" s="98">
        <f t="shared" si="4"/>
        <v>1.0294117647058824E-3</v>
      </c>
      <c r="V9" s="98">
        <f t="shared" si="4"/>
        <v>1.015625E-3</v>
      </c>
    </row>
    <row r="10" spans="1:22" ht="16.5" thickBot="1" x14ac:dyDescent="0.3">
      <c r="B10" s="239"/>
      <c r="C10" s="74" t="s">
        <v>61</v>
      </c>
      <c r="D10" s="75">
        <v>12.07</v>
      </c>
      <c r="E10" s="75">
        <v>7.57</v>
      </c>
      <c r="F10" s="75">
        <v>5.3</v>
      </c>
      <c r="G10" s="75">
        <v>4.2699999999999996</v>
      </c>
      <c r="H10" s="75">
        <v>3.9</v>
      </c>
      <c r="I10" s="75">
        <v>3.53</v>
      </c>
      <c r="J10" s="75">
        <v>3.31</v>
      </c>
      <c r="N10" s="239"/>
      <c r="O10" s="74" t="s">
        <v>61</v>
      </c>
      <c r="P10" s="98">
        <f>D10/$A9</f>
        <v>2.7734374999999999E-3</v>
      </c>
      <c r="Q10" s="98">
        <f t="shared" ref="Q10:V10" si="5">E10/$A9</f>
        <v>1.7394301470588236E-3</v>
      </c>
      <c r="R10" s="98">
        <f t="shared" si="5"/>
        <v>1.2178308823529412E-3</v>
      </c>
      <c r="S10" s="98">
        <f t="shared" si="5"/>
        <v>9.8115808823529406E-4</v>
      </c>
      <c r="T10" s="98">
        <f t="shared" si="5"/>
        <v>8.961397058823529E-4</v>
      </c>
      <c r="U10" s="98">
        <f t="shared" si="5"/>
        <v>8.1112132352941175E-4</v>
      </c>
      <c r="V10" s="98">
        <f t="shared" si="5"/>
        <v>7.6056985294117646E-4</v>
      </c>
    </row>
    <row r="11" spans="1:22" ht="33" thickTop="1" thickBot="1" x14ac:dyDescent="0.3">
      <c r="A11">
        <v>3584</v>
      </c>
      <c r="B11" s="238">
        <v>4</v>
      </c>
      <c r="C11" s="72" t="s">
        <v>65</v>
      </c>
      <c r="D11" s="73"/>
      <c r="E11" s="73">
        <v>6.67</v>
      </c>
      <c r="F11" s="73">
        <v>6.1</v>
      </c>
      <c r="G11" s="73">
        <v>6.1</v>
      </c>
      <c r="H11" s="73">
        <v>6.01</v>
      </c>
      <c r="I11" s="73">
        <v>5.8</v>
      </c>
      <c r="J11" s="73">
        <v>5.74</v>
      </c>
      <c r="N11" s="238">
        <v>4</v>
      </c>
      <c r="O11" s="72" t="s">
        <v>65</v>
      </c>
      <c r="P11" s="98"/>
      <c r="Q11" s="98">
        <f t="shared" ref="Q11:V11" si="6">E11/$A11</f>
        <v>1.8610491071428571E-3</v>
      </c>
      <c r="R11" s="98">
        <f t="shared" si="6"/>
        <v>1.7020089285714284E-3</v>
      </c>
      <c r="S11" s="98">
        <f t="shared" si="6"/>
        <v>1.7020089285714284E-3</v>
      </c>
      <c r="T11" s="98">
        <f t="shared" si="6"/>
        <v>1.6768973214285714E-3</v>
      </c>
      <c r="U11" s="98">
        <f t="shared" si="6"/>
        <v>1.6183035714285713E-3</v>
      </c>
      <c r="V11" s="98">
        <f t="shared" si="6"/>
        <v>1.6015625000000001E-3</v>
      </c>
    </row>
    <row r="12" spans="1:22" ht="16.5" thickBot="1" x14ac:dyDescent="0.3">
      <c r="B12" s="239"/>
      <c r="C12" s="74" t="s">
        <v>62</v>
      </c>
      <c r="D12" s="75">
        <v>17.61</v>
      </c>
      <c r="E12" s="75">
        <v>11.36</v>
      </c>
      <c r="F12" s="75">
        <v>7.97</v>
      </c>
      <c r="G12" s="75">
        <v>6.57</v>
      </c>
      <c r="H12" s="75">
        <v>5.91</v>
      </c>
      <c r="I12" s="75">
        <v>5.33</v>
      </c>
      <c r="J12" s="75">
        <v>5.0599999999999996</v>
      </c>
      <c r="N12" s="239"/>
      <c r="O12" s="74" t="s">
        <v>62</v>
      </c>
      <c r="P12" s="98">
        <f>D12/$A11</f>
        <v>4.913504464285714E-3</v>
      </c>
      <c r="Q12" s="98">
        <f t="shared" ref="Q12:V12" si="7">E12/$A11</f>
        <v>3.169642857142857E-3</v>
      </c>
      <c r="R12" s="98">
        <f t="shared" si="7"/>
        <v>2.2237723214285714E-3</v>
      </c>
      <c r="S12" s="98">
        <f t="shared" si="7"/>
        <v>1.8331473214285715E-3</v>
      </c>
      <c r="T12" s="98">
        <f t="shared" si="7"/>
        <v>1.6489955357142858E-3</v>
      </c>
      <c r="U12" s="98">
        <f t="shared" si="7"/>
        <v>1.4871651785714286E-3</v>
      </c>
      <c r="V12" s="98">
        <f t="shared" si="7"/>
        <v>1.4118303571428569E-3</v>
      </c>
    </row>
    <row r="13" spans="1:22" ht="33" thickTop="1" thickBot="1" x14ac:dyDescent="0.3">
      <c r="A13">
        <v>3840</v>
      </c>
      <c r="B13" s="238">
        <v>5</v>
      </c>
      <c r="C13" s="72" t="s">
        <v>67</v>
      </c>
      <c r="D13" s="73">
        <v>7.52</v>
      </c>
      <c r="E13" s="73">
        <v>6.33</v>
      </c>
      <c r="F13" s="73">
        <v>6.02</v>
      </c>
      <c r="G13" s="73">
        <v>5.87</v>
      </c>
      <c r="H13" s="73">
        <v>5.97</v>
      </c>
      <c r="I13" s="73">
        <v>5.91</v>
      </c>
      <c r="J13" s="73">
        <v>5.88</v>
      </c>
      <c r="N13" s="238">
        <v>5</v>
      </c>
      <c r="O13" s="72" t="s">
        <v>67</v>
      </c>
      <c r="P13" s="98">
        <f>D13/$A13</f>
        <v>1.9583333333333332E-3</v>
      </c>
      <c r="Q13" s="98">
        <f t="shared" ref="Q13:V13" si="8">E13/$A13</f>
        <v>1.6484374999999999E-3</v>
      </c>
      <c r="R13" s="98">
        <f t="shared" si="8"/>
        <v>1.5677083333333333E-3</v>
      </c>
      <c r="S13" s="98">
        <f t="shared" si="8"/>
        <v>1.5286458333333335E-3</v>
      </c>
      <c r="T13" s="98">
        <f t="shared" si="8"/>
        <v>1.5546874999999999E-3</v>
      </c>
      <c r="U13" s="98">
        <f t="shared" si="8"/>
        <v>1.5390625000000001E-3</v>
      </c>
      <c r="V13" s="98">
        <f t="shared" si="8"/>
        <v>1.5312500000000001E-3</v>
      </c>
    </row>
    <row r="14" spans="1:22" ht="32.25" thickBot="1" x14ac:dyDescent="0.3">
      <c r="B14" s="239"/>
      <c r="C14" s="74" t="s">
        <v>63</v>
      </c>
      <c r="D14" s="75">
        <v>16.57</v>
      </c>
      <c r="E14" s="75">
        <v>10.58</v>
      </c>
      <c r="F14" s="75">
        <v>7.55</v>
      </c>
      <c r="G14" s="75">
        <v>6.02</v>
      </c>
      <c r="H14" s="75">
        <v>5.45</v>
      </c>
      <c r="I14" s="75">
        <v>5.07</v>
      </c>
      <c r="J14" s="75">
        <v>4.88</v>
      </c>
      <c r="N14" s="239"/>
      <c r="O14" s="74" t="s">
        <v>63</v>
      </c>
      <c r="P14" s="98">
        <f t="shared" ref="P14:P18" si="9">D14/$A13</f>
        <v>4.3151041666666667E-3</v>
      </c>
      <c r="Q14" s="98">
        <f t="shared" ref="Q14" si="10">E14/$A13</f>
        <v>2.7552083333333335E-3</v>
      </c>
      <c r="R14" s="98">
        <f t="shared" ref="R14" si="11">F14/$A13</f>
        <v>1.9661458333333332E-3</v>
      </c>
      <c r="S14" s="98">
        <f t="shared" ref="S14" si="12">G14/$A13</f>
        <v>1.5677083333333333E-3</v>
      </c>
      <c r="T14" s="98">
        <f t="shared" ref="T14" si="13">H14/$A13</f>
        <v>1.4192708333333334E-3</v>
      </c>
      <c r="U14" s="98">
        <f t="shared" ref="U14" si="14">I14/$A13</f>
        <v>1.3203125000000001E-3</v>
      </c>
      <c r="V14" s="98">
        <f t="shared" ref="V14" si="15">J14/$A13</f>
        <v>1.2708333333333332E-3</v>
      </c>
    </row>
    <row r="15" spans="1:22" ht="33" thickTop="1" thickBot="1" x14ac:dyDescent="0.3">
      <c r="A15">
        <v>768</v>
      </c>
      <c r="B15" s="238">
        <v>6</v>
      </c>
      <c r="C15" s="72" t="s">
        <v>64</v>
      </c>
      <c r="D15" s="73">
        <v>13.94</v>
      </c>
      <c r="E15" s="73">
        <v>13.03</v>
      </c>
      <c r="F15" s="73">
        <v>12.62</v>
      </c>
      <c r="G15" s="73">
        <v>12.46</v>
      </c>
      <c r="H15" s="73">
        <v>14.07</v>
      </c>
      <c r="I15" s="73">
        <v>14.21</v>
      </c>
      <c r="J15" s="73">
        <v>14.51</v>
      </c>
      <c r="N15" s="238">
        <v>6</v>
      </c>
      <c r="O15" s="72" t="s">
        <v>64</v>
      </c>
      <c r="P15" s="98">
        <f>D15/$A15</f>
        <v>1.8151041666666666E-2</v>
      </c>
      <c r="Q15" s="98">
        <f t="shared" ref="Q15:V15" si="16">E15/$A15</f>
        <v>1.6966145833333331E-2</v>
      </c>
      <c r="R15" s="98">
        <f t="shared" si="16"/>
        <v>1.6432291666666664E-2</v>
      </c>
      <c r="S15" s="98">
        <f t="shared" si="16"/>
        <v>1.6223958333333333E-2</v>
      </c>
      <c r="T15" s="98">
        <f t="shared" si="16"/>
        <v>1.8320312500000002E-2</v>
      </c>
      <c r="U15" s="98">
        <f t="shared" si="16"/>
        <v>1.8502604166666669E-2</v>
      </c>
      <c r="V15" s="98">
        <f t="shared" si="16"/>
        <v>1.8893229166666668E-2</v>
      </c>
    </row>
    <row r="16" spans="1:22" ht="16.5" thickBot="1" x14ac:dyDescent="0.3">
      <c r="B16" s="239"/>
      <c r="C16" s="74" t="s">
        <v>62</v>
      </c>
      <c r="D16" s="75">
        <v>28.42</v>
      </c>
      <c r="E16" s="75">
        <v>20.46</v>
      </c>
      <c r="F16" s="75">
        <v>15.6</v>
      </c>
      <c r="G16" s="75">
        <v>13.63</v>
      </c>
      <c r="H16" s="75">
        <v>10.97</v>
      </c>
      <c r="I16" s="75">
        <v>11.41</v>
      </c>
      <c r="J16" s="75">
        <v>11.15</v>
      </c>
      <c r="N16" s="239"/>
      <c r="O16" s="74" t="s">
        <v>62</v>
      </c>
      <c r="P16" s="98">
        <f t="shared" si="9"/>
        <v>3.7005208333333338E-2</v>
      </c>
      <c r="Q16" s="98">
        <f t="shared" ref="Q16" si="17">E16/$A15</f>
        <v>2.6640625000000001E-2</v>
      </c>
      <c r="R16" s="98">
        <f t="shared" ref="R16" si="18">F16/$A15</f>
        <v>2.0312500000000001E-2</v>
      </c>
      <c r="S16" s="98">
        <f t="shared" ref="S16" si="19">G16/$A15</f>
        <v>1.7747395833333336E-2</v>
      </c>
      <c r="T16" s="98">
        <f t="shared" ref="T16" si="20">H16/$A15</f>
        <v>1.4283854166666667E-2</v>
      </c>
      <c r="U16" s="98">
        <f t="shared" ref="U16" si="21">I16/$A15</f>
        <v>1.4856770833333333E-2</v>
      </c>
      <c r="V16" s="98">
        <f t="shared" ref="V16" si="22">J16/$A15</f>
        <v>1.4518229166666667E-2</v>
      </c>
    </row>
    <row r="17" spans="1:22" ht="17.25" thickTop="1" thickBot="1" x14ac:dyDescent="0.3">
      <c r="A17">
        <v>768</v>
      </c>
      <c r="B17" s="238">
        <v>7</v>
      </c>
      <c r="C17" s="72" t="s">
        <v>66</v>
      </c>
      <c r="D17" s="73">
        <v>14.71</v>
      </c>
      <c r="E17" s="73">
        <v>13.4</v>
      </c>
      <c r="F17" s="73">
        <v>12.94</v>
      </c>
      <c r="G17" s="73">
        <v>12.8</v>
      </c>
      <c r="H17" s="73">
        <v>12.8</v>
      </c>
      <c r="I17" s="73">
        <v>12.69</v>
      </c>
      <c r="J17" s="73">
        <v>12.8</v>
      </c>
      <c r="N17" s="238">
        <v>7</v>
      </c>
      <c r="O17" s="72" t="s">
        <v>66</v>
      </c>
      <c r="P17" s="98">
        <f>D17/$A17</f>
        <v>1.9153645833333333E-2</v>
      </c>
      <c r="Q17" s="98">
        <f t="shared" ref="Q17:V17" si="23">E17/$A17</f>
        <v>1.7447916666666667E-2</v>
      </c>
      <c r="R17" s="98">
        <f t="shared" si="23"/>
        <v>1.6848958333333334E-2</v>
      </c>
      <c r="S17" s="98">
        <f t="shared" si="23"/>
        <v>1.6666666666666666E-2</v>
      </c>
      <c r="T17" s="98">
        <f t="shared" si="23"/>
        <v>1.6666666666666666E-2</v>
      </c>
      <c r="U17" s="98">
        <f t="shared" si="23"/>
        <v>1.6523437499999998E-2</v>
      </c>
      <c r="V17" s="98">
        <f t="shared" si="23"/>
        <v>1.6666666666666666E-2</v>
      </c>
    </row>
    <row r="18" spans="1:22" ht="16.5" thickBot="1" x14ac:dyDescent="0.3">
      <c r="B18" s="239"/>
      <c r="C18" s="74" t="s">
        <v>61</v>
      </c>
      <c r="D18" s="75">
        <v>26.26</v>
      </c>
      <c r="E18" s="75">
        <v>18.239999999999998</v>
      </c>
      <c r="F18" s="75">
        <v>14.15</v>
      </c>
      <c r="G18" s="75">
        <v>12.3</v>
      </c>
      <c r="H18" s="75">
        <v>11.4</v>
      </c>
      <c r="I18" s="75">
        <v>10.8</v>
      </c>
      <c r="J18" s="75">
        <v>10.54</v>
      </c>
      <c r="N18" s="239"/>
      <c r="O18" s="74" t="s">
        <v>61</v>
      </c>
      <c r="P18" s="98">
        <f t="shared" si="9"/>
        <v>3.4192708333333335E-2</v>
      </c>
      <c r="Q18" s="98">
        <f t="shared" ref="Q18" si="24">E18/$A17</f>
        <v>2.3749999999999997E-2</v>
      </c>
      <c r="R18" s="98">
        <f t="shared" ref="R18" si="25">F18/$A17</f>
        <v>1.8424479166666667E-2</v>
      </c>
      <c r="S18" s="98">
        <f t="shared" ref="S18" si="26">G18/$A17</f>
        <v>1.6015625000000002E-2</v>
      </c>
      <c r="T18" s="98">
        <f t="shared" ref="T18" si="27">H18/$A17</f>
        <v>1.4843750000000001E-2</v>
      </c>
      <c r="U18" s="98">
        <f t="shared" ref="U18" si="28">I18/$A17</f>
        <v>1.40625E-2</v>
      </c>
      <c r="V18" s="98">
        <f t="shared" ref="V18" si="29">J18/$A17</f>
        <v>1.3723958333333333E-2</v>
      </c>
    </row>
    <row r="19" spans="1:22" ht="15.75" thickTop="1" x14ac:dyDescent="0.25"/>
  </sheetData>
  <mergeCells count="32">
    <mergeCell ref="B2:C2"/>
    <mergeCell ref="B3:C3"/>
    <mergeCell ref="D3:D4"/>
    <mergeCell ref="E3:E4"/>
    <mergeCell ref="F3:F4"/>
    <mergeCell ref="I3:I4"/>
    <mergeCell ref="J3:J4"/>
    <mergeCell ref="B5:B6"/>
    <mergeCell ref="B7:B8"/>
    <mergeCell ref="B9:B10"/>
    <mergeCell ref="G3:G4"/>
    <mergeCell ref="B11:B12"/>
    <mergeCell ref="B13:B14"/>
    <mergeCell ref="B15:B16"/>
    <mergeCell ref="B17:B18"/>
    <mergeCell ref="H3:H4"/>
    <mergeCell ref="N2:O2"/>
    <mergeCell ref="N3:O3"/>
    <mergeCell ref="P3:P4"/>
    <mergeCell ref="Q3:Q4"/>
    <mergeCell ref="R3:R4"/>
    <mergeCell ref="S3:S4"/>
    <mergeCell ref="T3:T4"/>
    <mergeCell ref="U3:U4"/>
    <mergeCell ref="V3:V4"/>
    <mergeCell ref="N5:N6"/>
    <mergeCell ref="N17:N18"/>
    <mergeCell ref="N7:N8"/>
    <mergeCell ref="N9:N10"/>
    <mergeCell ref="N11:N12"/>
    <mergeCell ref="N13:N14"/>
    <mergeCell ref="N15:N16"/>
  </mergeCells>
  <conditionalFormatting sqref="D5:D18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1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1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1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18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1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:V1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opLeftCell="A28" workbookViewId="0">
      <selection activeCell="D57" sqref="D57:J57"/>
    </sheetView>
  </sheetViews>
  <sheetFormatPr defaultRowHeight="15" x14ac:dyDescent="0.25"/>
  <cols>
    <col min="2" max="2" width="32.28515625" customWidth="1"/>
    <col min="3" max="3" width="7.28515625" customWidth="1"/>
    <col min="4" max="7" width="9.28515625" style="129" bestFit="1" customWidth="1"/>
    <col min="8" max="10" width="10.5703125" style="129" bestFit="1" customWidth="1"/>
  </cols>
  <sheetData>
    <row r="1" spans="1:10" x14ac:dyDescent="0.25">
      <c r="A1" t="s">
        <v>30</v>
      </c>
    </row>
    <row r="2" spans="1:10" ht="15.75" thickBot="1" x14ac:dyDescent="0.3"/>
    <row r="3" spans="1:10" ht="16.5" thickBot="1" x14ac:dyDescent="0.3">
      <c r="B3" s="253" t="s">
        <v>54</v>
      </c>
      <c r="C3" s="254"/>
      <c r="D3" s="134">
        <v>2</v>
      </c>
      <c r="E3" s="134">
        <v>4</v>
      </c>
      <c r="F3" s="134">
        <v>8</v>
      </c>
      <c r="G3" s="134">
        <v>16</v>
      </c>
      <c r="H3" s="134">
        <v>32</v>
      </c>
      <c r="I3" s="134">
        <v>64</v>
      </c>
      <c r="J3" s="134">
        <v>128</v>
      </c>
    </row>
    <row r="4" spans="1:10" ht="16.5" thickBot="1" x14ac:dyDescent="0.3">
      <c r="B4" s="253" t="s">
        <v>55</v>
      </c>
      <c r="C4" s="254"/>
      <c r="D4" s="258">
        <v>42</v>
      </c>
      <c r="E4" s="240">
        <v>84</v>
      </c>
      <c r="F4" s="240">
        <v>168</v>
      </c>
      <c r="G4" s="240">
        <v>336</v>
      </c>
      <c r="H4" s="240">
        <v>672</v>
      </c>
      <c r="I4" s="242">
        <v>1344</v>
      </c>
      <c r="J4" s="242">
        <v>2688</v>
      </c>
    </row>
    <row r="5" spans="1:10" ht="16.5" thickBot="1" x14ac:dyDescent="0.3">
      <c r="B5" s="135" t="s">
        <v>56</v>
      </c>
      <c r="C5" s="73" t="s">
        <v>92</v>
      </c>
      <c r="D5" s="259"/>
      <c r="E5" s="257"/>
      <c r="F5" s="257"/>
      <c r="G5" s="257"/>
      <c r="H5" s="257"/>
      <c r="I5" s="260"/>
      <c r="J5" s="260"/>
    </row>
    <row r="6" spans="1:10" ht="16.5" thickBot="1" x14ac:dyDescent="0.3">
      <c r="A6">
        <v>5120</v>
      </c>
      <c r="B6" s="255">
        <v>1</v>
      </c>
      <c r="C6" s="132"/>
      <c r="D6" s="64">
        <v>3.598992857142858</v>
      </c>
      <c r="E6" s="35">
        <v>2.3101809523809518</v>
      </c>
      <c r="F6" s="35">
        <v>1.6616407142857144</v>
      </c>
      <c r="G6" s="35">
        <v>1.456121666666667</v>
      </c>
      <c r="H6" s="35">
        <v>1.4368479166666666</v>
      </c>
      <c r="I6" s="35">
        <v>1.356829910714286</v>
      </c>
      <c r="J6" s="35">
        <v>1.1398545386904775</v>
      </c>
    </row>
    <row r="7" spans="1:10" ht="16.5" thickBot="1" x14ac:dyDescent="0.3">
      <c r="B7" s="241"/>
      <c r="C7" s="133"/>
      <c r="D7" s="131">
        <v>25.604598454400008</v>
      </c>
      <c r="E7" s="130">
        <v>65.901504265599982</v>
      </c>
      <c r="F7" s="130">
        <v>56.365456456400025</v>
      </c>
      <c r="G7" s="130">
        <v>1.0743272275999971</v>
      </c>
      <c r="H7" s="130">
        <v>221.91625194760016</v>
      </c>
      <c r="I7" s="130">
        <v>1.8278558400000011</v>
      </c>
      <c r="J7" s="130">
        <v>459.89714764000007</v>
      </c>
    </row>
    <row r="8" spans="1:10" ht="17.25" thickTop="1" thickBot="1" x14ac:dyDescent="0.3">
      <c r="A8">
        <v>1024</v>
      </c>
      <c r="B8" s="256">
        <v>2</v>
      </c>
      <c r="C8" s="132"/>
      <c r="D8" s="49">
        <v>11.320642380952384</v>
      </c>
      <c r="E8" s="27">
        <v>7.2921747619047634</v>
      </c>
      <c r="F8" s="27">
        <v>4.9514360714285708</v>
      </c>
      <c r="G8" s="27">
        <v>4.2319589285714256</v>
      </c>
      <c r="H8" s="27">
        <v>4.3339223214285711</v>
      </c>
      <c r="I8" s="27">
        <v>4.0660653273809526</v>
      </c>
      <c r="J8" s="27">
        <v>3.8898995535714276</v>
      </c>
    </row>
    <row r="9" spans="1:10" ht="16.5" thickBot="1" x14ac:dyDescent="0.3">
      <c r="B9" s="241"/>
      <c r="C9" s="133"/>
      <c r="D9" s="131">
        <v>0.85883001000000714</v>
      </c>
      <c r="E9" s="130">
        <v>29.506241921999923</v>
      </c>
      <c r="F9" s="130">
        <v>1.4643786823999785</v>
      </c>
      <c r="G9" s="130">
        <v>3.0364205200000187</v>
      </c>
      <c r="H9" s="130">
        <v>22329.279521400011</v>
      </c>
      <c r="I9" s="130">
        <v>946.49661859999901</v>
      </c>
      <c r="J9" s="130">
        <v>2068.9098300000014</v>
      </c>
    </row>
    <row r="10" spans="1:10" ht="17.25" thickTop="1" thickBot="1" x14ac:dyDescent="0.3">
      <c r="A10">
        <v>4352</v>
      </c>
      <c r="B10" s="256">
        <v>3</v>
      </c>
      <c r="C10" s="132"/>
      <c r="D10" s="49">
        <v>12.069419047619046</v>
      </c>
      <c r="E10" s="27">
        <v>7.5693745238095245</v>
      </c>
      <c r="F10" s="27">
        <v>5.3006435714285729</v>
      </c>
      <c r="G10" s="27">
        <v>4.2725803571428589</v>
      </c>
      <c r="H10" s="27">
        <v>3.9004244047619046</v>
      </c>
      <c r="I10" s="27">
        <v>3.5251215773809537</v>
      </c>
      <c r="J10" s="27">
        <v>3.313595163690477</v>
      </c>
    </row>
    <row r="11" spans="1:10" ht="16.5" thickBot="1" x14ac:dyDescent="0.3">
      <c r="B11" s="241"/>
      <c r="C11" s="133"/>
      <c r="D11" s="131">
        <v>66.864586550399991</v>
      </c>
      <c r="E11" s="130">
        <v>198.95648012640001</v>
      </c>
      <c r="F11" s="130">
        <v>593.77017265000018</v>
      </c>
      <c r="G11" s="130">
        <v>1532.7536024399994</v>
      </c>
      <c r="H11" s="130">
        <v>1518.6741260400006</v>
      </c>
      <c r="I11" s="130">
        <v>0.35850099999998719</v>
      </c>
      <c r="J11" s="130">
        <v>536.43160244000137</v>
      </c>
    </row>
    <row r="12" spans="1:10" ht="17.25" thickTop="1" thickBot="1" x14ac:dyDescent="0.3">
      <c r="A12">
        <v>3584</v>
      </c>
      <c r="B12" s="256">
        <v>4</v>
      </c>
      <c r="C12" s="132"/>
      <c r="D12" s="49">
        <v>17.541667142857143</v>
      </c>
      <c r="E12" s="27">
        <v>11.199246428571431</v>
      </c>
      <c r="F12" s="27">
        <v>7.9014607142857143</v>
      </c>
      <c r="G12" s="27">
        <v>6.5466303571428579</v>
      </c>
      <c r="H12" s="27">
        <v>5.9575041666666673</v>
      </c>
      <c r="I12" s="27">
        <v>5.3225943452380937</v>
      </c>
      <c r="J12" s="27">
        <v>5.0665855654761911</v>
      </c>
    </row>
    <row r="13" spans="1:10" ht="16.5" thickBot="1" x14ac:dyDescent="0.3">
      <c r="B13" s="241"/>
      <c r="C13" s="133"/>
      <c r="D13" s="131">
        <v>5.8865228596000136</v>
      </c>
      <c r="E13" s="130">
        <v>19.460514410000002</v>
      </c>
      <c r="F13" s="130">
        <v>65.28749184000003</v>
      </c>
      <c r="G13" s="130">
        <v>199.18713016000032</v>
      </c>
      <c r="H13" s="130">
        <v>498.36374016000008</v>
      </c>
      <c r="I13" s="130">
        <v>1499.6017257600001</v>
      </c>
      <c r="J13" s="130">
        <v>44656.18092199997</v>
      </c>
    </row>
    <row r="14" spans="1:10" ht="17.25" thickTop="1" thickBot="1" x14ac:dyDescent="0.3">
      <c r="A14">
        <v>3840</v>
      </c>
      <c r="B14" s="256">
        <v>5</v>
      </c>
      <c r="C14" s="132"/>
      <c r="D14" s="49">
        <v>16.144213809523805</v>
      </c>
      <c r="E14" s="27">
        <v>10.595108095238093</v>
      </c>
      <c r="F14" s="27">
        <v>7.6067309523809543</v>
      </c>
      <c r="G14" s="27">
        <v>6.1357982142857148</v>
      </c>
      <c r="H14" s="27">
        <v>5.6183440476190487</v>
      </c>
      <c r="I14" s="27">
        <v>5.3484831845238094</v>
      </c>
      <c r="J14" s="27">
        <v>5.0739084821428566</v>
      </c>
    </row>
    <row r="15" spans="1:10" ht="16.5" thickBot="1" x14ac:dyDescent="0.3">
      <c r="B15" s="241"/>
      <c r="C15" s="133"/>
      <c r="D15" s="131">
        <v>8.3498069159999915</v>
      </c>
      <c r="E15" s="130">
        <v>58.273879443600016</v>
      </c>
      <c r="F15" s="130">
        <v>15.768819199999879</v>
      </c>
      <c r="G15" s="130">
        <v>101.9753533999999</v>
      </c>
      <c r="H15" s="130">
        <v>36.409010000000151</v>
      </c>
      <c r="I15" s="130">
        <v>102.58907640000098</v>
      </c>
      <c r="J15" s="130">
        <v>27.048402999999485</v>
      </c>
    </row>
    <row r="16" spans="1:10" ht="17.25" thickTop="1" thickBot="1" x14ac:dyDescent="0.3">
      <c r="A16">
        <v>768</v>
      </c>
      <c r="B16" s="256">
        <v>6</v>
      </c>
      <c r="C16" s="132"/>
      <c r="D16" s="49">
        <v>28.297828571428575</v>
      </c>
      <c r="E16" s="27">
        <v>18.630061904761902</v>
      </c>
      <c r="F16" s="27">
        <v>15.641284523809526</v>
      </c>
      <c r="G16" s="27">
        <v>13.619399404761898</v>
      </c>
      <c r="H16" s="27">
        <v>13.4569369047619</v>
      </c>
      <c r="I16" s="27">
        <v>12.778699404761905</v>
      </c>
      <c r="J16" s="27">
        <v>11.965991815476192</v>
      </c>
    </row>
    <row r="17" spans="1:10" ht="16.5" thickBot="1" x14ac:dyDescent="0.3">
      <c r="B17" s="241"/>
      <c r="C17" s="133"/>
      <c r="D17" s="131">
        <v>175.93944255999972</v>
      </c>
      <c r="E17" s="130">
        <v>2657.9955689599997</v>
      </c>
      <c r="F17" s="130">
        <v>3330.0577313599979</v>
      </c>
      <c r="G17" s="130">
        <v>5666.8874567600014</v>
      </c>
      <c r="H17" s="130">
        <v>399743.43354743998</v>
      </c>
      <c r="I17" s="130">
        <v>104641.270403</v>
      </c>
      <c r="J17" s="130">
        <v>361657.16678400018</v>
      </c>
    </row>
    <row r="18" spans="1:10" ht="17.25" thickTop="1" thickBot="1" x14ac:dyDescent="0.3">
      <c r="A18">
        <v>768</v>
      </c>
      <c r="B18" s="256">
        <v>7</v>
      </c>
      <c r="C18" s="132"/>
      <c r="D18" s="49">
        <v>26.263261904761904</v>
      </c>
      <c r="E18" s="27">
        <v>18.236271428571431</v>
      </c>
      <c r="F18" s="27">
        <v>14.151738095238093</v>
      </c>
      <c r="G18" s="27">
        <v>12.300307738095238</v>
      </c>
      <c r="H18" s="27">
        <v>11.403068154761904</v>
      </c>
      <c r="I18" s="27">
        <v>10.804997023809527</v>
      </c>
      <c r="J18" s="27">
        <v>10.535008928571424</v>
      </c>
    </row>
    <row r="19" spans="1:10" ht="16.5" thickBot="1" x14ac:dyDescent="0.3">
      <c r="B19" s="257"/>
      <c r="C19" s="132"/>
      <c r="D19" s="131">
        <v>178.3604850000001</v>
      </c>
      <c r="E19" s="130">
        <v>46.82063275999981</v>
      </c>
      <c r="F19" s="130">
        <v>154.13996100000008</v>
      </c>
      <c r="G19" s="130">
        <v>38.356706440000636</v>
      </c>
      <c r="H19" s="130">
        <v>165.54120576000102</v>
      </c>
      <c r="I19" s="130">
        <v>135.27087700000197</v>
      </c>
      <c r="J19" s="130">
        <v>43.721664000000906</v>
      </c>
    </row>
    <row r="25" spans="1:10" ht="15.75" thickBot="1" x14ac:dyDescent="0.3"/>
    <row r="26" spans="1:10" ht="16.5" thickBot="1" x14ac:dyDescent="0.3">
      <c r="B26" s="253" t="s">
        <v>54</v>
      </c>
      <c r="C26" s="254"/>
      <c r="D26" s="134">
        <v>2</v>
      </c>
      <c r="E26" s="134">
        <v>4</v>
      </c>
      <c r="F26" s="134">
        <v>8</v>
      </c>
      <c r="G26" s="134">
        <v>16</v>
      </c>
      <c r="H26" s="134">
        <v>32</v>
      </c>
      <c r="I26" s="134">
        <v>64</v>
      </c>
      <c r="J26" s="134">
        <v>128</v>
      </c>
    </row>
    <row r="27" spans="1:10" ht="16.5" thickBot="1" x14ac:dyDescent="0.3">
      <c r="B27" s="253" t="s">
        <v>55</v>
      </c>
      <c r="C27" s="254"/>
      <c r="D27" s="108">
        <v>42</v>
      </c>
      <c r="E27" s="108">
        <v>84</v>
      </c>
      <c r="F27" s="108">
        <v>168</v>
      </c>
      <c r="G27" s="108">
        <v>336</v>
      </c>
      <c r="H27" s="108">
        <v>672</v>
      </c>
      <c r="I27" s="109">
        <v>1344</v>
      </c>
      <c r="J27" s="141">
        <v>2688</v>
      </c>
    </row>
    <row r="28" spans="1:10" ht="32.25" customHeight="1" x14ac:dyDescent="0.25">
      <c r="B28" s="251" t="s">
        <v>133</v>
      </c>
      <c r="C28" s="137" t="s">
        <v>0</v>
      </c>
      <c r="D28" s="139">
        <v>3.598992857142858</v>
      </c>
      <c r="E28" s="139">
        <v>2.3101809523809518</v>
      </c>
      <c r="F28" s="139">
        <v>1.6616407142857144</v>
      </c>
      <c r="G28" s="139">
        <v>1.456121666666667</v>
      </c>
      <c r="H28" s="139">
        <v>1.4368479166666666</v>
      </c>
      <c r="I28" s="139">
        <v>1.356829910714286</v>
      </c>
      <c r="J28" s="136">
        <v>1.1398545386904775</v>
      </c>
    </row>
    <row r="29" spans="1:10" ht="32.25" customHeight="1" thickBot="1" x14ac:dyDescent="0.3">
      <c r="B29" s="252"/>
      <c r="C29" s="138" t="s">
        <v>16</v>
      </c>
      <c r="D29" s="140">
        <f>1.96*SQRT(D7)/(SQRT(50)*SQRT(D$27))</f>
        <v>0.21642399460145145</v>
      </c>
      <c r="E29" s="140">
        <f t="shared" ref="E29:J41" si="0">1.96*SQRT(E7)/(SQRT(50)*SQRT(E$27))</f>
        <v>0.24551559876092491</v>
      </c>
      <c r="F29" s="140">
        <f t="shared" si="0"/>
        <v>0.16055467008486632</v>
      </c>
      <c r="G29" s="140">
        <f t="shared" si="0"/>
        <v>1.567363474260303E-2</v>
      </c>
      <c r="H29" s="140">
        <f t="shared" si="0"/>
        <v>0.159287239934682</v>
      </c>
      <c r="I29" s="140">
        <f t="shared" si="0"/>
        <v>1.0222153663489905E-2</v>
      </c>
      <c r="J29" s="140">
        <f t="shared" si="0"/>
        <v>0.1146533622273823</v>
      </c>
    </row>
    <row r="30" spans="1:10" ht="23.25" customHeight="1" x14ac:dyDescent="0.25">
      <c r="B30" s="251" t="s">
        <v>134</v>
      </c>
      <c r="C30" s="137" t="s">
        <v>0</v>
      </c>
      <c r="D30" s="139">
        <v>11.320642380952384</v>
      </c>
      <c r="E30" s="139">
        <v>7.2921747619047634</v>
      </c>
      <c r="F30" s="139">
        <v>4.9514360714285708</v>
      </c>
      <c r="G30" s="139">
        <v>4.2319589285714256</v>
      </c>
      <c r="H30" s="139">
        <v>4.3339223214285711</v>
      </c>
      <c r="I30" s="139">
        <v>4.0660653273809526</v>
      </c>
      <c r="J30" s="136">
        <v>3.8898995535714276</v>
      </c>
    </row>
    <row r="31" spans="1:10" ht="23.25" customHeight="1" thickBot="1" x14ac:dyDescent="0.3">
      <c r="B31" s="252"/>
      <c r="C31" s="138" t="s">
        <v>16</v>
      </c>
      <c r="D31" s="140">
        <f>1.96*SQRT(D9)/(SQRT(50)*SQRT(D$27))</f>
        <v>3.9636931830806639E-2</v>
      </c>
      <c r="E31" s="140">
        <f t="shared" si="0"/>
        <v>0.16428139256974886</v>
      </c>
      <c r="F31" s="140">
        <f t="shared" si="0"/>
        <v>2.587874000186749E-2</v>
      </c>
      <c r="G31" s="140">
        <f t="shared" si="0"/>
        <v>2.6350107379414432E-2</v>
      </c>
      <c r="H31" s="140">
        <f t="shared" si="0"/>
        <v>1.5978050439942293</v>
      </c>
      <c r="I31" s="140">
        <f t="shared" si="0"/>
        <v>0.23261138556965197</v>
      </c>
      <c r="J31" s="140">
        <f t="shared" si="0"/>
        <v>0.24317964410595724</v>
      </c>
    </row>
    <row r="32" spans="1:10" ht="23.25" customHeight="1" x14ac:dyDescent="0.25">
      <c r="B32" s="251" t="s">
        <v>135</v>
      </c>
      <c r="C32" s="137" t="s">
        <v>0</v>
      </c>
      <c r="D32" s="139">
        <v>12.069419047619046</v>
      </c>
      <c r="E32" s="139">
        <v>7.5693745238095245</v>
      </c>
      <c r="F32" s="139">
        <v>5.3006435714285729</v>
      </c>
      <c r="G32" s="139">
        <v>4.2725803571428589</v>
      </c>
      <c r="H32" s="139">
        <v>3.9004244047619046</v>
      </c>
      <c r="I32" s="139">
        <v>3.5251215773809537</v>
      </c>
      <c r="J32" s="136">
        <v>3.313595163690477</v>
      </c>
    </row>
    <row r="33" spans="2:10" ht="23.25" customHeight="1" thickBot="1" x14ac:dyDescent="0.3">
      <c r="B33" s="252"/>
      <c r="C33" s="138" t="s">
        <v>16</v>
      </c>
      <c r="D33" s="140">
        <f>1.96*SQRT(D11)/(SQRT(50)*SQRT(D$27))</f>
        <v>0.34973935580114279</v>
      </c>
      <c r="E33" s="140">
        <f t="shared" si="0"/>
        <v>0.4265898035454519</v>
      </c>
      <c r="F33" s="140">
        <f t="shared" si="0"/>
        <v>0.52110545218020254</v>
      </c>
      <c r="G33" s="140">
        <f t="shared" si="0"/>
        <v>0.59202166944401624</v>
      </c>
      <c r="H33" s="140">
        <f t="shared" si="0"/>
        <v>0.41669542243374846</v>
      </c>
      <c r="I33" s="140">
        <f t="shared" si="0"/>
        <v>4.5270638571447098E-3</v>
      </c>
      <c r="J33" s="140">
        <f t="shared" si="0"/>
        <v>0.12382650484882751</v>
      </c>
    </row>
    <row r="34" spans="2:10" ht="23.25" customHeight="1" x14ac:dyDescent="0.25">
      <c r="B34" s="251" t="s">
        <v>139</v>
      </c>
      <c r="C34" s="137" t="s">
        <v>0</v>
      </c>
      <c r="D34" s="139">
        <v>17.541667142857143</v>
      </c>
      <c r="E34" s="139">
        <v>11.199246428571431</v>
      </c>
      <c r="F34" s="139">
        <v>7.9014607142857143</v>
      </c>
      <c r="G34" s="139">
        <v>6.5466303571428579</v>
      </c>
      <c r="H34" s="139">
        <v>5.9575041666666673</v>
      </c>
      <c r="I34" s="139">
        <v>5.3225943452380937</v>
      </c>
      <c r="J34" s="136">
        <v>5.0665855654761911</v>
      </c>
    </row>
    <row r="35" spans="2:10" ht="23.25" customHeight="1" thickBot="1" x14ac:dyDescent="0.3">
      <c r="B35" s="252"/>
      <c r="C35" s="138" t="s">
        <v>16</v>
      </c>
      <c r="D35" s="140">
        <f>1.96*SQRT(D13)/(SQRT(50)*SQRT(D$27))</f>
        <v>0.10377096166315004</v>
      </c>
      <c r="E35" s="140">
        <f t="shared" si="0"/>
        <v>0.13341620533883183</v>
      </c>
      <c r="F35" s="140">
        <f t="shared" si="0"/>
        <v>0.17279509908605625</v>
      </c>
      <c r="G35" s="140">
        <f t="shared" si="0"/>
        <v>0.21341850223583414</v>
      </c>
      <c r="H35" s="140">
        <f t="shared" si="0"/>
        <v>0.23870397488303374</v>
      </c>
      <c r="I35" s="140">
        <f t="shared" si="0"/>
        <v>0.29279213102349594</v>
      </c>
      <c r="J35" s="140">
        <f t="shared" si="0"/>
        <v>1.1297886991323491</v>
      </c>
    </row>
    <row r="36" spans="2:10" ht="32.25" customHeight="1" x14ac:dyDescent="0.25">
      <c r="B36" s="251" t="s">
        <v>138</v>
      </c>
      <c r="C36" s="137" t="s">
        <v>0</v>
      </c>
      <c r="D36" s="139">
        <v>16.144213809523805</v>
      </c>
      <c r="E36" s="139">
        <v>10.595108095238093</v>
      </c>
      <c r="F36" s="139">
        <v>7.6067309523809543</v>
      </c>
      <c r="G36" s="139">
        <v>6.1357982142857148</v>
      </c>
      <c r="H36" s="139">
        <v>5.6183440476190487</v>
      </c>
      <c r="I36" s="139">
        <v>5.3484831845238094</v>
      </c>
      <c r="J36" s="136">
        <v>5.0739084821428566</v>
      </c>
    </row>
    <row r="37" spans="2:10" ht="32.25" customHeight="1" thickBot="1" x14ac:dyDescent="0.3">
      <c r="B37" s="252"/>
      <c r="C37" s="138" t="s">
        <v>16</v>
      </c>
      <c r="D37" s="140">
        <f>1.96*SQRT(D15)/(SQRT(50)*SQRT(D$27))</f>
        <v>0.12359037227201795</v>
      </c>
      <c r="E37" s="140">
        <f t="shared" si="0"/>
        <v>0.23087047248275996</v>
      </c>
      <c r="F37" s="140">
        <f t="shared" si="0"/>
        <v>8.4921179027770272E-2</v>
      </c>
      <c r="G37" s="140">
        <f t="shared" si="0"/>
        <v>0.15270351713085498</v>
      </c>
      <c r="H37" s="140">
        <f t="shared" si="0"/>
        <v>6.451948137319985E-2</v>
      </c>
      <c r="I37" s="140">
        <f t="shared" si="0"/>
        <v>7.6581169579734529E-2</v>
      </c>
      <c r="J37" s="140">
        <f t="shared" si="0"/>
        <v>2.7805278619055743E-2</v>
      </c>
    </row>
    <row r="38" spans="2:10" ht="23.25" customHeight="1" x14ac:dyDescent="0.25">
      <c r="B38" s="251" t="s">
        <v>137</v>
      </c>
      <c r="C38" s="137" t="s">
        <v>0</v>
      </c>
      <c r="D38" s="139">
        <v>28.297828571428575</v>
      </c>
      <c r="E38" s="139">
        <v>18.630061904761902</v>
      </c>
      <c r="F38" s="139">
        <v>15.641284523809526</v>
      </c>
      <c r="G38" s="139">
        <v>13.619399404761898</v>
      </c>
      <c r="H38" s="139">
        <v>13.4569369047619</v>
      </c>
      <c r="I38" s="139">
        <v>12.778699404761905</v>
      </c>
      <c r="J38" s="136">
        <v>11.965991815476192</v>
      </c>
    </row>
    <row r="39" spans="2:10" ht="23.25" customHeight="1" thickBot="1" x14ac:dyDescent="0.3">
      <c r="B39" s="252"/>
      <c r="C39" s="138" t="s">
        <v>16</v>
      </c>
      <c r="D39" s="140">
        <f>1.96*SQRT(D17)/(SQRT(50)*SQRT(D$27))</f>
        <v>0.56731991585268071</v>
      </c>
      <c r="E39" s="140">
        <f t="shared" si="0"/>
        <v>1.5592241490803729</v>
      </c>
      <c r="F39" s="140">
        <f t="shared" si="0"/>
        <v>1.2340771460793305</v>
      </c>
      <c r="G39" s="140">
        <f t="shared" si="0"/>
        <v>1.1383445283008364</v>
      </c>
      <c r="H39" s="140">
        <f t="shared" si="0"/>
        <v>6.7604732996729329</v>
      </c>
      <c r="I39" s="140">
        <f t="shared" si="0"/>
        <v>2.4458112406121684</v>
      </c>
      <c r="J39" s="140">
        <f t="shared" si="0"/>
        <v>3.2151776545901787</v>
      </c>
    </row>
    <row r="40" spans="2:10" ht="23.25" customHeight="1" x14ac:dyDescent="0.25">
      <c r="B40" s="251" t="s">
        <v>136</v>
      </c>
      <c r="C40" s="137" t="s">
        <v>0</v>
      </c>
      <c r="D40" s="139">
        <v>26.263261904761904</v>
      </c>
      <c r="E40" s="139">
        <v>18.236271428571431</v>
      </c>
      <c r="F40" s="139">
        <v>14.151738095238093</v>
      </c>
      <c r="G40" s="139">
        <v>12.300307738095238</v>
      </c>
      <c r="H40" s="139">
        <v>11.403068154761904</v>
      </c>
      <c r="I40" s="139">
        <v>10.804997023809527</v>
      </c>
      <c r="J40" s="136">
        <v>10.535008928571424</v>
      </c>
    </row>
    <row r="41" spans="2:10" ht="23.25" customHeight="1" thickBot="1" x14ac:dyDescent="0.3">
      <c r="B41" s="252"/>
      <c r="C41" s="138" t="s">
        <v>16</v>
      </c>
      <c r="D41" s="140">
        <f>1.96*SQRT(D19)/(SQRT(50)*SQRT(D$27))</f>
        <v>0.57120992687452488</v>
      </c>
      <c r="E41" s="140">
        <f t="shared" si="0"/>
        <v>0.20694267828993895</v>
      </c>
      <c r="F41" s="140">
        <f t="shared" si="0"/>
        <v>0.2655058232205087</v>
      </c>
      <c r="G41" s="140">
        <f t="shared" si="0"/>
        <v>9.3653084337606371E-2</v>
      </c>
      <c r="H41" s="140">
        <f t="shared" si="0"/>
        <v>0.13757498994570239</v>
      </c>
      <c r="I41" s="140">
        <f t="shared" si="0"/>
        <v>8.7937393270250963E-2</v>
      </c>
      <c r="J41" s="140">
        <f t="shared" si="0"/>
        <v>3.5351250274919921E-2</v>
      </c>
    </row>
    <row r="42" spans="2:10" ht="15.75" thickBot="1" x14ac:dyDescent="0.3"/>
    <row r="43" spans="2:10" ht="16.5" thickBot="1" x14ac:dyDescent="0.3">
      <c r="B43" s="253" t="s">
        <v>54</v>
      </c>
      <c r="C43" s="254"/>
      <c r="D43" s="145">
        <v>2</v>
      </c>
      <c r="E43" s="145">
        <v>4</v>
      </c>
      <c r="F43" s="145">
        <v>8</v>
      </c>
      <c r="G43" s="145">
        <v>16</v>
      </c>
      <c r="H43" s="145">
        <v>32</v>
      </c>
      <c r="I43" s="145">
        <v>64</v>
      </c>
      <c r="J43" s="145">
        <v>128</v>
      </c>
    </row>
    <row r="44" spans="2:10" ht="16.5" thickBot="1" x14ac:dyDescent="0.3">
      <c r="B44" s="253" t="s">
        <v>55</v>
      </c>
      <c r="C44" s="254"/>
      <c r="D44" s="143">
        <v>42</v>
      </c>
      <c r="E44" s="143">
        <v>84</v>
      </c>
      <c r="F44" s="143">
        <v>168</v>
      </c>
      <c r="G44" s="143">
        <v>336</v>
      </c>
      <c r="H44" s="143">
        <v>672</v>
      </c>
      <c r="I44" s="144">
        <v>1344</v>
      </c>
      <c r="J44" s="141">
        <v>2688</v>
      </c>
    </row>
    <row r="45" spans="2:10" x14ac:dyDescent="0.25">
      <c r="B45" s="251" t="s">
        <v>133</v>
      </c>
      <c r="C45" s="137" t="s">
        <v>0</v>
      </c>
      <c r="D45" s="148">
        <f>D6/$A6</f>
        <v>7.0292829241071447E-4</v>
      </c>
      <c r="E45" s="148">
        <f t="shared" ref="E45:J45" si="1">E6/$A6</f>
        <v>4.5120721726190467E-4</v>
      </c>
      <c r="F45" s="148">
        <f t="shared" si="1"/>
        <v>3.2453920200892856E-4</v>
      </c>
      <c r="G45" s="148">
        <f t="shared" si="1"/>
        <v>2.8439876302083342E-4</v>
      </c>
      <c r="H45" s="148">
        <f t="shared" si="1"/>
        <v>2.8063435872395829E-4</v>
      </c>
      <c r="I45" s="148">
        <f t="shared" si="1"/>
        <v>2.6500584193638402E-4</v>
      </c>
      <c r="J45" s="148">
        <f t="shared" si="1"/>
        <v>2.2262783958798389E-4</v>
      </c>
    </row>
    <row r="46" spans="2:10" ht="15.75" thickBot="1" x14ac:dyDescent="0.3">
      <c r="B46" s="252"/>
      <c r="C46" s="138" t="s">
        <v>16</v>
      </c>
      <c r="D46" s="149">
        <f>1.96*SQRT(D7)/(SQRT(50)*SQRT(D$27)*SQRT($A6))</f>
        <v>3.0246172743180807E-3</v>
      </c>
      <c r="E46" s="149">
        <f t="shared" ref="E46:J46" si="2">1.96*SQRT(E7)/(SQRT(50)*SQRT(E$27)*SQRT($A6))</f>
        <v>3.4311848022874451E-3</v>
      </c>
      <c r="F46" s="149">
        <f t="shared" si="2"/>
        <v>2.2438197275925814E-3</v>
      </c>
      <c r="G46" s="149">
        <f t="shared" si="2"/>
        <v>2.1904570461851746E-4</v>
      </c>
      <c r="H46" s="149">
        <f t="shared" si="2"/>
        <v>2.2261068527641755E-3</v>
      </c>
      <c r="I46" s="149">
        <f t="shared" si="2"/>
        <v>1.4285894042507461E-4</v>
      </c>
      <c r="J46" s="149">
        <f t="shared" si="2"/>
        <v>1.6023294486833346E-3</v>
      </c>
    </row>
    <row r="47" spans="2:10" x14ac:dyDescent="0.25">
      <c r="B47" s="251" t="s">
        <v>134</v>
      </c>
      <c r="C47" s="137" t="s">
        <v>0</v>
      </c>
      <c r="D47" s="148">
        <f>D8/$A8</f>
        <v>1.1055314825148812E-2</v>
      </c>
      <c r="E47" s="148">
        <f t="shared" ref="E47:J47" si="3">E8/$A8</f>
        <v>7.1212644159226205E-3</v>
      </c>
      <c r="F47" s="148">
        <f t="shared" si="3"/>
        <v>4.8353867885044637E-3</v>
      </c>
      <c r="G47" s="148">
        <f t="shared" si="3"/>
        <v>4.1327723911830328E-3</v>
      </c>
      <c r="H47" s="148">
        <f t="shared" si="3"/>
        <v>4.232346017020089E-3</v>
      </c>
      <c r="I47" s="148">
        <f t="shared" si="3"/>
        <v>3.9707669212704615E-3</v>
      </c>
      <c r="J47" s="148">
        <f t="shared" si="3"/>
        <v>3.7987300327845972E-3</v>
      </c>
    </row>
    <row r="48" spans="2:10" ht="15.75" thickBot="1" x14ac:dyDescent="0.3">
      <c r="B48" s="252"/>
      <c r="C48" s="138" t="s">
        <v>16</v>
      </c>
      <c r="D48" s="149">
        <f>1.96*SQRT(D9)/(SQRT(50)*SQRT(D$27)*SQRT($A8))</f>
        <v>1.2386541197127075E-3</v>
      </c>
      <c r="E48" s="149">
        <f t="shared" ref="E48:J48" si="4">1.96*SQRT(E9)/(SQRT(50)*SQRT(E$27)*SQRT($A8))</f>
        <v>5.1337935178046518E-3</v>
      </c>
      <c r="F48" s="149">
        <f t="shared" si="4"/>
        <v>8.0871062505835905E-4</v>
      </c>
      <c r="G48" s="149">
        <f t="shared" si="4"/>
        <v>8.2344085560670098E-4</v>
      </c>
      <c r="H48" s="149">
        <f t="shared" si="4"/>
        <v>4.9931407624819665E-2</v>
      </c>
      <c r="I48" s="149">
        <f t="shared" si="4"/>
        <v>7.269105799051624E-3</v>
      </c>
      <c r="J48" s="149">
        <f t="shared" si="4"/>
        <v>7.5993638783111639E-3</v>
      </c>
    </row>
    <row r="49" spans="2:10" x14ac:dyDescent="0.25">
      <c r="B49" s="251" t="s">
        <v>135</v>
      </c>
      <c r="C49" s="137" t="s">
        <v>0</v>
      </c>
      <c r="D49" s="148">
        <f>D10/$A10</f>
        <v>2.7733040091036413E-3</v>
      </c>
      <c r="E49" s="148">
        <f t="shared" ref="E49:J49" si="5">E10/$A10</f>
        <v>1.7392864255077033E-3</v>
      </c>
      <c r="F49" s="148">
        <f t="shared" si="5"/>
        <v>1.2179787618172271E-3</v>
      </c>
      <c r="G49" s="148">
        <f t="shared" si="5"/>
        <v>9.8175100118172301E-4</v>
      </c>
      <c r="H49" s="148">
        <f t="shared" si="5"/>
        <v>8.9623722535889347E-4</v>
      </c>
      <c r="I49" s="148">
        <f t="shared" si="5"/>
        <v>8.1000036244966767E-4</v>
      </c>
      <c r="J49" s="148">
        <f t="shared" si="5"/>
        <v>7.6139594753917212E-4</v>
      </c>
    </row>
    <row r="50" spans="2:10" ht="15.75" thickBot="1" x14ac:dyDescent="0.3">
      <c r="B50" s="252"/>
      <c r="C50" s="138" t="s">
        <v>16</v>
      </c>
      <c r="D50" s="149">
        <f>1.96*SQRT(D11)/(SQRT(50)*SQRT(D$27)*SQRT($A10))</f>
        <v>5.3015158286896635E-3</v>
      </c>
      <c r="E50" s="149">
        <f t="shared" ref="E50:J50" si="6">1.96*SQRT(E11)/(SQRT(50)*SQRT(E$27)*SQRT($A10))</f>
        <v>6.4664515398139165E-3</v>
      </c>
      <c r="F50" s="149">
        <f t="shared" si="6"/>
        <v>7.8991647846478972E-3</v>
      </c>
      <c r="G50" s="149">
        <f t="shared" si="6"/>
        <v>8.9741466021036106E-3</v>
      </c>
      <c r="H50" s="149">
        <f t="shared" si="6"/>
        <v>6.3164677956092487E-3</v>
      </c>
      <c r="I50" s="149">
        <f t="shared" si="6"/>
        <v>6.8623391385749043E-5</v>
      </c>
      <c r="J50" s="149">
        <f t="shared" si="6"/>
        <v>1.8770211718484311E-3</v>
      </c>
    </row>
    <row r="51" spans="2:10" x14ac:dyDescent="0.25">
      <c r="B51" s="251" t="s">
        <v>139</v>
      </c>
      <c r="C51" s="137" t="s">
        <v>0</v>
      </c>
      <c r="D51" s="148">
        <f>D12/$A12</f>
        <v>4.8944383769132654E-3</v>
      </c>
      <c r="E51" s="148">
        <f t="shared" ref="E51:J51" si="7">E12/$A12</f>
        <v>3.1247897401147965E-3</v>
      </c>
      <c r="F51" s="148">
        <f t="shared" si="7"/>
        <v>2.2046486367984694E-3</v>
      </c>
      <c r="G51" s="148">
        <f t="shared" si="7"/>
        <v>1.8266267737563778E-3</v>
      </c>
      <c r="H51" s="148">
        <f t="shared" si="7"/>
        <v>1.6622500465029763E-3</v>
      </c>
      <c r="I51" s="148">
        <f t="shared" si="7"/>
        <v>1.4850988686490217E-3</v>
      </c>
      <c r="J51" s="148">
        <f t="shared" si="7"/>
        <v>1.4136678475100979E-3</v>
      </c>
    </row>
    <row r="52" spans="2:10" ht="15.75" thickBot="1" x14ac:dyDescent="0.3">
      <c r="B52" s="252"/>
      <c r="C52" s="138" t="s">
        <v>16</v>
      </c>
      <c r="D52" s="149">
        <f>1.96*SQRT(D13)/(SQRT(50)*SQRT(D$27)*SQRT($A12))</f>
        <v>1.733372255533754E-3</v>
      </c>
      <c r="E52" s="149">
        <f t="shared" ref="E52:J52" si="8">1.96*SQRT(E13)/(SQRT(50)*SQRT(E$27)*SQRT($A12))</f>
        <v>2.2285612956312009E-3</v>
      </c>
      <c r="F52" s="149">
        <f t="shared" si="8"/>
        <v>2.8863395486324892E-3</v>
      </c>
      <c r="G52" s="149">
        <f t="shared" si="8"/>
        <v>3.5649058721649095E-3</v>
      </c>
      <c r="H52" s="149">
        <f t="shared" si="8"/>
        <v>3.9872700485419849E-3</v>
      </c>
      <c r="I52" s="149">
        <f t="shared" si="8"/>
        <v>4.8907492849703006E-3</v>
      </c>
      <c r="J52" s="149">
        <f t="shared" si="8"/>
        <v>1.8871795676795877E-2</v>
      </c>
    </row>
    <row r="53" spans="2:10" x14ac:dyDescent="0.25">
      <c r="B53" s="251" t="s">
        <v>138</v>
      </c>
      <c r="C53" s="137" t="s">
        <v>0</v>
      </c>
      <c r="D53" s="148">
        <f>D14/$A14</f>
        <v>4.2042223462301579E-3</v>
      </c>
      <c r="E53" s="148">
        <f t="shared" ref="E53:J53" si="9">E14/$A14</f>
        <v>2.75914273313492E-3</v>
      </c>
      <c r="F53" s="148">
        <f t="shared" si="9"/>
        <v>1.9809195188492069E-3</v>
      </c>
      <c r="G53" s="148">
        <f t="shared" si="9"/>
        <v>1.5978641183035716E-3</v>
      </c>
      <c r="H53" s="148">
        <f t="shared" si="9"/>
        <v>1.4631104290674607E-3</v>
      </c>
      <c r="I53" s="148">
        <f t="shared" si="9"/>
        <v>1.3928341626364088E-3</v>
      </c>
      <c r="J53" s="148">
        <f t="shared" si="9"/>
        <v>1.3213303338913689E-3</v>
      </c>
    </row>
    <row r="54" spans="2:10" ht="15.75" thickBot="1" x14ac:dyDescent="0.3">
      <c r="B54" s="252"/>
      <c r="C54" s="138" t="s">
        <v>16</v>
      </c>
      <c r="D54" s="149">
        <f>1.96*SQRT(D15)/(SQRT(50)*SQRT(D$27)*SQRT($A14))</f>
        <v>1.9944310565045849E-3</v>
      </c>
      <c r="E54" s="149">
        <f t="shared" ref="E54:J54" si="10">1.96*SQRT(E15)/(SQRT(50)*SQRT(E$27)*SQRT($A14))</f>
        <v>3.725656229403196E-3</v>
      </c>
      <c r="F54" s="149">
        <f t="shared" si="10"/>
        <v>1.3704096338118868E-3</v>
      </c>
      <c r="G54" s="149">
        <f t="shared" si="10"/>
        <v>2.4642424114795845E-3</v>
      </c>
      <c r="H54" s="149">
        <f t="shared" si="10"/>
        <v>1.0411786536014278E-3</v>
      </c>
      <c r="I54" s="149">
        <f t="shared" si="10"/>
        <v>1.2358233100641578E-3</v>
      </c>
      <c r="J54" s="149">
        <f t="shared" si="10"/>
        <v>4.4870575428441686E-4</v>
      </c>
    </row>
    <row r="55" spans="2:10" x14ac:dyDescent="0.25">
      <c r="B55" s="251" t="s">
        <v>137</v>
      </c>
      <c r="C55" s="137" t="s">
        <v>0</v>
      </c>
      <c r="D55" s="148">
        <f>D16/$A16</f>
        <v>3.6846130952380957E-2</v>
      </c>
      <c r="E55" s="148">
        <f t="shared" ref="E55:J55" si="11">E16/$A16</f>
        <v>2.4257893105158728E-2</v>
      </c>
      <c r="F55" s="148">
        <f t="shared" si="11"/>
        <v>2.0366255890376987E-2</v>
      </c>
      <c r="G55" s="148">
        <f t="shared" si="11"/>
        <v>1.7733592974950387E-2</v>
      </c>
      <c r="H55" s="148">
        <f t="shared" si="11"/>
        <v>1.7522053261408724E-2</v>
      </c>
      <c r="I55" s="148">
        <f t="shared" si="11"/>
        <v>1.6638931516617064E-2</v>
      </c>
      <c r="J55" s="148">
        <f t="shared" si="11"/>
        <v>1.5580718509734625E-2</v>
      </c>
    </row>
    <row r="56" spans="2:10" ht="15.75" thickBot="1" x14ac:dyDescent="0.3">
      <c r="B56" s="252"/>
      <c r="C56" s="138" t="s">
        <v>16</v>
      </c>
      <c r="D56" s="149">
        <f>1.96*SQRT(D17)/(SQRT(50)*SQRT(D$27)*SQRT($A16))</f>
        <v>2.0471394133386316E-2</v>
      </c>
      <c r="E56" s="149">
        <f t="shared" ref="E56:J56" si="12">1.96*SQRT(E17)/(SQRT(50)*SQRT(E$27)*SQRT($A16))</f>
        <v>5.6263655137407408E-2</v>
      </c>
      <c r="F56" s="149">
        <f t="shared" si="12"/>
        <v>4.4530923280604165E-2</v>
      </c>
      <c r="G56" s="149">
        <f t="shared" si="12"/>
        <v>4.1076469990314099E-2</v>
      </c>
      <c r="H56" s="149">
        <f t="shared" si="12"/>
        <v>0.24394756746346535</v>
      </c>
      <c r="I56" s="149">
        <f t="shared" si="12"/>
        <v>8.8255611134653009E-2</v>
      </c>
      <c r="J56" s="149">
        <f t="shared" si="12"/>
        <v>0.11601773027313184</v>
      </c>
    </row>
    <row r="57" spans="2:10" x14ac:dyDescent="0.25">
      <c r="B57" s="251" t="s">
        <v>136</v>
      </c>
      <c r="C57" s="137" t="s">
        <v>0</v>
      </c>
      <c r="D57" s="148">
        <f>D18/$A18</f>
        <v>3.419695560515873E-2</v>
      </c>
      <c r="E57" s="148">
        <f t="shared" ref="E57:J57" si="13">E18/$A18</f>
        <v>2.3745145089285716E-2</v>
      </c>
      <c r="F57" s="148">
        <f t="shared" si="13"/>
        <v>1.8426742311507933E-2</v>
      </c>
      <c r="G57" s="148">
        <f t="shared" si="13"/>
        <v>1.601602570064484E-2</v>
      </c>
      <c r="H57" s="148">
        <f t="shared" si="13"/>
        <v>1.4847744993179562E-2</v>
      </c>
      <c r="I57" s="148">
        <f t="shared" si="13"/>
        <v>1.4069006541418655E-2</v>
      </c>
      <c r="J57" s="148">
        <f t="shared" si="13"/>
        <v>1.3717459542410708E-2</v>
      </c>
    </row>
    <row r="58" spans="2:10" ht="15.75" thickBot="1" x14ac:dyDescent="0.3">
      <c r="B58" s="252"/>
      <c r="C58" s="138" t="s">
        <v>16</v>
      </c>
      <c r="D58" s="149">
        <f>1.96*SQRT(D19)/(SQRT(50)*SQRT(D$27)*SQRT($A18))</f>
        <v>2.0611762815299587E-2</v>
      </c>
      <c r="E58" s="149">
        <f t="shared" ref="E58:J58" si="14">1.96*SQRT(E19)/(SQRT(50)*SQRT(E$27)*SQRT($A18))</f>
        <v>7.4674006885948989E-3</v>
      </c>
      <c r="F58" s="149">
        <f t="shared" si="14"/>
        <v>9.5806161567358692E-3</v>
      </c>
      <c r="G58" s="149">
        <f t="shared" si="14"/>
        <v>3.3794145907972356E-3</v>
      </c>
      <c r="H58" s="149">
        <f t="shared" si="14"/>
        <v>4.9643098424319593E-3</v>
      </c>
      <c r="I58" s="149">
        <f t="shared" si="14"/>
        <v>3.1731673547758365E-3</v>
      </c>
      <c r="J58" s="149">
        <f t="shared" si="14"/>
        <v>1.275628366400928E-3</v>
      </c>
    </row>
  </sheetData>
  <mergeCells count="34">
    <mergeCell ref="B34:B35"/>
    <mergeCell ref="B36:B37"/>
    <mergeCell ref="B38:B39"/>
    <mergeCell ref="B40:B41"/>
    <mergeCell ref="B28:B29"/>
    <mergeCell ref="B30:B31"/>
    <mergeCell ref="B32:B33"/>
    <mergeCell ref="G4:G5"/>
    <mergeCell ref="H4:H5"/>
    <mergeCell ref="I4:I5"/>
    <mergeCell ref="J4:J5"/>
    <mergeCell ref="B26:C26"/>
    <mergeCell ref="E4:E5"/>
    <mergeCell ref="F4:F5"/>
    <mergeCell ref="B27:C27"/>
    <mergeCell ref="B14:B15"/>
    <mergeCell ref="B16:B17"/>
    <mergeCell ref="B18:B19"/>
    <mergeCell ref="D4:D5"/>
    <mergeCell ref="B12:B13"/>
    <mergeCell ref="B3:C3"/>
    <mergeCell ref="B4:C4"/>
    <mergeCell ref="B6:B7"/>
    <mergeCell ref="B8:B9"/>
    <mergeCell ref="B10:B11"/>
    <mergeCell ref="B51:B52"/>
    <mergeCell ref="B53:B54"/>
    <mergeCell ref="B55:B56"/>
    <mergeCell ref="B57:B58"/>
    <mergeCell ref="B43:C43"/>
    <mergeCell ref="B44:C44"/>
    <mergeCell ref="B45:B46"/>
    <mergeCell ref="B47:B48"/>
    <mergeCell ref="B49:B50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zoomScale="55" zoomScaleNormal="55" workbookViewId="0">
      <selection activeCell="AF22" sqref="AF22"/>
    </sheetView>
  </sheetViews>
  <sheetFormatPr defaultRowHeight="15" x14ac:dyDescent="0.25"/>
  <sheetData>
    <row r="1" spans="1:18" ht="15.75" thickBot="1" x14ac:dyDescent="0.3"/>
    <row r="2" spans="1:18" ht="16.5" thickBot="1" x14ac:dyDescent="0.3">
      <c r="A2" s="273" t="s">
        <v>150</v>
      </c>
      <c r="B2" s="274"/>
      <c r="C2" s="175">
        <v>2</v>
      </c>
      <c r="D2" s="176">
        <v>4</v>
      </c>
      <c r="E2" s="176">
        <v>8</v>
      </c>
      <c r="F2" s="176">
        <v>16</v>
      </c>
      <c r="G2" s="176">
        <v>32</v>
      </c>
      <c r="H2" s="176">
        <v>64</v>
      </c>
      <c r="I2" s="176">
        <v>128</v>
      </c>
      <c r="J2" s="176">
        <v>256</v>
      </c>
      <c r="K2" s="181">
        <v>512</v>
      </c>
      <c r="L2" s="182">
        <v>1024</v>
      </c>
      <c r="M2" s="182">
        <v>2048</v>
      </c>
      <c r="N2" s="182">
        <v>4096</v>
      </c>
      <c r="O2" s="182">
        <v>8192</v>
      </c>
      <c r="P2" s="182">
        <v>16384</v>
      </c>
      <c r="Q2" s="182">
        <v>32768</v>
      </c>
      <c r="R2" s="182">
        <v>65536</v>
      </c>
    </row>
    <row r="3" spans="1:18" ht="16.5" thickBot="1" x14ac:dyDescent="0.3">
      <c r="A3" s="273" t="s">
        <v>151</v>
      </c>
      <c r="B3" s="274"/>
      <c r="C3" s="177">
        <v>42</v>
      </c>
      <c r="D3" s="178">
        <v>84</v>
      </c>
      <c r="E3" s="178">
        <v>168</v>
      </c>
      <c r="F3" s="178">
        <v>336</v>
      </c>
      <c r="G3" s="178">
        <v>672</v>
      </c>
      <c r="H3" s="179">
        <v>1344</v>
      </c>
      <c r="I3" s="179">
        <v>2688</v>
      </c>
      <c r="J3" s="179">
        <v>5376</v>
      </c>
      <c r="K3" s="179">
        <v>10752</v>
      </c>
      <c r="L3" s="179">
        <v>21504</v>
      </c>
      <c r="M3" s="179">
        <v>43008</v>
      </c>
      <c r="N3" s="179">
        <v>86016</v>
      </c>
      <c r="O3" s="183">
        <v>172032</v>
      </c>
      <c r="P3" s="183">
        <v>344064</v>
      </c>
      <c r="Q3" s="183">
        <v>688128</v>
      </c>
      <c r="R3" s="184">
        <v>1376256</v>
      </c>
    </row>
    <row r="4" spans="1:18" ht="62.25" customHeight="1" x14ac:dyDescent="0.25">
      <c r="A4" s="251" t="s">
        <v>152</v>
      </c>
      <c r="B4" s="173" t="s">
        <v>153</v>
      </c>
      <c r="C4" s="173">
        <v>3.34</v>
      </c>
      <c r="D4" s="173">
        <v>2.12</v>
      </c>
      <c r="E4" s="173">
        <v>1.51</v>
      </c>
      <c r="F4" s="173">
        <v>1.3</v>
      </c>
      <c r="G4" s="173">
        <v>1.34</v>
      </c>
      <c r="H4" s="173">
        <v>1.24</v>
      </c>
      <c r="I4" s="251"/>
      <c r="J4" s="264"/>
      <c r="K4" s="251"/>
      <c r="L4" s="263"/>
      <c r="M4" s="263"/>
      <c r="N4" s="263"/>
      <c r="O4" s="263"/>
      <c r="P4" s="263"/>
      <c r="Q4" s="263"/>
      <c r="R4" s="264"/>
    </row>
    <row r="5" spans="1:18" ht="16.5" thickBot="1" x14ac:dyDescent="0.3">
      <c r="A5" s="262"/>
      <c r="B5" s="174" t="s">
        <v>154</v>
      </c>
      <c r="C5" s="174">
        <v>0.11</v>
      </c>
      <c r="D5" s="174">
        <v>0.04</v>
      </c>
      <c r="E5" s="174">
        <v>0.05</v>
      </c>
      <c r="F5" s="174">
        <v>0</v>
      </c>
      <c r="G5" s="174">
        <v>0.03</v>
      </c>
      <c r="H5" s="174">
        <v>0.11</v>
      </c>
      <c r="I5" s="252"/>
      <c r="J5" s="266"/>
      <c r="K5" s="252"/>
      <c r="L5" s="265"/>
      <c r="M5" s="265"/>
      <c r="N5" s="265"/>
      <c r="O5" s="265"/>
      <c r="P5" s="265"/>
      <c r="Q5" s="265"/>
      <c r="R5" s="266"/>
    </row>
    <row r="6" spans="1:18" ht="46.5" customHeight="1" x14ac:dyDescent="0.25">
      <c r="A6" s="261" t="s">
        <v>155</v>
      </c>
      <c r="B6" s="180" t="s">
        <v>153</v>
      </c>
      <c r="C6" s="180">
        <v>3.6</v>
      </c>
      <c r="D6" s="180">
        <v>2.31</v>
      </c>
      <c r="E6" s="180">
        <v>1.66</v>
      </c>
      <c r="F6" s="180">
        <v>1.46</v>
      </c>
      <c r="G6" s="180">
        <v>1.44</v>
      </c>
      <c r="H6" s="180">
        <v>1.36</v>
      </c>
      <c r="I6" s="180">
        <v>1.1399999999999999</v>
      </c>
      <c r="J6" s="180">
        <v>1.0900000000000001</v>
      </c>
      <c r="K6" s="180">
        <v>1.03</v>
      </c>
      <c r="L6" s="267"/>
      <c r="M6" s="268"/>
      <c r="N6" s="268"/>
      <c r="O6" s="268"/>
      <c r="P6" s="268"/>
      <c r="Q6" s="268"/>
      <c r="R6" s="269"/>
    </row>
    <row r="7" spans="1:18" ht="16.5" thickBot="1" x14ac:dyDescent="0.3">
      <c r="A7" s="262"/>
      <c r="B7" s="174" t="s">
        <v>154</v>
      </c>
      <c r="C7" s="174">
        <v>0.17</v>
      </c>
      <c r="D7" s="174">
        <v>0.2</v>
      </c>
      <c r="E7" s="174">
        <v>0.18</v>
      </c>
      <c r="F7" s="174">
        <v>0.04</v>
      </c>
      <c r="G7" s="174">
        <v>0.17</v>
      </c>
      <c r="H7" s="174">
        <v>0.1</v>
      </c>
      <c r="I7" s="174">
        <v>0.14000000000000001</v>
      </c>
      <c r="J7" s="174">
        <v>0.02</v>
      </c>
      <c r="K7" s="174">
        <v>0.09</v>
      </c>
      <c r="L7" s="270"/>
      <c r="M7" s="271"/>
      <c r="N7" s="271"/>
      <c r="O7" s="271"/>
      <c r="P7" s="271"/>
      <c r="Q7" s="271"/>
      <c r="R7" s="272"/>
    </row>
    <row r="8" spans="1:18" ht="62.25" customHeight="1" x14ac:dyDescent="0.25">
      <c r="A8" s="261" t="s">
        <v>156</v>
      </c>
      <c r="B8" s="180" t="s">
        <v>153</v>
      </c>
      <c r="C8" s="180">
        <v>3.72</v>
      </c>
      <c r="D8" s="180">
        <v>2.52</v>
      </c>
      <c r="E8" s="180">
        <v>1.91</v>
      </c>
      <c r="F8" s="180">
        <v>1.75</v>
      </c>
      <c r="G8" s="180">
        <v>1.69</v>
      </c>
      <c r="H8" s="180">
        <v>1.55</v>
      </c>
      <c r="I8" s="180">
        <v>1.47</v>
      </c>
      <c r="J8" s="180">
        <v>1.44</v>
      </c>
      <c r="K8" s="180">
        <v>1.42</v>
      </c>
      <c r="L8" s="180">
        <v>1.42</v>
      </c>
      <c r="M8" s="180">
        <v>1.42</v>
      </c>
      <c r="N8" s="180">
        <v>1.44</v>
      </c>
      <c r="O8" s="180">
        <v>1.43</v>
      </c>
      <c r="P8" s="180">
        <v>1.51</v>
      </c>
      <c r="Q8" s="180">
        <v>1.43</v>
      </c>
      <c r="R8" s="180">
        <v>1.59</v>
      </c>
    </row>
    <row r="9" spans="1:18" ht="16.5" thickBot="1" x14ac:dyDescent="0.3">
      <c r="A9" s="262"/>
      <c r="B9" s="174" t="s">
        <v>154</v>
      </c>
      <c r="C9" s="174">
        <v>0.08</v>
      </c>
      <c r="D9" s="174">
        <v>0.02</v>
      </c>
      <c r="E9" s="174">
        <v>0.01</v>
      </c>
      <c r="F9" s="174">
        <v>0.02</v>
      </c>
      <c r="G9" s="174">
        <v>0.05</v>
      </c>
      <c r="H9" s="174">
        <v>0.01</v>
      </c>
      <c r="I9" s="174">
        <v>0.01</v>
      </c>
      <c r="J9" s="174">
        <v>0.11</v>
      </c>
      <c r="K9" s="174">
        <v>0.03</v>
      </c>
      <c r="L9" s="174">
        <v>0.16</v>
      </c>
      <c r="M9" s="174">
        <v>0.16</v>
      </c>
      <c r="N9" s="174">
        <v>0.1</v>
      </c>
      <c r="O9" s="174">
        <v>0.03</v>
      </c>
      <c r="P9" s="174">
        <v>0.19</v>
      </c>
      <c r="Q9" s="174">
        <v>7.0000000000000007E-2</v>
      </c>
      <c r="R9" s="174">
        <v>0.21</v>
      </c>
    </row>
    <row r="11" spans="1:18" x14ac:dyDescent="0.25">
      <c r="C11">
        <f>C4+C5</f>
        <v>3.4499999999999997</v>
      </c>
      <c r="D11">
        <f t="shared" ref="D11:H11" si="0">D4+D5</f>
        <v>2.16</v>
      </c>
      <c r="E11">
        <f t="shared" si="0"/>
        <v>1.56</v>
      </c>
      <c r="F11">
        <f t="shared" si="0"/>
        <v>1.3</v>
      </c>
      <c r="G11">
        <f t="shared" si="0"/>
        <v>1.37</v>
      </c>
      <c r="H11">
        <f t="shared" si="0"/>
        <v>1.35</v>
      </c>
    </row>
    <row r="12" spans="1:18" x14ac:dyDescent="0.25">
      <c r="C12">
        <f>C4</f>
        <v>3.34</v>
      </c>
      <c r="D12">
        <f t="shared" ref="D12:H12" si="1">D4</f>
        <v>2.12</v>
      </c>
      <c r="E12">
        <f t="shared" si="1"/>
        <v>1.51</v>
      </c>
      <c r="F12">
        <f t="shared" si="1"/>
        <v>1.3</v>
      </c>
      <c r="G12">
        <f t="shared" si="1"/>
        <v>1.34</v>
      </c>
      <c r="H12">
        <f t="shared" si="1"/>
        <v>1.24</v>
      </c>
    </row>
    <row r="13" spans="1:18" x14ac:dyDescent="0.25">
      <c r="C13">
        <f>C4-C5</f>
        <v>3.23</v>
      </c>
      <c r="D13">
        <f t="shared" ref="D13:H13" si="2">D4-D5</f>
        <v>2.08</v>
      </c>
      <c r="E13">
        <f t="shared" si="2"/>
        <v>1.46</v>
      </c>
      <c r="F13">
        <f t="shared" si="2"/>
        <v>1.3</v>
      </c>
      <c r="G13">
        <f t="shared" si="2"/>
        <v>1.31</v>
      </c>
      <c r="H13">
        <f t="shared" si="2"/>
        <v>1.1299999999999999</v>
      </c>
    </row>
    <row r="15" spans="1:18" x14ac:dyDescent="0.25">
      <c r="C15">
        <f>C6+C7</f>
        <v>3.77</v>
      </c>
      <c r="D15">
        <f t="shared" ref="D15:K15" si="3">D6+D7</f>
        <v>2.5100000000000002</v>
      </c>
      <c r="E15">
        <f t="shared" si="3"/>
        <v>1.8399999999999999</v>
      </c>
      <c r="F15">
        <f t="shared" si="3"/>
        <v>1.5</v>
      </c>
      <c r="G15">
        <f t="shared" si="3"/>
        <v>1.6099999999999999</v>
      </c>
      <c r="H15">
        <f t="shared" si="3"/>
        <v>1.4600000000000002</v>
      </c>
      <c r="I15">
        <f t="shared" si="3"/>
        <v>1.2799999999999998</v>
      </c>
      <c r="J15">
        <f t="shared" si="3"/>
        <v>1.1100000000000001</v>
      </c>
      <c r="K15">
        <f t="shared" si="3"/>
        <v>1.1200000000000001</v>
      </c>
    </row>
    <row r="16" spans="1:18" x14ac:dyDescent="0.25">
      <c r="C16">
        <f>C6</f>
        <v>3.6</v>
      </c>
      <c r="D16">
        <f t="shared" ref="D16:K16" si="4">D6</f>
        <v>2.31</v>
      </c>
      <c r="E16">
        <f t="shared" si="4"/>
        <v>1.66</v>
      </c>
      <c r="F16">
        <f t="shared" si="4"/>
        <v>1.46</v>
      </c>
      <c r="G16">
        <f t="shared" si="4"/>
        <v>1.44</v>
      </c>
      <c r="H16">
        <f t="shared" si="4"/>
        <v>1.36</v>
      </c>
      <c r="I16">
        <f t="shared" si="4"/>
        <v>1.1399999999999999</v>
      </c>
      <c r="J16">
        <f t="shared" si="4"/>
        <v>1.0900000000000001</v>
      </c>
      <c r="K16">
        <f t="shared" si="4"/>
        <v>1.03</v>
      </c>
    </row>
    <row r="17" spans="3:18" x14ac:dyDescent="0.25">
      <c r="C17">
        <f>C6-C7</f>
        <v>3.43</v>
      </c>
      <c r="D17">
        <f t="shared" ref="D17:K17" si="5">D6-D7</f>
        <v>2.11</v>
      </c>
      <c r="E17">
        <f t="shared" si="5"/>
        <v>1.48</v>
      </c>
      <c r="F17">
        <f t="shared" si="5"/>
        <v>1.42</v>
      </c>
      <c r="G17">
        <f t="shared" si="5"/>
        <v>1.27</v>
      </c>
      <c r="H17">
        <f t="shared" si="5"/>
        <v>1.26</v>
      </c>
      <c r="I17">
        <f t="shared" si="5"/>
        <v>0.99999999999999989</v>
      </c>
      <c r="J17">
        <f t="shared" si="5"/>
        <v>1.07</v>
      </c>
      <c r="K17">
        <f t="shared" si="5"/>
        <v>0.94000000000000006</v>
      </c>
    </row>
    <row r="19" spans="3:18" x14ac:dyDescent="0.25">
      <c r="C19">
        <f>C8+C9</f>
        <v>3.8000000000000003</v>
      </c>
      <c r="D19">
        <f t="shared" ref="D19:R19" si="6">D8+D9</f>
        <v>2.54</v>
      </c>
      <c r="E19">
        <f t="shared" si="6"/>
        <v>1.92</v>
      </c>
      <c r="F19">
        <f t="shared" si="6"/>
        <v>1.77</v>
      </c>
      <c r="G19">
        <f t="shared" si="6"/>
        <v>1.74</v>
      </c>
      <c r="H19">
        <f t="shared" si="6"/>
        <v>1.56</v>
      </c>
      <c r="I19">
        <f t="shared" si="6"/>
        <v>1.48</v>
      </c>
      <c r="J19">
        <f t="shared" si="6"/>
        <v>1.55</v>
      </c>
      <c r="K19">
        <f t="shared" si="6"/>
        <v>1.45</v>
      </c>
      <c r="L19">
        <f t="shared" si="6"/>
        <v>1.5799999999999998</v>
      </c>
      <c r="M19">
        <f t="shared" si="6"/>
        <v>1.5799999999999998</v>
      </c>
      <c r="N19">
        <f t="shared" si="6"/>
        <v>1.54</v>
      </c>
      <c r="O19">
        <f t="shared" si="6"/>
        <v>1.46</v>
      </c>
      <c r="P19">
        <f t="shared" si="6"/>
        <v>1.7</v>
      </c>
      <c r="Q19">
        <f t="shared" si="6"/>
        <v>1.5</v>
      </c>
      <c r="R19">
        <f t="shared" si="6"/>
        <v>1.8</v>
      </c>
    </row>
    <row r="20" spans="3:18" x14ac:dyDescent="0.25">
      <c r="C20">
        <f>C8</f>
        <v>3.72</v>
      </c>
      <c r="D20">
        <f t="shared" ref="D20:R20" si="7">D8</f>
        <v>2.52</v>
      </c>
      <c r="E20">
        <f t="shared" si="7"/>
        <v>1.91</v>
      </c>
      <c r="F20">
        <f t="shared" si="7"/>
        <v>1.75</v>
      </c>
      <c r="G20">
        <f t="shared" si="7"/>
        <v>1.69</v>
      </c>
      <c r="H20">
        <f t="shared" si="7"/>
        <v>1.55</v>
      </c>
      <c r="I20">
        <f t="shared" si="7"/>
        <v>1.47</v>
      </c>
      <c r="J20">
        <f t="shared" si="7"/>
        <v>1.44</v>
      </c>
      <c r="K20">
        <f t="shared" si="7"/>
        <v>1.42</v>
      </c>
      <c r="L20">
        <f t="shared" si="7"/>
        <v>1.42</v>
      </c>
      <c r="M20">
        <f t="shared" si="7"/>
        <v>1.42</v>
      </c>
      <c r="N20">
        <f t="shared" si="7"/>
        <v>1.44</v>
      </c>
      <c r="O20">
        <f t="shared" si="7"/>
        <v>1.43</v>
      </c>
      <c r="P20">
        <f t="shared" si="7"/>
        <v>1.51</v>
      </c>
      <c r="Q20">
        <f t="shared" si="7"/>
        <v>1.43</v>
      </c>
      <c r="R20">
        <f t="shared" si="7"/>
        <v>1.59</v>
      </c>
    </row>
    <row r="21" spans="3:18" x14ac:dyDescent="0.25">
      <c r="C21">
        <f>C8-C9</f>
        <v>3.64</v>
      </c>
      <c r="D21">
        <f t="shared" ref="D21:R21" si="8">D8-D9</f>
        <v>2.5</v>
      </c>
      <c r="E21">
        <f t="shared" si="8"/>
        <v>1.9</v>
      </c>
      <c r="F21">
        <f t="shared" si="8"/>
        <v>1.73</v>
      </c>
      <c r="G21">
        <f t="shared" si="8"/>
        <v>1.64</v>
      </c>
      <c r="H21">
        <f t="shared" si="8"/>
        <v>1.54</v>
      </c>
      <c r="I21">
        <f t="shared" si="8"/>
        <v>1.46</v>
      </c>
      <c r="J21">
        <f t="shared" si="8"/>
        <v>1.3299999999999998</v>
      </c>
      <c r="K21">
        <f t="shared" si="8"/>
        <v>1.39</v>
      </c>
      <c r="L21">
        <f t="shared" si="8"/>
        <v>1.26</v>
      </c>
      <c r="M21">
        <f t="shared" si="8"/>
        <v>1.26</v>
      </c>
      <c r="N21">
        <f t="shared" si="8"/>
        <v>1.3399999999999999</v>
      </c>
      <c r="O21">
        <f t="shared" si="8"/>
        <v>1.4</v>
      </c>
      <c r="P21">
        <f t="shared" si="8"/>
        <v>1.32</v>
      </c>
      <c r="Q21">
        <f t="shared" si="8"/>
        <v>1.3599999999999999</v>
      </c>
      <c r="R21">
        <f t="shared" si="8"/>
        <v>1.3800000000000001</v>
      </c>
    </row>
  </sheetData>
  <mergeCells count="8">
    <mergeCell ref="A8:A9"/>
    <mergeCell ref="K4:R5"/>
    <mergeCell ref="L6:R7"/>
    <mergeCell ref="A2:B2"/>
    <mergeCell ref="A3:B3"/>
    <mergeCell ref="A4:A5"/>
    <mergeCell ref="I4:J5"/>
    <mergeCell ref="A6:A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Itog</vt:lpstr>
      <vt:lpstr>Лист6</vt:lpstr>
      <vt:lpstr>1050LAPTOP</vt:lpstr>
      <vt:lpstr>1050COMP</vt:lpstr>
      <vt:lpstr>3060COMP Kaf</vt:lpstr>
      <vt:lpstr>3060LAPTOP</vt:lpstr>
      <vt:lpstr>Лист8</vt:lpstr>
      <vt:lpstr>3060LAPTOP_100</vt:lpstr>
      <vt:lpstr>4060COMP</vt:lpstr>
      <vt:lpstr>JETSON</vt:lpstr>
      <vt:lpstr>ANT</vt:lpstr>
      <vt:lpstr>REA</vt:lpstr>
      <vt:lpstr>Лист8 (2)</vt:lpstr>
      <vt:lpstr>Лист10</vt:lpstr>
      <vt:lpstr>REA ANT</vt:lpstr>
      <vt:lpstr>ANT+T</vt:lpstr>
      <vt:lpstr>Лист11</vt:lpstr>
      <vt:lpstr>Лист9</vt:lpstr>
      <vt:lpstr>REA размерность</vt:lpstr>
      <vt:lpstr>Лист2</vt:lpstr>
      <vt:lpstr>Лист4</vt:lpstr>
      <vt:lpstr>Лист5</vt:lpstr>
      <vt:lpstr>Лист1</vt:lpstr>
      <vt:lpstr>Лист3</vt:lpstr>
      <vt:lpstr>Лист7</vt:lpstr>
      <vt:lpstr>Лист12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2025-11-10T09:51:05Z</dcterms:modified>
</cp:coreProperties>
</file>