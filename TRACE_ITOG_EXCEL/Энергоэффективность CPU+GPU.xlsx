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s\ACO_Cluster\CUDA_test_c++\TRACE_ITOG_EXCEL\"/>
    </mc:Choice>
  </mc:AlternateContent>
  <bookViews>
    <workbookView xWindow="0" yWindow="0" windowWidth="19140" windowHeight="102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1" l="1"/>
  <c r="K15" i="1"/>
  <c r="J14" i="1"/>
  <c r="I14" i="1"/>
  <c r="J13" i="1"/>
  <c r="I13" i="1"/>
  <c r="H13" i="1"/>
  <c r="G13" i="1"/>
  <c r="L12" i="1"/>
  <c r="K12" i="1"/>
  <c r="J12" i="1"/>
  <c r="I12" i="1"/>
  <c r="H12" i="1"/>
  <c r="G12" i="1"/>
  <c r="F12" i="1"/>
  <c r="E12" i="1"/>
  <c r="J11" i="1"/>
  <c r="I11" i="1"/>
  <c r="H11" i="1"/>
  <c r="G11" i="1"/>
  <c r="F11" i="1"/>
  <c r="F13" i="1" s="1"/>
  <c r="E11" i="1"/>
  <c r="E13" i="1" s="1"/>
  <c r="D11" i="1"/>
  <c r="D13" i="1" s="1"/>
  <c r="M10" i="1"/>
  <c r="M12" i="1" s="1"/>
  <c r="L10" i="1"/>
  <c r="K10" i="1"/>
  <c r="J10" i="1"/>
  <c r="J15" i="1" s="1"/>
  <c r="J16" i="1" s="1"/>
  <c r="I10" i="1"/>
  <c r="I15" i="1" s="1"/>
  <c r="I16" i="1" s="1"/>
  <c r="H10" i="1"/>
  <c r="H15" i="1" s="1"/>
  <c r="H16" i="1" s="1"/>
  <c r="G10" i="1"/>
  <c r="G15" i="1" s="1"/>
  <c r="G16" i="1" s="1"/>
  <c r="F10" i="1"/>
  <c r="F15" i="1" s="1"/>
  <c r="F16" i="1" s="1"/>
  <c r="E10" i="1"/>
  <c r="E15" i="1" s="1"/>
  <c r="E16" i="1" s="1"/>
  <c r="D10" i="1"/>
  <c r="D12" i="1" s="1"/>
  <c r="M9" i="1"/>
  <c r="M11" i="1" s="1"/>
  <c r="L9" i="1"/>
  <c r="L11" i="1" s="1"/>
  <c r="L13" i="1" s="1"/>
  <c r="K9" i="1"/>
  <c r="K11" i="1" s="1"/>
  <c r="K13" i="1" s="1"/>
  <c r="J9" i="1"/>
  <c r="I9" i="1"/>
  <c r="H9" i="1"/>
  <c r="H14" i="1" s="1"/>
  <c r="G9" i="1"/>
  <c r="G14" i="1" s="1"/>
  <c r="F9" i="1"/>
  <c r="F14" i="1" s="1"/>
  <c r="E9" i="1"/>
  <c r="E14" i="1" s="1"/>
  <c r="D9" i="1"/>
  <c r="D14" i="1" s="1"/>
  <c r="M8" i="1"/>
  <c r="L8" i="1"/>
  <c r="K8" i="1"/>
  <c r="J8" i="1"/>
  <c r="I8" i="1"/>
  <c r="H8" i="1"/>
  <c r="G8" i="1"/>
  <c r="F8" i="1"/>
  <c r="E8" i="1"/>
  <c r="D8" i="1"/>
  <c r="D27" i="1"/>
  <c r="D28" i="1" s="1"/>
  <c r="D26" i="1"/>
  <c r="D21" i="1"/>
  <c r="D24" i="1"/>
  <c r="D23" i="1"/>
  <c r="D25" i="1" s="1"/>
  <c r="L16" i="1" l="1"/>
  <c r="M13" i="1"/>
  <c r="K14" i="1"/>
  <c r="K16" i="1" s="1"/>
  <c r="M15" i="1"/>
  <c r="L14" i="1"/>
  <c r="M14" i="1"/>
  <c r="D15" i="1"/>
  <c r="D16" i="1" s="1"/>
  <c r="D22" i="1"/>
  <c r="E22" i="1"/>
  <c r="F22" i="1"/>
  <c r="G22" i="1"/>
  <c r="H22" i="1"/>
  <c r="I22" i="1"/>
  <c r="J22" i="1"/>
  <c r="K22" i="1"/>
  <c r="L22" i="1"/>
  <c r="M22" i="1"/>
  <c r="E21" i="1"/>
  <c r="F21" i="1"/>
  <c r="G21" i="1"/>
  <c r="H21" i="1"/>
  <c r="I21" i="1"/>
  <c r="J21" i="1"/>
  <c r="K21" i="1"/>
  <c r="L21" i="1"/>
  <c r="M21" i="1"/>
  <c r="E20" i="1"/>
  <c r="F20" i="1"/>
  <c r="G20" i="1"/>
  <c r="H20" i="1"/>
  <c r="I20" i="1"/>
  <c r="J20" i="1"/>
  <c r="K20" i="1"/>
  <c r="L20" i="1"/>
  <c r="M20" i="1"/>
  <c r="D20" i="1"/>
  <c r="M16" i="1" l="1"/>
  <c r="G23" i="1"/>
  <c r="G26" i="1"/>
  <c r="F23" i="1"/>
  <c r="F26" i="1"/>
  <c r="E23" i="1"/>
  <c r="E26" i="1"/>
  <c r="M24" i="1"/>
  <c r="M27" i="1"/>
  <c r="L24" i="1"/>
  <c r="L27" i="1"/>
  <c r="L28" i="1" s="1"/>
  <c r="K24" i="1"/>
  <c r="K27" i="1"/>
  <c r="M26" i="1"/>
  <c r="M23" i="1"/>
  <c r="J27" i="1"/>
  <c r="J24" i="1"/>
  <c r="L26" i="1"/>
  <c r="L23" i="1"/>
  <c r="I27" i="1"/>
  <c r="I28" i="1" s="1"/>
  <c r="I24" i="1"/>
  <c r="K26" i="1"/>
  <c r="K23" i="1"/>
  <c r="H27" i="1"/>
  <c r="H24" i="1"/>
  <c r="J26" i="1"/>
  <c r="J23" i="1"/>
  <c r="G27" i="1"/>
  <c r="G28" i="1" s="1"/>
  <c r="G24" i="1"/>
  <c r="I26" i="1"/>
  <c r="I23" i="1"/>
  <c r="F27" i="1"/>
  <c r="F28" i="1" s="1"/>
  <c r="F24" i="1"/>
  <c r="H23" i="1"/>
  <c r="H26" i="1"/>
  <c r="E24" i="1"/>
  <c r="E27" i="1"/>
  <c r="E5" i="1"/>
  <c r="F5" i="1" s="1"/>
  <c r="G5" i="1" s="1"/>
  <c r="H5" i="1" s="1"/>
  <c r="I5" i="1" s="1"/>
  <c r="J5" i="1" s="1"/>
  <c r="K5" i="1" s="1"/>
  <c r="L5" i="1" s="1"/>
  <c r="M5" i="1" s="1"/>
  <c r="E28" i="1" l="1"/>
  <c r="K28" i="1"/>
  <c r="H28" i="1"/>
  <c r="G25" i="1"/>
  <c r="K25" i="1"/>
  <c r="H25" i="1"/>
  <c r="M28" i="1"/>
  <c r="I25" i="1"/>
  <c r="L25" i="1"/>
  <c r="E25" i="1"/>
  <c r="J28" i="1"/>
  <c r="F25" i="1"/>
  <c r="J25" i="1"/>
  <c r="M25" i="1"/>
</calcChain>
</file>

<file path=xl/sharedStrings.xml><?xml version="1.0" encoding="utf-8"?>
<sst xmlns="http://schemas.openxmlformats.org/spreadsheetml/2006/main" count="25" uniqueCount="15">
  <si>
    <t>OpenMP+AVX2</t>
  </si>
  <si>
    <t>Intel Core i5-12450H 2.00 GHz (16Gb ОЗУ) +
NVIDIA GeForce RTX 3060 Laptop GPU</t>
  </si>
  <si>
    <t>CUDA</t>
  </si>
  <si>
    <t>OpenMP</t>
  </si>
  <si>
    <t>REA</t>
  </si>
  <si>
    <t>Xeon 6130 = 105 Вт, Tesla V100 = 265 Вт, i5-12450H = 38 Вт, RTX 3060 Laptop = 80 Вт.</t>
  </si>
  <si>
    <t>Ускорение (T_cpu/T_gpu)</t>
  </si>
  <si>
    <t>E_cpu, Дж</t>
  </si>
  <si>
    <t>E_gpu, Дж</t>
  </si>
  <si>
    <t>η_cpu, реш/Дж</t>
  </si>
  <si>
    <t>η_gpu, реш/Дж</t>
  </si>
  <si>
    <t>η_gpu/η_cpu, %</t>
  </si>
  <si>
    <t>EDP_cpu, Дж·с</t>
  </si>
  <si>
    <t>EDP_gpu, Дж·с</t>
  </si>
  <si>
    <t>EDP_cpu/EDP_gpu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</si>
</sst>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"/>
  </numFmts>
  <fonts count="2" x14ac:knownFonts="1">
    <font>
      <sz val="11"/>
      <color theme="1"/>
      <name val="Calibri"/>
      <family val="2"/>
      <charset val="204"/>
      <scheme val="minor"/>
    </font>
    <font>
      <sz val="12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2" fontId="0" fillId="0" borderId="0" xfId="0" applyNumberFormat="1"/>
    <xf numFmtId="0" fontId="0" fillId="0" borderId="0" xfId="0" applyAlignment="1"/>
    <xf numFmtId="0" fontId="0" fillId="2" borderId="0" xfId="0" applyFill="1"/>
    <xf numFmtId="2" fontId="0" fillId="2" borderId="0" xfId="0" applyNumberFormat="1" applyFill="1"/>
    <xf numFmtId="168" fontId="0" fillId="0" borderId="0" xfId="0" applyNumberFormat="1"/>
    <xf numFmtId="168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8"/>
  <sheetViews>
    <sheetView tabSelected="1" topLeftCell="C1" workbookViewId="0">
      <selection activeCell="D20" sqref="D20:L28"/>
    </sheetView>
  </sheetViews>
  <sheetFormatPr defaultRowHeight="15" x14ac:dyDescent="0.25"/>
  <cols>
    <col min="1" max="1" width="45" customWidth="1"/>
    <col min="2" max="2" width="10.140625" customWidth="1"/>
    <col min="3" max="3" width="39.7109375" customWidth="1"/>
    <col min="12" max="12" width="9.140625" style="5"/>
  </cols>
  <sheetData>
    <row r="2" spans="1:13" ht="17.25" x14ac:dyDescent="0.3">
      <c r="D2" s="2" t="s">
        <v>5</v>
      </c>
    </row>
    <row r="5" spans="1:13" ht="30" x14ac:dyDescent="0.25">
      <c r="A5" s="1" t="s">
        <v>1</v>
      </c>
      <c r="D5">
        <v>42</v>
      </c>
      <c r="E5">
        <f>D5*2</f>
        <v>84</v>
      </c>
      <c r="F5">
        <f t="shared" ref="F5:M5" si="0">E5*2</f>
        <v>168</v>
      </c>
      <c r="G5">
        <f t="shared" si="0"/>
        <v>336</v>
      </c>
      <c r="H5">
        <f t="shared" si="0"/>
        <v>672</v>
      </c>
      <c r="I5">
        <f t="shared" si="0"/>
        <v>1344</v>
      </c>
      <c r="J5">
        <f t="shared" si="0"/>
        <v>2688</v>
      </c>
      <c r="K5">
        <f t="shared" si="0"/>
        <v>5376</v>
      </c>
      <c r="L5" s="5">
        <f t="shared" si="0"/>
        <v>10752</v>
      </c>
      <c r="M5">
        <f t="shared" si="0"/>
        <v>21504</v>
      </c>
    </row>
    <row r="6" spans="1:13" x14ac:dyDescent="0.25">
      <c r="A6" s="1"/>
      <c r="B6">
        <v>80</v>
      </c>
      <c r="C6" t="s">
        <v>2</v>
      </c>
      <c r="D6">
        <v>2.4289139941690969</v>
      </c>
      <c r="E6">
        <v>1.3931297376093295</v>
      </c>
      <c r="F6">
        <v>0.84778182701652127</v>
      </c>
      <c r="G6">
        <v>0.57857653061224479</v>
      </c>
      <c r="H6">
        <v>0.34785853984450932</v>
      </c>
      <c r="I6">
        <v>0.29255325255102049</v>
      </c>
      <c r="J6">
        <v>0.28473108752429543</v>
      </c>
      <c r="K6">
        <v>0.36863732993197273</v>
      </c>
      <c r="L6" s="5">
        <v>0.26020552417395532</v>
      </c>
      <c r="M6">
        <v>0.26479304277514576</v>
      </c>
    </row>
    <row r="7" spans="1:13" ht="15" customHeight="1" x14ac:dyDescent="0.25">
      <c r="A7" s="4"/>
      <c r="B7" s="1">
        <v>38</v>
      </c>
      <c r="C7" t="s">
        <v>0</v>
      </c>
      <c r="D7">
        <v>2.8844761904761902</v>
      </c>
      <c r="E7">
        <v>1.7872738095238094</v>
      </c>
      <c r="F7">
        <v>1.220607142857143</v>
      </c>
      <c r="G7">
        <v>0.96060119047619053</v>
      </c>
      <c r="H7">
        <v>0.80055505952380945</v>
      </c>
      <c r="I7">
        <v>0.59916517857142859</v>
      </c>
      <c r="J7">
        <v>0.57529389880952386</v>
      </c>
      <c r="K7">
        <v>0.48361979166666669</v>
      </c>
      <c r="L7" s="5">
        <v>0.45395089285714285</v>
      </c>
      <c r="M7">
        <v>0.48383091517857141</v>
      </c>
    </row>
    <row r="8" spans="1:13" ht="15" customHeight="1" x14ac:dyDescent="0.25">
      <c r="A8" s="4"/>
      <c r="B8" s="1"/>
      <c r="C8" t="s">
        <v>6</v>
      </c>
      <c r="D8" s="3">
        <f>D7/D6</f>
        <v>1.1875579775161762</v>
      </c>
      <c r="E8" s="3">
        <f t="shared" ref="E8" si="1">E7/E6</f>
        <v>1.2829198611400314</v>
      </c>
      <c r="F8" s="3">
        <f t="shared" ref="F8" si="2">F7/F6</f>
        <v>1.4397656377616079</v>
      </c>
      <c r="G8" s="3">
        <f t="shared" ref="G8" si="3">G7/G6</f>
        <v>1.6602837129596157</v>
      </c>
      <c r="H8" s="3">
        <f t="shared" ref="H8" si="4">H7/H6</f>
        <v>2.3013810725522297</v>
      </c>
      <c r="I8" s="3">
        <f t="shared" ref="I8" si="5">I7/I6</f>
        <v>2.0480550920107641</v>
      </c>
      <c r="J8" s="3">
        <f t="shared" ref="J8" si="6">J7/J6</f>
        <v>2.0204815140195587</v>
      </c>
      <c r="K8" s="3">
        <f t="shared" ref="K8" si="7">K7/K6</f>
        <v>1.3119121488751899</v>
      </c>
      <c r="L8" s="6">
        <f t="shared" ref="L8" si="8">L7/L6</f>
        <v>1.7445859164529607</v>
      </c>
      <c r="M8" s="3">
        <f t="shared" ref="M8" si="9">M7/M6</f>
        <v>1.8272040311475479</v>
      </c>
    </row>
    <row r="9" spans="1:13" ht="15" customHeight="1" x14ac:dyDescent="0.25">
      <c r="A9" s="4"/>
      <c r="B9" s="1"/>
      <c r="C9" t="s">
        <v>8</v>
      </c>
      <c r="D9" s="3">
        <f>D6*$B6/1000*D$5</f>
        <v>8.1611510204081661</v>
      </c>
      <c r="E9" s="3">
        <f t="shared" ref="E9:M9" si="10">E6*$B6/1000*E$5</f>
        <v>9.3618318367346944</v>
      </c>
      <c r="F9" s="3">
        <f t="shared" si="10"/>
        <v>11.394187755102044</v>
      </c>
      <c r="G9" s="3">
        <f t="shared" si="10"/>
        <v>15.55213714285714</v>
      </c>
      <c r="H9" s="3">
        <f t="shared" si="10"/>
        <v>18.700875102040822</v>
      </c>
      <c r="I9" s="3">
        <f t="shared" si="10"/>
        <v>31.455325714285721</v>
      </c>
      <c r="J9" s="3">
        <f t="shared" si="10"/>
        <v>61.228573061224495</v>
      </c>
      <c r="K9" s="3">
        <f t="shared" si="10"/>
        <v>158.54354285714282</v>
      </c>
      <c r="L9" s="6">
        <f t="shared" si="10"/>
        <v>223.81838367346941</v>
      </c>
      <c r="M9">
        <f t="shared" si="10"/>
        <v>455.52876734693876</v>
      </c>
    </row>
    <row r="10" spans="1:13" ht="15" customHeight="1" x14ac:dyDescent="0.25">
      <c r="A10" s="4"/>
      <c r="B10" s="1"/>
      <c r="C10" t="s">
        <v>7</v>
      </c>
      <c r="D10" s="3">
        <f>D7*$B7/1000*D$5</f>
        <v>4.6036239999999999</v>
      </c>
      <c r="E10" s="3">
        <f t="shared" ref="E10:M10" si="11">E7*$B7/1000*E$5</f>
        <v>5.7049779999999997</v>
      </c>
      <c r="F10" s="3">
        <f t="shared" si="11"/>
        <v>7.7923560000000007</v>
      </c>
      <c r="G10" s="3">
        <f t="shared" si="11"/>
        <v>12.264956</v>
      </c>
      <c r="H10" s="3">
        <f t="shared" si="11"/>
        <v>20.442974</v>
      </c>
      <c r="I10" s="3">
        <f t="shared" si="11"/>
        <v>30.600563999999999</v>
      </c>
      <c r="J10" s="3">
        <f t="shared" si="11"/>
        <v>58.762819999999998</v>
      </c>
      <c r="K10" s="3">
        <f t="shared" si="11"/>
        <v>98.797720000000012</v>
      </c>
      <c r="L10" s="6">
        <f t="shared" si="11"/>
        <v>185.47344000000001</v>
      </c>
      <c r="M10">
        <f t="shared" si="11"/>
        <v>395.36340000000001</v>
      </c>
    </row>
    <row r="11" spans="1:13" x14ac:dyDescent="0.25">
      <c r="B11" s="1"/>
      <c r="C11" t="s">
        <v>10</v>
      </c>
      <c r="D11" s="7">
        <f>1/D9</f>
        <v>0.12253173571955132</v>
      </c>
      <c r="E11" s="7">
        <f t="shared" ref="E11:M11" si="12">1/E9</f>
        <v>0.10681670184206056</v>
      </c>
      <c r="F11" s="7">
        <f t="shared" si="12"/>
        <v>8.7764044396426946E-2</v>
      </c>
      <c r="G11" s="7">
        <f t="shared" si="12"/>
        <v>6.4299844504604617E-2</v>
      </c>
      <c r="H11" s="7">
        <f t="shared" si="12"/>
        <v>5.3473433437928805E-2</v>
      </c>
      <c r="I11" s="7">
        <f t="shared" si="12"/>
        <v>3.1791118905687914E-2</v>
      </c>
      <c r="J11" s="7">
        <f t="shared" si="12"/>
        <v>1.6332244081534719E-2</v>
      </c>
      <c r="K11" s="7">
        <f t="shared" si="12"/>
        <v>6.3074155022576957E-3</v>
      </c>
      <c r="L11" s="8">
        <f t="shared" si="12"/>
        <v>4.4679082369699745E-3</v>
      </c>
      <c r="M11">
        <f t="shared" si="12"/>
        <v>2.1952510394110461E-3</v>
      </c>
    </row>
    <row r="12" spans="1:13" x14ac:dyDescent="0.25">
      <c r="B12" s="4"/>
      <c r="C12" t="s">
        <v>9</v>
      </c>
      <c r="D12" s="7">
        <f>1/D10</f>
        <v>0.21722017262921559</v>
      </c>
      <c r="E12" s="7">
        <f t="shared" ref="E12:M12" si="13">1/E10</f>
        <v>0.17528551380916807</v>
      </c>
      <c r="F12" s="7">
        <f t="shared" si="13"/>
        <v>0.12833089247975835</v>
      </c>
      <c r="G12" s="7">
        <f t="shared" si="13"/>
        <v>8.1533109454285851E-2</v>
      </c>
      <c r="H12" s="7">
        <f t="shared" si="13"/>
        <v>4.8916561748794475E-2</v>
      </c>
      <c r="I12" s="7">
        <f t="shared" si="13"/>
        <v>3.267913624075687E-2</v>
      </c>
      <c r="J12" s="7">
        <f t="shared" si="13"/>
        <v>1.7017563146220688E-2</v>
      </c>
      <c r="K12" s="7">
        <f t="shared" si="13"/>
        <v>1.0121691067364711E-2</v>
      </c>
      <c r="L12" s="8">
        <f t="shared" si="13"/>
        <v>5.3916075530814544E-3</v>
      </c>
      <c r="M12">
        <f t="shared" si="13"/>
        <v>2.5293185965114626E-3</v>
      </c>
    </row>
    <row r="13" spans="1:13" x14ac:dyDescent="0.25">
      <c r="C13" t="s">
        <v>11</v>
      </c>
      <c r="D13" s="3">
        <f>D11/D12</f>
        <v>0.56409003932018376</v>
      </c>
      <c r="E13" s="3">
        <f t="shared" ref="E13" si="14">E11/E12</f>
        <v>0.60938693404151489</v>
      </c>
      <c r="F13" s="3">
        <f t="shared" ref="F13" si="15">F11/F12</f>
        <v>0.683888677936764</v>
      </c>
      <c r="G13" s="3">
        <f t="shared" ref="G13" si="16">G11/G12</f>
        <v>0.78863476365581742</v>
      </c>
      <c r="H13" s="3">
        <f t="shared" ref="H13" si="17">H11/H12</f>
        <v>1.0931560094623092</v>
      </c>
      <c r="I13" s="3">
        <f t="shared" ref="I13" si="18">I11/I12</f>
        <v>0.97282616870511296</v>
      </c>
      <c r="J13" s="3">
        <f t="shared" ref="J13" si="19">J11/J12</f>
        <v>0.95972871915929003</v>
      </c>
      <c r="K13" s="3">
        <f t="shared" ref="K13" si="20">K11/K12</f>
        <v>0.62315827071571528</v>
      </c>
      <c r="L13" s="6">
        <f t="shared" ref="L13" si="21">L11/L12</f>
        <v>0.82867831031515637</v>
      </c>
      <c r="M13" s="3">
        <f t="shared" ref="M13" si="22">M11/M12</f>
        <v>0.86792191479508518</v>
      </c>
    </row>
    <row r="14" spans="1:13" x14ac:dyDescent="0.25">
      <c r="B14" s="1"/>
      <c r="C14" t="s">
        <v>13</v>
      </c>
      <c r="D14" s="3">
        <f>D9*D6/1000*D$5</f>
        <v>0.83255482472386566</v>
      </c>
      <c r="E14" s="3">
        <f t="shared" ref="E14:M14" si="23">E9*E6/1000*E$5</f>
        <v>1.0955486917412411</v>
      </c>
      <c r="F14" s="3">
        <f t="shared" si="23"/>
        <v>1.6228439324814672</v>
      </c>
      <c r="G14" s="3">
        <f t="shared" si="23"/>
        <v>3.023362121377958</v>
      </c>
      <c r="H14" s="3">
        <f t="shared" si="23"/>
        <v>4.3715341197766291</v>
      </c>
      <c r="I14" s="3">
        <f t="shared" si="23"/>
        <v>12.367968947397557</v>
      </c>
      <c r="J14" s="3">
        <f t="shared" si="23"/>
        <v>46.861726988921319</v>
      </c>
      <c r="K14" s="3">
        <f t="shared" si="23"/>
        <v>314.20068727118354</v>
      </c>
      <c r="L14" s="6">
        <f t="shared" si="23"/>
        <v>626.18336087755438</v>
      </c>
      <c r="M14">
        <f t="shared" si="23"/>
        <v>2593.8307235077682</v>
      </c>
    </row>
    <row r="15" spans="1:13" x14ac:dyDescent="0.25">
      <c r="B15" s="4"/>
      <c r="C15" t="s">
        <v>12</v>
      </c>
      <c r="D15" s="3">
        <f>D10*D7/1000*D$5</f>
        <v>0.55771984035199995</v>
      </c>
      <c r="E15" s="3">
        <f t="shared" ref="E15:M15" si="24">E10*E7/1000*E$5</f>
        <v>0.85649405211799989</v>
      </c>
      <c r="F15" s="3">
        <f t="shared" si="24"/>
        <v>1.5979161060720004</v>
      </c>
      <c r="G15" s="3">
        <f t="shared" si="24"/>
        <v>3.9586617284719998</v>
      </c>
      <c r="H15" s="3">
        <f t="shared" si="24"/>
        <v>10.997768051702</v>
      </c>
      <c r="I15" s="3">
        <f t="shared" si="24"/>
        <v>24.641960976791999</v>
      </c>
      <c r="J15" s="3">
        <f t="shared" si="24"/>
        <v>90.870237219800003</v>
      </c>
      <c r="K15" s="3">
        <f t="shared" si="24"/>
        <v>256.86814413680003</v>
      </c>
      <c r="L15" s="6">
        <f t="shared" si="24"/>
        <v>905.27360382720008</v>
      </c>
      <c r="M15">
        <f t="shared" si="24"/>
        <v>4113.4794226200002</v>
      </c>
    </row>
    <row r="16" spans="1:13" x14ac:dyDescent="0.25">
      <c r="C16" t="s">
        <v>14</v>
      </c>
      <c r="D16" s="3">
        <f>D15/D14</f>
        <v>0.66988962623209769</v>
      </c>
      <c r="E16" s="3">
        <f t="shared" ref="E16" si="25">E15/E14</f>
        <v>0.78179460080108987</v>
      </c>
      <c r="F16" s="3">
        <f t="shared" ref="F16" si="26">F15/F14</f>
        <v>0.98463941854756787</v>
      </c>
      <c r="G16" s="3">
        <f t="shared" ref="G16" si="27">G15/G14</f>
        <v>1.3093574535715093</v>
      </c>
      <c r="H16" s="3">
        <f t="shared" ref="H16" si="28">H15/H14</f>
        <v>2.5157685495232847</v>
      </c>
      <c r="I16" s="3">
        <f t="shared" ref="I16" si="29">I15/I14</f>
        <v>1.9924015884578292</v>
      </c>
      <c r="J16" s="3">
        <f t="shared" ref="J16" si="30">J15/J14</f>
        <v>1.9391141355350141</v>
      </c>
      <c r="K16" s="3">
        <f t="shared" ref="K16" si="31">K15/K14</f>
        <v>0.8175289060240013</v>
      </c>
      <c r="L16" s="6">
        <f t="shared" ref="L16" si="32">L15/L14</f>
        <v>1.4457005094458584</v>
      </c>
      <c r="M16" s="3">
        <f t="shared" ref="M16" si="33">M15/M14</f>
        <v>1.5858704214348784</v>
      </c>
    </row>
    <row r="17" spans="1:13" x14ac:dyDescent="0.25">
      <c r="D17" s="3"/>
      <c r="E17" s="3"/>
      <c r="F17" s="3"/>
      <c r="G17" s="3"/>
      <c r="H17" s="3"/>
      <c r="I17" s="3"/>
      <c r="J17" s="3"/>
      <c r="K17" s="3"/>
      <c r="L17" s="6"/>
      <c r="M17" s="3"/>
    </row>
    <row r="18" spans="1:13" x14ac:dyDescent="0.25">
      <c r="A18" t="s">
        <v>4</v>
      </c>
      <c r="B18">
        <v>265</v>
      </c>
      <c r="C18" t="s">
        <v>2</v>
      </c>
      <c r="D18">
        <v>2.0514390476190472</v>
      </c>
      <c r="E18">
        <v>1.1205544523809525</v>
      </c>
      <c r="F18">
        <v>0.5844691904761905</v>
      </c>
      <c r="G18">
        <v>0.30930095238095234</v>
      </c>
      <c r="H18">
        <v>0.18220386904761907</v>
      </c>
      <c r="I18">
        <v>0.15996636904761904</v>
      </c>
      <c r="J18">
        <v>0.13203470238095241</v>
      </c>
      <c r="K18">
        <v>0.1263766145833333</v>
      </c>
      <c r="L18" s="5">
        <v>0.10961050967261901</v>
      </c>
      <c r="M18">
        <v>0.10167948288690477</v>
      </c>
    </row>
    <row r="19" spans="1:13" x14ac:dyDescent="0.25">
      <c r="B19">
        <v>105</v>
      </c>
      <c r="C19" t="s">
        <v>3</v>
      </c>
      <c r="D19">
        <v>4.4168333333333338</v>
      </c>
      <c r="E19">
        <v>2.0592738095238099</v>
      </c>
      <c r="F19">
        <v>1.5019940476190476</v>
      </c>
      <c r="G19">
        <v>1.0606607142857143</v>
      </c>
      <c r="H19">
        <v>0.85274404761904754</v>
      </c>
      <c r="I19">
        <v>0.62389955357142857</v>
      </c>
      <c r="J19">
        <v>0.57398809523809524</v>
      </c>
      <c r="K19">
        <v>0.53970610119047624</v>
      </c>
      <c r="L19" s="5">
        <v>0.49522042410714284</v>
      </c>
      <c r="M19">
        <v>0.48785342261904757</v>
      </c>
    </row>
    <row r="20" spans="1:13" x14ac:dyDescent="0.25">
      <c r="C20" t="s">
        <v>6</v>
      </c>
      <c r="D20" s="3">
        <f>D19/D18</f>
        <v>2.153041465433557</v>
      </c>
      <c r="E20" s="3">
        <f t="shared" ref="E20:M20" si="34">E19/E18</f>
        <v>1.8377275688372554</v>
      </c>
      <c r="F20" s="3">
        <f t="shared" si="34"/>
        <v>2.5698429824766515</v>
      </c>
      <c r="G20" s="3">
        <f t="shared" si="34"/>
        <v>3.4292190377071496</v>
      </c>
      <c r="H20" s="3">
        <f t="shared" si="34"/>
        <v>4.6801643240417823</v>
      </c>
      <c r="I20" s="3">
        <f t="shared" si="34"/>
        <v>3.9001920046438334</v>
      </c>
      <c r="J20" s="3">
        <f t="shared" si="34"/>
        <v>4.3472517822019183</v>
      </c>
      <c r="K20" s="3">
        <f t="shared" si="34"/>
        <v>4.2706168619083531</v>
      </c>
      <c r="L20" s="6">
        <f t="shared" si="34"/>
        <v>4.5180012900793054</v>
      </c>
      <c r="M20" s="3">
        <f t="shared" si="34"/>
        <v>4.7979534195868521</v>
      </c>
    </row>
    <row r="21" spans="1:13" x14ac:dyDescent="0.25">
      <c r="C21" t="s">
        <v>8</v>
      </c>
      <c r="D21" s="3">
        <f>D18*$B18/1000*D$5</f>
        <v>22.832516599999991</v>
      </c>
      <c r="E21" s="3">
        <f t="shared" ref="E21:M22" si="35">E18*$B18/1000*E$5</f>
        <v>24.943542110000006</v>
      </c>
      <c r="F21" s="3">
        <f t="shared" si="35"/>
        <v>26.020568359999999</v>
      </c>
      <c r="G21" s="3">
        <f t="shared" si="35"/>
        <v>27.540156800000002</v>
      </c>
      <c r="H21" s="3">
        <f t="shared" si="35"/>
        <v>32.446865000000003</v>
      </c>
      <c r="I21" s="3">
        <f t="shared" si="35"/>
        <v>56.973621999999992</v>
      </c>
      <c r="J21" s="3">
        <f t="shared" si="35"/>
        <v>94.050959200000023</v>
      </c>
      <c r="K21" s="3">
        <f t="shared" si="35"/>
        <v>180.04118019999996</v>
      </c>
      <c r="L21" s="6">
        <f t="shared" si="35"/>
        <v>312.3110329999999</v>
      </c>
      <c r="M21">
        <f t="shared" si="35"/>
        <v>579.42663400000015</v>
      </c>
    </row>
    <row r="22" spans="1:13" x14ac:dyDescent="0.25">
      <c r="C22" t="s">
        <v>7</v>
      </c>
      <c r="D22" s="3">
        <f>D19*$B19/1000*D$5</f>
        <v>19.478235000000002</v>
      </c>
      <c r="E22" s="3">
        <f t="shared" si="35"/>
        <v>18.162795000000003</v>
      </c>
      <c r="F22" s="3">
        <f t="shared" si="35"/>
        <v>26.495174999999996</v>
      </c>
      <c r="G22" s="3">
        <f t="shared" si="35"/>
        <v>37.420110000000001</v>
      </c>
      <c r="H22" s="3">
        <f t="shared" si="35"/>
        <v>60.169619999999995</v>
      </c>
      <c r="I22" s="3">
        <f t="shared" si="35"/>
        <v>88.044704999999993</v>
      </c>
      <c r="J22" s="3">
        <f t="shared" si="35"/>
        <v>162.00239999999999</v>
      </c>
      <c r="K22" s="3">
        <f t="shared" si="35"/>
        <v>304.6533</v>
      </c>
      <c r="L22" s="6">
        <f t="shared" si="35"/>
        <v>559.08404999999993</v>
      </c>
      <c r="M22">
        <f t="shared" si="35"/>
        <v>1101.5339999999999</v>
      </c>
    </row>
    <row r="23" spans="1:13" x14ac:dyDescent="0.25">
      <c r="C23" t="s">
        <v>10</v>
      </c>
      <c r="D23" s="7">
        <f>1/D21</f>
        <v>4.3797187034564575E-2</v>
      </c>
      <c r="E23" s="7">
        <f t="shared" ref="E23:M24" si="36">1/E21</f>
        <v>4.0090537085312128E-2</v>
      </c>
      <c r="F23" s="7">
        <f t="shared" si="36"/>
        <v>3.8431135944641606E-2</v>
      </c>
      <c r="G23" s="7">
        <f t="shared" si="36"/>
        <v>3.6310613888734286E-2</v>
      </c>
      <c r="H23" s="7">
        <f t="shared" si="36"/>
        <v>3.0819618474697014E-2</v>
      </c>
      <c r="I23" s="7">
        <f t="shared" si="36"/>
        <v>1.7551982213804138E-2</v>
      </c>
      <c r="J23" s="7">
        <f t="shared" si="36"/>
        <v>1.0632533772180814E-2</v>
      </c>
      <c r="K23" s="7">
        <f t="shared" si="36"/>
        <v>5.5542848524384432E-3</v>
      </c>
      <c r="L23" s="8">
        <f t="shared" si="36"/>
        <v>3.201936192884996E-3</v>
      </c>
      <c r="M23">
        <f t="shared" si="36"/>
        <v>1.7258440349844184E-3</v>
      </c>
    </row>
    <row r="24" spans="1:13" x14ac:dyDescent="0.25">
      <c r="C24" t="s">
        <v>9</v>
      </c>
      <c r="D24" s="7">
        <f>1/D22</f>
        <v>5.1339353899365107E-2</v>
      </c>
      <c r="E24" s="7">
        <f t="shared" si="36"/>
        <v>5.5057605396085785E-2</v>
      </c>
      <c r="F24" s="7">
        <f t="shared" si="36"/>
        <v>3.7742721080347652E-2</v>
      </c>
      <c r="G24" s="7">
        <f t="shared" si="36"/>
        <v>2.6723598621169204E-2</v>
      </c>
      <c r="H24" s="7">
        <f t="shared" si="36"/>
        <v>1.6619682823325127E-2</v>
      </c>
      <c r="I24" s="7">
        <f t="shared" si="36"/>
        <v>1.1357866438418983E-2</v>
      </c>
      <c r="J24" s="7">
        <f t="shared" si="36"/>
        <v>6.1727480580534609E-3</v>
      </c>
      <c r="K24" s="7">
        <f t="shared" si="36"/>
        <v>3.2824197210402774E-3</v>
      </c>
      <c r="L24" s="8">
        <f t="shared" si="36"/>
        <v>1.7886398297357975E-3</v>
      </c>
      <c r="M24">
        <f t="shared" si="36"/>
        <v>9.0782490599473106E-4</v>
      </c>
    </row>
    <row r="25" spans="1:13" x14ac:dyDescent="0.25">
      <c r="C25" t="s">
        <v>11</v>
      </c>
      <c r="D25" s="3">
        <f>D23/D24</f>
        <v>0.85309190139820201</v>
      </c>
      <c r="E25" s="3">
        <f t="shared" ref="E25:M25" si="37">E23/E24</f>
        <v>0.72815620652042179</v>
      </c>
      <c r="F25" s="3">
        <f t="shared" si="37"/>
        <v>1.0182396723020695</v>
      </c>
      <c r="G25" s="3">
        <f t="shared" si="37"/>
        <v>1.3587471658839647</v>
      </c>
      <c r="H25" s="3">
        <f t="shared" si="37"/>
        <v>1.854404732167499</v>
      </c>
      <c r="I25" s="3">
        <f t="shared" si="37"/>
        <v>1.5453590961796322</v>
      </c>
      <c r="J25" s="3">
        <f t="shared" si="37"/>
        <v>1.722495989174345</v>
      </c>
      <c r="K25" s="3">
        <f t="shared" si="37"/>
        <v>1.6921312094353849</v>
      </c>
      <c r="L25" s="6">
        <f t="shared" si="37"/>
        <v>1.7901514545597246</v>
      </c>
      <c r="M25" s="3">
        <f t="shared" si="37"/>
        <v>1.9010758832325261</v>
      </c>
    </row>
    <row r="26" spans="1:13" x14ac:dyDescent="0.25">
      <c r="C26" t="s">
        <v>13</v>
      </c>
      <c r="D26" s="3">
        <f>D21*D18/1000*D$5</f>
        <v>1.9672596765633028</v>
      </c>
      <c r="E26" s="3">
        <f t="shared" ref="E26:M27" si="38">E21*E18/1000*E$5</f>
        <v>2.3478501622390322</v>
      </c>
      <c r="F26" s="3">
        <f t="shared" si="38"/>
        <v>2.5549810482167286</v>
      </c>
      <c r="G26" s="3">
        <f t="shared" si="38"/>
        <v>2.8621141002588155</v>
      </c>
      <c r="H26" s="3">
        <f t="shared" si="38"/>
        <v>3.9728265974650006</v>
      </c>
      <c r="I26" s="3">
        <f t="shared" si="38"/>
        <v>12.249032467165597</v>
      </c>
      <c r="J26" s="3">
        <f t="shared" si="38"/>
        <v>33.379558212981387</v>
      </c>
      <c r="K26" s="3">
        <f t="shared" si="38"/>
        <v>122.32010025588247</v>
      </c>
      <c r="L26" s="6">
        <f t="shared" si="38"/>
        <v>368.06860880576238</v>
      </c>
      <c r="M26">
        <f t="shared" si="38"/>
        <v>1266.9253742964909</v>
      </c>
    </row>
    <row r="27" spans="1:13" x14ac:dyDescent="0.25">
      <c r="C27" t="s">
        <v>12</v>
      </c>
      <c r="D27" s="3">
        <f>D22*D19/1000*D$5</f>
        <v>3.6133489401450007</v>
      </c>
      <c r="E27" s="3">
        <f t="shared" si="38"/>
        <v>3.1417821163050013</v>
      </c>
      <c r="F27" s="3">
        <f t="shared" si="38"/>
        <v>6.6856599836249986</v>
      </c>
      <c r="G27" s="3">
        <f t="shared" si="38"/>
        <v>13.335853642020002</v>
      </c>
      <c r="H27" s="3">
        <f t="shared" si="38"/>
        <v>34.479839723279994</v>
      </c>
      <c r="I27" s="3">
        <f t="shared" si="38"/>
        <v>73.827334081304983</v>
      </c>
      <c r="J27" s="3">
        <f t="shared" si="38"/>
        <v>249.950262912</v>
      </c>
      <c r="K27" s="3">
        <f t="shared" si="38"/>
        <v>883.93936381800006</v>
      </c>
      <c r="L27" s="6">
        <f t="shared" si="38"/>
        <v>2976.9045234704995</v>
      </c>
      <c r="M27">
        <f t="shared" si="38"/>
        <v>11555.972887199998</v>
      </c>
    </row>
    <row r="28" spans="1:13" x14ac:dyDescent="0.25">
      <c r="C28" t="s">
        <v>14</v>
      </c>
      <c r="D28" s="3">
        <f>D27/D26</f>
        <v>1.8367422375358842</v>
      </c>
      <c r="E28" s="3">
        <f t="shared" ref="E28:M28" si="39">E27/E26</f>
        <v>1.3381527351425333</v>
      </c>
      <c r="F28" s="3">
        <f t="shared" si="39"/>
        <v>2.6167160763447987</v>
      </c>
      <c r="G28" s="3">
        <f t="shared" si="39"/>
        <v>4.6594416486799268</v>
      </c>
      <c r="H28" s="3">
        <f t="shared" si="39"/>
        <v>8.6789188698245852</v>
      </c>
      <c r="I28" s="3">
        <f t="shared" si="39"/>
        <v>6.0271971912234212</v>
      </c>
      <c r="J28" s="3">
        <f t="shared" si="39"/>
        <v>7.4881237587738285</v>
      </c>
      <c r="K28" s="3">
        <f t="shared" si="39"/>
        <v>7.2264440755761292</v>
      </c>
      <c r="L28" s="6">
        <f t="shared" si="39"/>
        <v>8.0879065811381796</v>
      </c>
      <c r="M28" s="3">
        <f t="shared" si="39"/>
        <v>9.1212735348495944</v>
      </c>
    </row>
  </sheetData>
  <conditionalFormatting sqref="D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7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Титов Ю.П.</dc:creator>
  <cp:lastModifiedBy>Титов Ю.П.</cp:lastModifiedBy>
  <dcterms:created xsi:type="dcterms:W3CDTF">2025-12-16T15:46:06Z</dcterms:created>
  <dcterms:modified xsi:type="dcterms:W3CDTF">2025-12-17T06:16:31Z</dcterms:modified>
</cp:coreProperties>
</file>