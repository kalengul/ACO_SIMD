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trix AC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6" i="1" l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5" i="1"/>
  <c r="O5" i="1"/>
  <c r="N6" i="1"/>
  <c r="O6" i="1"/>
  <c r="N7" i="1"/>
  <c r="O7" i="1"/>
  <c r="N8" i="1"/>
  <c r="O8" i="1"/>
  <c r="N9" i="1"/>
  <c r="O9" i="1"/>
  <c r="N10" i="1"/>
  <c r="O10" i="1"/>
  <c r="O4" i="1"/>
  <c r="N4" i="1"/>
  <c r="R5" i="1" l="1"/>
  <c r="S5" i="1"/>
  <c r="T5" i="1"/>
  <c r="U5" i="1"/>
  <c r="V5" i="1"/>
  <c r="W5" i="1"/>
  <c r="X5" i="1"/>
  <c r="Y5" i="1"/>
  <c r="Z5" i="1"/>
  <c r="AA5" i="1"/>
  <c r="AB5" i="1"/>
  <c r="AC5" i="1"/>
  <c r="R6" i="1"/>
  <c r="S6" i="1"/>
  <c r="T6" i="1"/>
  <c r="U6" i="1"/>
  <c r="V6" i="1"/>
  <c r="W6" i="1"/>
  <c r="X6" i="1"/>
  <c r="Y6" i="1"/>
  <c r="Z6" i="1"/>
  <c r="AA6" i="1"/>
  <c r="AB6" i="1"/>
  <c r="AC6" i="1"/>
  <c r="R7" i="1"/>
  <c r="S7" i="1"/>
  <c r="T7" i="1"/>
  <c r="U7" i="1"/>
  <c r="V7" i="1"/>
  <c r="W7" i="1"/>
  <c r="X7" i="1"/>
  <c r="Y7" i="1"/>
  <c r="Z7" i="1"/>
  <c r="AA7" i="1"/>
  <c r="AB7" i="1"/>
  <c r="AC7" i="1"/>
  <c r="R8" i="1"/>
  <c r="S8" i="1"/>
  <c r="T8" i="1"/>
  <c r="U8" i="1"/>
  <c r="V8" i="1"/>
  <c r="W8" i="1"/>
  <c r="X8" i="1"/>
  <c r="Y8" i="1"/>
  <c r="Z8" i="1"/>
  <c r="AA8" i="1"/>
  <c r="AB8" i="1"/>
  <c r="AC8" i="1"/>
  <c r="R9" i="1"/>
  <c r="S9" i="1"/>
  <c r="T9" i="1"/>
  <c r="U9" i="1"/>
  <c r="V9" i="1"/>
  <c r="W9" i="1"/>
  <c r="X9" i="1"/>
  <c r="Y9" i="1"/>
  <c r="Z9" i="1"/>
  <c r="AA9" i="1"/>
  <c r="AB9" i="1"/>
  <c r="AC9" i="1"/>
  <c r="R10" i="1"/>
  <c r="S10" i="1"/>
  <c r="T10" i="1"/>
  <c r="U10" i="1"/>
  <c r="V10" i="1"/>
  <c r="W10" i="1"/>
  <c r="X10" i="1"/>
  <c r="Y10" i="1"/>
  <c r="Z10" i="1"/>
  <c r="AA10" i="1"/>
  <c r="AB10" i="1"/>
  <c r="AC10" i="1"/>
  <c r="R15" i="1"/>
  <c r="S15" i="1"/>
  <c r="T15" i="1"/>
  <c r="U15" i="1"/>
  <c r="V15" i="1"/>
  <c r="W15" i="1"/>
  <c r="X15" i="1"/>
  <c r="Y15" i="1"/>
  <c r="Z15" i="1"/>
  <c r="AA15" i="1"/>
  <c r="AB15" i="1"/>
  <c r="AC15" i="1"/>
  <c r="R16" i="1"/>
  <c r="S16" i="1"/>
  <c r="T16" i="1"/>
  <c r="U16" i="1"/>
  <c r="V16" i="1"/>
  <c r="W16" i="1"/>
  <c r="X16" i="1"/>
  <c r="Y16" i="1"/>
  <c r="Z16" i="1"/>
  <c r="AA16" i="1"/>
  <c r="AB16" i="1"/>
  <c r="AC16" i="1"/>
  <c r="R17" i="1"/>
  <c r="S17" i="1"/>
  <c r="T17" i="1"/>
  <c r="U17" i="1"/>
  <c r="V17" i="1"/>
  <c r="W17" i="1"/>
  <c r="X17" i="1"/>
  <c r="Y17" i="1"/>
  <c r="Z17" i="1"/>
  <c r="AA17" i="1"/>
  <c r="AB17" i="1"/>
  <c r="AC17" i="1"/>
  <c r="R18" i="1"/>
  <c r="S18" i="1"/>
  <c r="T18" i="1"/>
  <c r="U18" i="1"/>
  <c r="V18" i="1"/>
  <c r="W18" i="1"/>
  <c r="X18" i="1"/>
  <c r="Y18" i="1"/>
  <c r="Z18" i="1"/>
  <c r="AA18" i="1"/>
  <c r="AB18" i="1"/>
  <c r="AC18" i="1"/>
  <c r="R19" i="1"/>
  <c r="S19" i="1"/>
  <c r="T19" i="1"/>
  <c r="U19" i="1"/>
  <c r="V19" i="1"/>
  <c r="W19" i="1"/>
  <c r="X19" i="1"/>
  <c r="Y19" i="1"/>
  <c r="Z19" i="1"/>
  <c r="AA19" i="1"/>
  <c r="AB19" i="1"/>
  <c r="AC19" i="1"/>
  <c r="R20" i="1"/>
  <c r="S20" i="1"/>
  <c r="T20" i="1"/>
  <c r="U20" i="1"/>
  <c r="V20" i="1"/>
  <c r="W20" i="1"/>
  <c r="X20" i="1"/>
  <c r="Y20" i="1"/>
  <c r="Z20" i="1"/>
  <c r="AA20" i="1"/>
  <c r="AB20" i="1"/>
  <c r="AC20" i="1"/>
  <c r="R21" i="1"/>
  <c r="S21" i="1"/>
  <c r="T21" i="1"/>
  <c r="U21" i="1"/>
  <c r="V21" i="1"/>
  <c r="W21" i="1"/>
  <c r="X21" i="1"/>
  <c r="Y21" i="1"/>
  <c r="Z21" i="1"/>
  <c r="AA21" i="1"/>
  <c r="AB21" i="1"/>
  <c r="AC21" i="1"/>
  <c r="R26" i="1"/>
  <c r="S26" i="1"/>
  <c r="T26" i="1"/>
  <c r="U26" i="1"/>
  <c r="V26" i="1"/>
  <c r="W26" i="1"/>
  <c r="X26" i="1"/>
  <c r="Y26" i="1"/>
  <c r="Z26" i="1"/>
  <c r="AA26" i="1"/>
  <c r="AB26" i="1"/>
  <c r="AC26" i="1"/>
  <c r="R27" i="1"/>
  <c r="S27" i="1"/>
  <c r="T27" i="1"/>
  <c r="U27" i="1"/>
  <c r="V27" i="1"/>
  <c r="W27" i="1"/>
  <c r="X27" i="1"/>
  <c r="Y27" i="1"/>
  <c r="Z27" i="1"/>
  <c r="AA27" i="1"/>
  <c r="AB27" i="1"/>
  <c r="AC27" i="1"/>
  <c r="R28" i="1"/>
  <c r="S28" i="1"/>
  <c r="T28" i="1"/>
  <c r="U28" i="1"/>
  <c r="V28" i="1"/>
  <c r="W28" i="1"/>
  <c r="X28" i="1"/>
  <c r="Y28" i="1"/>
  <c r="Z28" i="1"/>
  <c r="AA28" i="1"/>
  <c r="AB28" i="1"/>
  <c r="AC28" i="1"/>
  <c r="R29" i="1"/>
  <c r="S29" i="1"/>
  <c r="T29" i="1"/>
  <c r="U29" i="1"/>
  <c r="V29" i="1"/>
  <c r="W29" i="1"/>
  <c r="X29" i="1"/>
  <c r="Y29" i="1"/>
  <c r="Z29" i="1"/>
  <c r="AA29" i="1"/>
  <c r="AB29" i="1"/>
  <c r="AC29" i="1"/>
  <c r="R30" i="1"/>
  <c r="S30" i="1"/>
  <c r="T30" i="1"/>
  <c r="U30" i="1"/>
  <c r="V30" i="1"/>
  <c r="W30" i="1"/>
  <c r="X30" i="1"/>
  <c r="Y30" i="1"/>
  <c r="Z30" i="1"/>
  <c r="AA30" i="1"/>
  <c r="AB30" i="1"/>
  <c r="AC30" i="1"/>
  <c r="R31" i="1"/>
  <c r="S31" i="1"/>
  <c r="T31" i="1"/>
  <c r="U31" i="1"/>
  <c r="V31" i="1"/>
  <c r="W31" i="1"/>
  <c r="X31" i="1"/>
  <c r="Y31" i="1"/>
  <c r="Z31" i="1"/>
  <c r="AA31" i="1"/>
  <c r="AB31" i="1"/>
  <c r="AC31" i="1"/>
  <c r="R32" i="1"/>
  <c r="S32" i="1"/>
  <c r="T32" i="1"/>
  <c r="U32" i="1"/>
  <c r="V32" i="1"/>
  <c r="W32" i="1"/>
  <c r="X32" i="1"/>
  <c r="Y32" i="1"/>
  <c r="Z32" i="1"/>
  <c r="AA32" i="1"/>
  <c r="AB32" i="1"/>
  <c r="AC32" i="1"/>
  <c r="R37" i="1"/>
  <c r="S37" i="1"/>
  <c r="T37" i="1"/>
  <c r="U37" i="1"/>
  <c r="V37" i="1"/>
  <c r="W37" i="1"/>
  <c r="X37" i="1"/>
  <c r="Y37" i="1"/>
  <c r="Z37" i="1"/>
  <c r="AA37" i="1"/>
  <c r="AB37" i="1"/>
  <c r="AC37" i="1"/>
  <c r="R38" i="1"/>
  <c r="S38" i="1"/>
  <c r="T38" i="1"/>
  <c r="U38" i="1"/>
  <c r="V38" i="1"/>
  <c r="W38" i="1"/>
  <c r="X38" i="1"/>
  <c r="Y38" i="1"/>
  <c r="Z38" i="1"/>
  <c r="AA38" i="1"/>
  <c r="AB38" i="1"/>
  <c r="AC38" i="1"/>
  <c r="R39" i="1"/>
  <c r="S39" i="1"/>
  <c r="T39" i="1"/>
  <c r="U39" i="1"/>
  <c r="V39" i="1"/>
  <c r="W39" i="1"/>
  <c r="X39" i="1"/>
  <c r="Y39" i="1"/>
  <c r="Z39" i="1"/>
  <c r="AA39" i="1"/>
  <c r="AB39" i="1"/>
  <c r="AC39" i="1"/>
  <c r="R40" i="1"/>
  <c r="S40" i="1"/>
  <c r="T40" i="1"/>
  <c r="U40" i="1"/>
  <c r="V40" i="1"/>
  <c r="W40" i="1"/>
  <c r="X40" i="1"/>
  <c r="Y40" i="1"/>
  <c r="Z40" i="1"/>
  <c r="AA40" i="1"/>
  <c r="AB40" i="1"/>
  <c r="AC40" i="1"/>
  <c r="R41" i="1"/>
  <c r="S41" i="1"/>
  <c r="T41" i="1"/>
  <c r="U41" i="1"/>
  <c r="V41" i="1"/>
  <c r="W41" i="1"/>
  <c r="X41" i="1"/>
  <c r="Y41" i="1"/>
  <c r="Z41" i="1"/>
  <c r="AA41" i="1"/>
  <c r="AB41" i="1"/>
  <c r="AC41" i="1"/>
  <c r="R42" i="1"/>
  <c r="S42" i="1"/>
  <c r="T42" i="1"/>
  <c r="U42" i="1"/>
  <c r="V42" i="1"/>
  <c r="W42" i="1"/>
  <c r="X42" i="1"/>
  <c r="Y42" i="1"/>
  <c r="Z42" i="1"/>
  <c r="AA42" i="1"/>
  <c r="AB42" i="1"/>
  <c r="AC42" i="1"/>
  <c r="R43" i="1"/>
  <c r="S43" i="1"/>
  <c r="T43" i="1"/>
  <c r="U43" i="1"/>
  <c r="V43" i="1"/>
  <c r="W43" i="1"/>
  <c r="X43" i="1"/>
  <c r="Y43" i="1"/>
  <c r="Z43" i="1"/>
  <c r="AA43" i="1"/>
  <c r="AB43" i="1"/>
  <c r="AC43" i="1"/>
  <c r="R48" i="1"/>
  <c r="S48" i="1"/>
  <c r="T48" i="1"/>
  <c r="U48" i="1"/>
  <c r="V48" i="1"/>
  <c r="W48" i="1"/>
  <c r="X48" i="1"/>
  <c r="Y48" i="1"/>
  <c r="Z48" i="1"/>
  <c r="AA48" i="1"/>
  <c r="AB48" i="1"/>
  <c r="AC48" i="1"/>
  <c r="R49" i="1"/>
  <c r="S49" i="1"/>
  <c r="T49" i="1"/>
  <c r="U49" i="1"/>
  <c r="V49" i="1"/>
  <c r="W49" i="1"/>
  <c r="X49" i="1"/>
  <c r="Y49" i="1"/>
  <c r="Z49" i="1"/>
  <c r="AA49" i="1"/>
  <c r="AB49" i="1"/>
  <c r="AC49" i="1"/>
  <c r="R50" i="1"/>
  <c r="S50" i="1"/>
  <c r="T50" i="1"/>
  <c r="U50" i="1"/>
  <c r="V50" i="1"/>
  <c r="W50" i="1"/>
  <c r="X50" i="1"/>
  <c r="Y50" i="1"/>
  <c r="Z50" i="1"/>
  <c r="AA50" i="1"/>
  <c r="AB50" i="1"/>
  <c r="AC50" i="1"/>
  <c r="R51" i="1"/>
  <c r="S51" i="1"/>
  <c r="T51" i="1"/>
  <c r="U51" i="1"/>
  <c r="V51" i="1"/>
  <c r="W51" i="1"/>
  <c r="X51" i="1"/>
  <c r="Y51" i="1"/>
  <c r="Z51" i="1"/>
  <c r="AA51" i="1"/>
  <c r="AB51" i="1"/>
  <c r="AC51" i="1"/>
  <c r="R52" i="1"/>
  <c r="S52" i="1"/>
  <c r="T52" i="1"/>
  <c r="U52" i="1"/>
  <c r="V52" i="1"/>
  <c r="W52" i="1"/>
  <c r="X52" i="1"/>
  <c r="Y52" i="1"/>
  <c r="Z52" i="1"/>
  <c r="AA52" i="1"/>
  <c r="AB52" i="1"/>
  <c r="AC52" i="1"/>
  <c r="R53" i="1"/>
  <c r="S53" i="1"/>
  <c r="T53" i="1"/>
  <c r="U53" i="1"/>
  <c r="V53" i="1"/>
  <c r="W53" i="1"/>
  <c r="X53" i="1"/>
  <c r="Y53" i="1"/>
  <c r="Z53" i="1"/>
  <c r="AA53" i="1"/>
  <c r="AB53" i="1"/>
  <c r="AC53" i="1"/>
  <c r="R54" i="1"/>
  <c r="S54" i="1"/>
  <c r="T54" i="1"/>
  <c r="U54" i="1"/>
  <c r="V54" i="1"/>
  <c r="W54" i="1"/>
  <c r="X54" i="1"/>
  <c r="Y54" i="1"/>
  <c r="Z54" i="1"/>
  <c r="AA54" i="1"/>
  <c r="AB54" i="1"/>
  <c r="AC54" i="1"/>
  <c r="R59" i="1"/>
  <c r="S59" i="1"/>
  <c r="T59" i="1"/>
  <c r="U59" i="1"/>
  <c r="V59" i="1"/>
  <c r="W59" i="1"/>
  <c r="X59" i="1"/>
  <c r="Y59" i="1"/>
  <c r="Z59" i="1"/>
  <c r="AA59" i="1"/>
  <c r="AB59" i="1"/>
  <c r="AC59" i="1"/>
  <c r="R60" i="1"/>
  <c r="S60" i="1"/>
  <c r="T60" i="1"/>
  <c r="U60" i="1"/>
  <c r="V60" i="1"/>
  <c r="W60" i="1"/>
  <c r="X60" i="1"/>
  <c r="Y60" i="1"/>
  <c r="Z60" i="1"/>
  <c r="AA60" i="1"/>
  <c r="AB60" i="1"/>
  <c r="AC60" i="1"/>
  <c r="R61" i="1"/>
  <c r="S61" i="1"/>
  <c r="T61" i="1"/>
  <c r="U61" i="1"/>
  <c r="V61" i="1"/>
  <c r="W61" i="1"/>
  <c r="X61" i="1"/>
  <c r="Y61" i="1"/>
  <c r="Z61" i="1"/>
  <c r="AA61" i="1"/>
  <c r="AB61" i="1"/>
  <c r="AC61" i="1"/>
  <c r="R62" i="1"/>
  <c r="S62" i="1"/>
  <c r="T62" i="1"/>
  <c r="U62" i="1"/>
  <c r="V62" i="1"/>
  <c r="W62" i="1"/>
  <c r="X62" i="1"/>
  <c r="Y62" i="1"/>
  <c r="Z62" i="1"/>
  <c r="AA62" i="1"/>
  <c r="AB62" i="1"/>
  <c r="AC62" i="1"/>
  <c r="R63" i="1"/>
  <c r="S63" i="1"/>
  <c r="T63" i="1"/>
  <c r="U63" i="1"/>
  <c r="V63" i="1"/>
  <c r="W63" i="1"/>
  <c r="X63" i="1"/>
  <c r="Y63" i="1"/>
  <c r="Z63" i="1"/>
  <c r="AA63" i="1"/>
  <c r="AB63" i="1"/>
  <c r="AC63" i="1"/>
  <c r="R64" i="1"/>
  <c r="S64" i="1"/>
  <c r="T64" i="1"/>
  <c r="U64" i="1"/>
  <c r="V64" i="1"/>
  <c r="W64" i="1"/>
  <c r="X64" i="1"/>
  <c r="Y64" i="1"/>
  <c r="Z64" i="1"/>
  <c r="AA64" i="1"/>
  <c r="AB64" i="1"/>
  <c r="AC64" i="1"/>
  <c r="R65" i="1"/>
  <c r="S65" i="1"/>
  <c r="T65" i="1"/>
  <c r="U65" i="1"/>
  <c r="V65" i="1"/>
  <c r="W65" i="1"/>
  <c r="X65" i="1"/>
  <c r="Y65" i="1"/>
  <c r="Z65" i="1"/>
  <c r="AA65" i="1"/>
  <c r="AB65" i="1"/>
  <c r="AC65" i="1"/>
  <c r="R70" i="1"/>
  <c r="S70" i="1"/>
  <c r="T70" i="1"/>
  <c r="U70" i="1"/>
  <c r="V70" i="1"/>
  <c r="W70" i="1"/>
  <c r="X70" i="1"/>
  <c r="Y70" i="1"/>
  <c r="Z70" i="1"/>
  <c r="AA70" i="1"/>
  <c r="AB70" i="1"/>
  <c r="AC70" i="1"/>
  <c r="R71" i="1"/>
  <c r="S71" i="1"/>
  <c r="T71" i="1"/>
  <c r="U71" i="1"/>
  <c r="V71" i="1"/>
  <c r="W71" i="1"/>
  <c r="X71" i="1"/>
  <c r="Y71" i="1"/>
  <c r="Z71" i="1"/>
  <c r="AA71" i="1"/>
  <c r="AB71" i="1"/>
  <c r="AC71" i="1"/>
  <c r="R72" i="1"/>
  <c r="S72" i="1"/>
  <c r="T72" i="1"/>
  <c r="U72" i="1"/>
  <c r="V72" i="1"/>
  <c r="W72" i="1"/>
  <c r="X72" i="1"/>
  <c r="Y72" i="1"/>
  <c r="Z72" i="1"/>
  <c r="AA72" i="1"/>
  <c r="AB72" i="1"/>
  <c r="AC72" i="1"/>
  <c r="R73" i="1"/>
  <c r="S73" i="1"/>
  <c r="T73" i="1"/>
  <c r="U73" i="1"/>
  <c r="V73" i="1"/>
  <c r="W73" i="1"/>
  <c r="X73" i="1"/>
  <c r="Y73" i="1"/>
  <c r="Z73" i="1"/>
  <c r="AA73" i="1"/>
  <c r="AB73" i="1"/>
  <c r="AC73" i="1"/>
  <c r="R74" i="1"/>
  <c r="S74" i="1"/>
  <c r="T74" i="1"/>
  <c r="U74" i="1"/>
  <c r="V74" i="1"/>
  <c r="W74" i="1"/>
  <c r="X74" i="1"/>
  <c r="Y74" i="1"/>
  <c r="Z74" i="1"/>
  <c r="AA74" i="1"/>
  <c r="AB74" i="1"/>
  <c r="AC74" i="1"/>
  <c r="R75" i="1"/>
  <c r="S75" i="1"/>
  <c r="T75" i="1"/>
  <c r="U75" i="1"/>
  <c r="V75" i="1"/>
  <c r="W75" i="1"/>
  <c r="X75" i="1"/>
  <c r="Y75" i="1"/>
  <c r="Z75" i="1"/>
  <c r="AA75" i="1"/>
  <c r="AB75" i="1"/>
  <c r="AC75" i="1"/>
  <c r="R76" i="1"/>
  <c r="S76" i="1"/>
  <c r="T76" i="1"/>
  <c r="U76" i="1"/>
  <c r="V76" i="1"/>
  <c r="W76" i="1"/>
  <c r="X76" i="1"/>
  <c r="Y76" i="1"/>
  <c r="Z76" i="1"/>
  <c r="AA76" i="1"/>
  <c r="AB76" i="1"/>
  <c r="AC76" i="1"/>
  <c r="AC4" i="1"/>
  <c r="U4" i="1"/>
  <c r="V4" i="1"/>
  <c r="W4" i="1"/>
  <c r="X4" i="1"/>
  <c r="Y4" i="1"/>
  <c r="Z4" i="1"/>
  <c r="AA4" i="1"/>
  <c r="AB4" i="1"/>
  <c r="T4" i="1"/>
  <c r="S4" i="1"/>
  <c r="R4" i="1"/>
</calcChain>
</file>

<file path=xl/sharedStrings.xml><?xml version="1.0" encoding="utf-8"?>
<sst xmlns="http://schemas.openxmlformats.org/spreadsheetml/2006/main" count="201" uniqueCount="26">
  <si>
    <t>T</t>
  </si>
  <si>
    <t>W</t>
  </si>
  <si>
    <t>Z</t>
  </si>
  <si>
    <t>Q</t>
  </si>
  <si>
    <t>AC</t>
  </si>
  <si>
    <t xml:space="preserve">Сумм </t>
  </si>
  <si>
    <t>делт</t>
  </si>
  <si>
    <t>T_start</t>
  </si>
  <si>
    <t>T_Delt</t>
  </si>
  <si>
    <t>T1</t>
  </si>
  <si>
    <t>T2</t>
  </si>
  <si>
    <t>T3</t>
  </si>
  <si>
    <t>T_OF</t>
  </si>
  <si>
    <t>T_Hash_Search</t>
  </si>
  <si>
    <t>T_Hash_Save</t>
  </si>
  <si>
    <t>T_Hash_Total</t>
  </si>
  <si>
    <t>T_Search_agent</t>
  </si>
  <si>
    <t>non CUDA Time</t>
  </si>
  <si>
    <t>1050 Comp</t>
  </si>
  <si>
    <t>1050laptop</t>
  </si>
  <si>
    <t>3060 Laptop</t>
  </si>
  <si>
    <t>3060Comp</t>
  </si>
  <si>
    <t>4060Comp</t>
  </si>
  <si>
    <t>non CUDA</t>
  </si>
  <si>
    <t xml:space="preserve">JETSON </t>
  </si>
  <si>
    <t>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</si>
</sst>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6"/>
  <sheetViews>
    <sheetView tabSelected="1" topLeftCell="J1" workbookViewId="0">
      <pane ySplit="3" topLeftCell="A4" activePane="bottomLeft" state="frozen"/>
      <selection pane="bottomLeft" activeCell="AA1" sqref="Z1:AA1048576"/>
    </sheetView>
  </sheetViews>
  <sheetFormatPr defaultRowHeight="15" x14ac:dyDescent="0.25"/>
  <cols>
    <col min="1" max="1" width="10.5703125" bestFit="1" customWidth="1"/>
    <col min="2" max="2" width="5" bestFit="1" customWidth="1"/>
    <col min="3" max="3" width="14.85546875" bestFit="1" customWidth="1"/>
    <col min="4" max="4" width="8" style="1" bestFit="1" customWidth="1"/>
    <col min="5" max="5" width="9" style="1" bestFit="1" customWidth="1"/>
    <col min="6" max="6" width="10" style="1" bestFit="1" customWidth="1"/>
    <col min="7" max="8" width="12" style="1" bestFit="1" customWidth="1"/>
    <col min="9" max="9" width="11" style="1" bestFit="1" customWidth="1"/>
    <col min="10" max="10" width="14.28515625" style="1" bestFit="1" customWidth="1"/>
    <col min="11" max="11" width="12.42578125" style="1" bestFit="1" customWidth="1"/>
    <col min="12" max="12" width="12.7109375" style="1" bestFit="1" customWidth="1"/>
    <col min="13" max="13" width="15" style="1" bestFit="1" customWidth="1"/>
    <col min="14" max="14" width="12" style="1" bestFit="1" customWidth="1"/>
    <col min="15" max="15" width="10" style="1" bestFit="1" customWidth="1"/>
  </cols>
  <sheetData>
    <row r="1" spans="1:29" x14ac:dyDescent="0.25">
      <c r="A1" t="s">
        <v>18</v>
      </c>
    </row>
    <row r="2" spans="1:29" x14ac:dyDescent="0.25">
      <c r="D2" s="1">
        <v>7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</row>
    <row r="3" spans="1:29" x14ac:dyDescent="0.25">
      <c r="A3">
        <v>23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10</v>
      </c>
      <c r="O3" s="1" t="s">
        <v>10</v>
      </c>
      <c r="R3" s="1" t="s">
        <v>7</v>
      </c>
      <c r="S3" s="1" t="s">
        <v>8</v>
      </c>
      <c r="T3" s="1" t="s">
        <v>9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10</v>
      </c>
      <c r="AC3" s="1" t="s">
        <v>10</v>
      </c>
    </row>
    <row r="4" spans="1:29" x14ac:dyDescent="0.25">
      <c r="A4">
        <v>23</v>
      </c>
      <c r="B4">
        <v>42</v>
      </c>
      <c r="C4" t="s">
        <v>17</v>
      </c>
      <c r="D4" s="1">
        <v>60.001000000000545</v>
      </c>
      <c r="E4" s="1">
        <v>0.15518999999983407</v>
      </c>
      <c r="F4" s="1">
        <v>1.580284000000006</v>
      </c>
      <c r="G4" s="1">
        <v>952.75378000000001</v>
      </c>
      <c r="H4" s="1">
        <v>66.787146000000007</v>
      </c>
      <c r="I4" s="1">
        <v>40.316256000000003</v>
      </c>
      <c r="J4" s="1">
        <v>39.527560000000001</v>
      </c>
      <c r="K4" s="1">
        <v>73.802601999999993</v>
      </c>
      <c r="L4" s="1">
        <v>191.18364199999999</v>
      </c>
      <c r="M4" s="1">
        <v>734.80065400000001</v>
      </c>
      <c r="N4" s="1">
        <f>L4+M4</f>
        <v>925.98429599999997</v>
      </c>
      <c r="O4" s="1">
        <f>N4-G4</f>
        <v>-26.769484000000034</v>
      </c>
      <c r="R4" s="1">
        <f>D4</f>
        <v>60.001000000000545</v>
      </c>
      <c r="S4" s="1">
        <f>E4</f>
        <v>0.15518999999983407</v>
      </c>
      <c r="T4" s="1">
        <f>F4/$B4</f>
        <v>3.7625809523809665E-2</v>
      </c>
      <c r="U4" s="1">
        <f t="shared" ref="U4:AC4" si="0">G4/$B4</f>
        <v>22.68461380952381</v>
      </c>
      <c r="V4" s="1">
        <f t="shared" si="0"/>
        <v>1.5901701428571431</v>
      </c>
      <c r="W4" s="1">
        <f t="shared" si="0"/>
        <v>0.95991085714285718</v>
      </c>
      <c r="X4" s="1">
        <f t="shared" si="0"/>
        <v>0.94113238095238094</v>
      </c>
      <c r="Y4" s="1">
        <f t="shared" si="0"/>
        <v>1.7572048095238093</v>
      </c>
      <c r="Z4" s="1">
        <f t="shared" si="0"/>
        <v>4.5519914761904756</v>
      </c>
      <c r="AA4" s="1">
        <f t="shared" si="0"/>
        <v>17.495253666666667</v>
      </c>
      <c r="AB4" s="1">
        <f t="shared" si="0"/>
        <v>22.047245142857143</v>
      </c>
      <c r="AC4" s="1">
        <f>O4</f>
        <v>-26.769484000000034</v>
      </c>
    </row>
    <row r="5" spans="1:29" x14ac:dyDescent="0.25">
      <c r="A5">
        <v>23</v>
      </c>
      <c r="B5">
        <v>84</v>
      </c>
      <c r="C5" t="s">
        <v>17</v>
      </c>
      <c r="D5" s="1">
        <v>58.304399999999532</v>
      </c>
      <c r="E5" s="1">
        <v>0.13834600000018327</v>
      </c>
      <c r="F5" s="1">
        <v>2.9022300000001451</v>
      </c>
      <c r="G5" s="1">
        <v>1741.7760799999999</v>
      </c>
      <c r="H5" s="1">
        <v>130.62874400000001</v>
      </c>
      <c r="I5" s="1">
        <v>61.360736000000003</v>
      </c>
      <c r="J5" s="1">
        <v>64.297017999999994</v>
      </c>
      <c r="K5" s="1">
        <v>98.042323999999994</v>
      </c>
      <c r="L5" s="1">
        <v>261.10426999999999</v>
      </c>
      <c r="M5" s="1">
        <v>1453.7065419999999</v>
      </c>
      <c r="N5" s="1">
        <f t="shared" ref="N5:N10" si="1">L5+M5</f>
        <v>1714.8108119999999</v>
      </c>
      <c r="O5" s="1">
        <f t="shared" ref="O5:O10" si="2">N5-G5</f>
        <v>-26.965267999999924</v>
      </c>
      <c r="R5" s="1">
        <f t="shared" ref="R5:R68" si="3">D5</f>
        <v>58.304399999999532</v>
      </c>
      <c r="S5" s="1">
        <f t="shared" ref="S5:S68" si="4">E5</f>
        <v>0.13834600000018327</v>
      </c>
      <c r="T5" s="1">
        <f t="shared" ref="T5:T68" si="5">F5/$B5</f>
        <v>3.4550357142858867E-2</v>
      </c>
      <c r="U5" s="1">
        <f t="shared" ref="U5:U68" si="6">G5/$B5</f>
        <v>20.735429523809522</v>
      </c>
      <c r="V5" s="1">
        <f t="shared" ref="V5:V68" si="7">H5/$B5</f>
        <v>1.5551040952380955</v>
      </c>
      <c r="W5" s="1">
        <f t="shared" ref="W5:W68" si="8">I5/$B5</f>
        <v>0.73048495238095246</v>
      </c>
      <c r="X5" s="1">
        <f t="shared" ref="X5:X68" si="9">J5/$B5</f>
        <v>0.76544069047619046</v>
      </c>
      <c r="Y5" s="1">
        <f t="shared" ref="Y5:Y68" si="10">K5/$B5</f>
        <v>1.1671705238095238</v>
      </c>
      <c r="Z5" s="1">
        <f t="shared" ref="Z5:Z68" si="11">L5/$B5</f>
        <v>3.1083841666666663</v>
      </c>
      <c r="AA5" s="1">
        <f t="shared" ref="AA5:AA68" si="12">M5/$B5</f>
        <v>17.306030261904759</v>
      </c>
      <c r="AB5" s="1">
        <f t="shared" ref="AB5:AB68" si="13">N5/$B5</f>
        <v>20.414414428571426</v>
      </c>
      <c r="AC5" s="1">
        <f t="shared" ref="AC5:AC68" si="14">O5</f>
        <v>-26.965267999999924</v>
      </c>
    </row>
    <row r="6" spans="1:29" x14ac:dyDescent="0.25">
      <c r="A6">
        <v>23</v>
      </c>
      <c r="B6">
        <v>168</v>
      </c>
      <c r="C6" t="s">
        <v>17</v>
      </c>
      <c r="D6" s="1">
        <v>65.618200000000343</v>
      </c>
      <c r="E6" s="1">
        <v>0.20190000000093278</v>
      </c>
      <c r="F6" s="1">
        <v>5.584175999999843</v>
      </c>
      <c r="G6" s="1">
        <v>3321.4457040000002</v>
      </c>
      <c r="H6" s="1">
        <v>278.78861999999998</v>
      </c>
      <c r="I6" s="1">
        <v>104.767326</v>
      </c>
      <c r="J6" s="1">
        <v>119.00321</v>
      </c>
      <c r="K6" s="1">
        <v>153.630628</v>
      </c>
      <c r="L6" s="1">
        <v>415.22172799999998</v>
      </c>
      <c r="M6" s="1">
        <v>2877.3464520000002</v>
      </c>
      <c r="N6" s="1">
        <f t="shared" si="1"/>
        <v>3292.5681800000002</v>
      </c>
      <c r="O6" s="1">
        <f t="shared" si="2"/>
        <v>-28.877523999999994</v>
      </c>
      <c r="R6" s="1">
        <f t="shared" si="3"/>
        <v>65.618200000000343</v>
      </c>
      <c r="S6" s="1">
        <f t="shared" si="4"/>
        <v>0.20190000000093278</v>
      </c>
      <c r="T6" s="1">
        <f t="shared" si="5"/>
        <v>3.3239142857141926E-2</v>
      </c>
      <c r="U6" s="1">
        <f t="shared" si="6"/>
        <v>19.770510142857145</v>
      </c>
      <c r="V6" s="1">
        <f t="shared" si="7"/>
        <v>1.6594560714285713</v>
      </c>
      <c r="W6" s="1">
        <f t="shared" si="8"/>
        <v>0.62361503571428567</v>
      </c>
      <c r="X6" s="1">
        <f t="shared" si="9"/>
        <v>0.7083524404761905</v>
      </c>
      <c r="Y6" s="1">
        <f t="shared" si="10"/>
        <v>0.91446802380952386</v>
      </c>
      <c r="Z6" s="1">
        <f t="shared" si="11"/>
        <v>2.4715579047619047</v>
      </c>
      <c r="AA6" s="1">
        <f t="shared" si="12"/>
        <v>17.127062214285715</v>
      </c>
      <c r="AB6" s="1">
        <f t="shared" si="13"/>
        <v>19.59862011904762</v>
      </c>
      <c r="AC6" s="1">
        <f t="shared" si="14"/>
        <v>-28.877523999999994</v>
      </c>
    </row>
    <row r="7" spans="1:29" x14ac:dyDescent="0.25">
      <c r="A7">
        <v>23</v>
      </c>
      <c r="B7">
        <v>336</v>
      </c>
      <c r="C7" t="s">
        <v>17</v>
      </c>
      <c r="D7" s="1">
        <v>63.377599999998893</v>
      </c>
      <c r="E7" s="1">
        <v>0.15182400000048801</v>
      </c>
      <c r="F7" s="1">
        <v>10.996934000000692</v>
      </c>
      <c r="G7" s="1">
        <v>6483.5814119999995</v>
      </c>
      <c r="H7" s="1">
        <v>611.71362999999997</v>
      </c>
      <c r="I7" s="1">
        <v>188.92646400000001</v>
      </c>
      <c r="J7" s="1">
        <v>227.96275399999999</v>
      </c>
      <c r="K7" s="1">
        <v>258.92385200000001</v>
      </c>
      <c r="L7" s="1">
        <v>712.79357200000004</v>
      </c>
      <c r="M7" s="1">
        <v>5742.7535340000004</v>
      </c>
      <c r="N7" s="1">
        <f t="shared" si="1"/>
        <v>6455.547106</v>
      </c>
      <c r="O7" s="1">
        <f t="shared" si="2"/>
        <v>-28.03430599999956</v>
      </c>
      <c r="R7" s="1">
        <f t="shared" si="3"/>
        <v>63.377599999998893</v>
      </c>
      <c r="S7" s="1">
        <f t="shared" si="4"/>
        <v>0.15182400000048801</v>
      </c>
      <c r="T7" s="1">
        <f t="shared" si="5"/>
        <v>3.2728970238097302E-2</v>
      </c>
      <c r="U7" s="1">
        <f t="shared" si="6"/>
        <v>19.296373249999998</v>
      </c>
      <c r="V7" s="1">
        <f t="shared" si="7"/>
        <v>1.8205762797619047</v>
      </c>
      <c r="W7" s="1">
        <f t="shared" si="8"/>
        <v>0.56228114285714292</v>
      </c>
      <c r="X7" s="1">
        <f t="shared" si="9"/>
        <v>0.67846057738095233</v>
      </c>
      <c r="Y7" s="1">
        <f t="shared" si="10"/>
        <v>0.77060670238095241</v>
      </c>
      <c r="Z7" s="1">
        <f t="shared" si="11"/>
        <v>2.1214094404761905</v>
      </c>
      <c r="AA7" s="1">
        <f t="shared" si="12"/>
        <v>17.091528375000003</v>
      </c>
      <c r="AB7" s="1">
        <f t="shared" si="13"/>
        <v>19.212937815476192</v>
      </c>
      <c r="AC7" s="1">
        <f t="shared" si="14"/>
        <v>-28.03430599999956</v>
      </c>
    </row>
    <row r="8" spans="1:29" x14ac:dyDescent="0.25">
      <c r="A8">
        <v>23</v>
      </c>
      <c r="B8">
        <v>672</v>
      </c>
      <c r="C8" t="s">
        <v>17</v>
      </c>
      <c r="D8" s="1">
        <v>67.327999999995882</v>
      </c>
      <c r="E8" s="1">
        <v>0.39145200000166369</v>
      </c>
      <c r="F8" s="1">
        <v>22.402325999999448</v>
      </c>
      <c r="G8" s="1">
        <v>12935.732378000001</v>
      </c>
      <c r="H8" s="1">
        <v>1397.2818440000001</v>
      </c>
      <c r="I8" s="1">
        <v>369.761976</v>
      </c>
      <c r="J8" s="1">
        <v>451.984194</v>
      </c>
      <c r="K8" s="1">
        <v>480.48549000000003</v>
      </c>
      <c r="L8" s="1">
        <v>1342.005928</v>
      </c>
      <c r="M8" s="1">
        <v>11558.756445999999</v>
      </c>
      <c r="N8" s="1">
        <f t="shared" si="1"/>
        <v>12900.762374</v>
      </c>
      <c r="O8" s="1">
        <f t="shared" si="2"/>
        <v>-34.970004000000699</v>
      </c>
      <c r="R8" s="1">
        <f t="shared" si="3"/>
        <v>67.327999999995882</v>
      </c>
      <c r="S8" s="1">
        <f t="shared" si="4"/>
        <v>0.39145200000166369</v>
      </c>
      <c r="T8" s="1">
        <f t="shared" si="5"/>
        <v>3.333679464285632E-2</v>
      </c>
      <c r="U8" s="1">
        <f t="shared" si="6"/>
        <v>19.24960175297619</v>
      </c>
      <c r="V8" s="1">
        <f t="shared" si="7"/>
        <v>2.0792884583333335</v>
      </c>
      <c r="W8" s="1">
        <f t="shared" si="8"/>
        <v>0.55024103571428573</v>
      </c>
      <c r="X8" s="1">
        <f t="shared" si="9"/>
        <v>0.67259552678571433</v>
      </c>
      <c r="Y8" s="1">
        <f t="shared" si="10"/>
        <v>0.71500816964285718</v>
      </c>
      <c r="Z8" s="1">
        <f t="shared" si="11"/>
        <v>1.9970326309523809</v>
      </c>
      <c r="AA8" s="1">
        <f t="shared" si="12"/>
        <v>17.200530425595236</v>
      </c>
      <c r="AB8" s="1">
        <f t="shared" si="13"/>
        <v>19.197563056547619</v>
      </c>
      <c r="AC8" s="1">
        <f t="shared" si="14"/>
        <v>-34.970004000000699</v>
      </c>
    </row>
    <row r="9" spans="1:29" x14ac:dyDescent="0.25">
      <c r="A9">
        <v>23</v>
      </c>
      <c r="B9">
        <v>1344</v>
      </c>
      <c r="C9" t="s">
        <v>17</v>
      </c>
      <c r="D9" s="1">
        <v>72.224000000005617</v>
      </c>
      <c r="E9" s="1">
        <v>0.3583639999924344</v>
      </c>
      <c r="F9" s="1">
        <v>44.097037999999884</v>
      </c>
      <c r="G9" s="1">
        <v>25212.828962</v>
      </c>
      <c r="H9" s="1">
        <v>2586.5936360000001</v>
      </c>
      <c r="I9" s="1">
        <v>545.04643999999996</v>
      </c>
      <c r="J9" s="1">
        <v>678.18959199999995</v>
      </c>
      <c r="K9" s="1">
        <v>899.07742800000005</v>
      </c>
      <c r="L9" s="1">
        <v>2159.88859</v>
      </c>
      <c r="M9" s="1">
        <v>23015.608521999999</v>
      </c>
      <c r="N9" s="1">
        <f t="shared" si="1"/>
        <v>25175.497111999997</v>
      </c>
      <c r="O9" s="1">
        <f t="shared" si="2"/>
        <v>-37.331850000002305</v>
      </c>
      <c r="R9" s="1">
        <f t="shared" si="3"/>
        <v>72.224000000005617</v>
      </c>
      <c r="S9" s="1">
        <f t="shared" si="4"/>
        <v>0.3583639999924344</v>
      </c>
      <c r="T9" s="1">
        <f t="shared" si="5"/>
        <v>3.2810296130952293E-2</v>
      </c>
      <c r="U9" s="1">
        <f t="shared" si="6"/>
        <v>18.759545358630952</v>
      </c>
      <c r="V9" s="1">
        <f t="shared" si="7"/>
        <v>1.9245488363095238</v>
      </c>
      <c r="W9" s="1">
        <f t="shared" si="8"/>
        <v>0.40554050595238095</v>
      </c>
      <c r="X9" s="1">
        <f t="shared" si="9"/>
        <v>0.50460535119047611</v>
      </c>
      <c r="Y9" s="1">
        <f t="shared" si="10"/>
        <v>0.66895641964285724</v>
      </c>
      <c r="Z9" s="1">
        <f t="shared" si="11"/>
        <v>1.607059962797619</v>
      </c>
      <c r="AA9" s="1">
        <f t="shared" si="12"/>
        <v>17.12470872172619</v>
      </c>
      <c r="AB9" s="1">
        <f t="shared" si="13"/>
        <v>18.731768684523807</v>
      </c>
      <c r="AC9" s="1">
        <f t="shared" si="14"/>
        <v>-37.331850000002305</v>
      </c>
    </row>
    <row r="10" spans="1:29" x14ac:dyDescent="0.25">
      <c r="A10">
        <v>23</v>
      </c>
      <c r="B10">
        <v>2688</v>
      </c>
      <c r="C10" t="s">
        <v>17</v>
      </c>
      <c r="D10" s="1">
        <v>91.414000000004307</v>
      </c>
      <c r="E10" s="1">
        <v>0.43643999999767402</v>
      </c>
      <c r="F10" s="1">
        <v>89.569636000000173</v>
      </c>
      <c r="G10" s="1">
        <v>49636.453741999998</v>
      </c>
      <c r="H10" s="1">
        <v>5208.1381819999997</v>
      </c>
      <c r="I10" s="1">
        <v>611.79918199999997</v>
      </c>
      <c r="J10" s="1">
        <v>721.36819200000002</v>
      </c>
      <c r="K10" s="1">
        <v>1748.022074</v>
      </c>
      <c r="L10" s="1">
        <v>3119.0770339999999</v>
      </c>
      <c r="M10" s="1">
        <v>46468.007566</v>
      </c>
      <c r="N10" s="1">
        <f t="shared" si="1"/>
        <v>49587.084600000002</v>
      </c>
      <c r="O10" s="1">
        <f t="shared" si="2"/>
        <v>-49.369141999995918</v>
      </c>
      <c r="R10" s="1">
        <f t="shared" si="3"/>
        <v>91.414000000004307</v>
      </c>
      <c r="S10" s="1">
        <f t="shared" si="4"/>
        <v>0.43643999999767402</v>
      </c>
      <c r="T10" s="1">
        <f t="shared" si="5"/>
        <v>3.3322037202381014E-2</v>
      </c>
      <c r="U10" s="1">
        <f t="shared" si="6"/>
        <v>18.465942612351189</v>
      </c>
      <c r="V10" s="1">
        <f t="shared" si="7"/>
        <v>1.9375514069940476</v>
      </c>
      <c r="W10" s="1">
        <f t="shared" si="8"/>
        <v>0.22760386235119046</v>
      </c>
      <c r="X10" s="1">
        <f t="shared" si="9"/>
        <v>0.26836614285714289</v>
      </c>
      <c r="Y10" s="1">
        <f t="shared" si="10"/>
        <v>0.65030583110119045</v>
      </c>
      <c r="Z10" s="1">
        <f t="shared" si="11"/>
        <v>1.1603709203869048</v>
      </c>
      <c r="AA10" s="1">
        <f t="shared" si="12"/>
        <v>17.287205195684525</v>
      </c>
      <c r="AB10" s="1">
        <f t="shared" si="13"/>
        <v>18.447576116071428</v>
      </c>
      <c r="AC10" s="1">
        <f t="shared" si="14"/>
        <v>-49.369141999995918</v>
      </c>
    </row>
    <row r="11" spans="1:29" x14ac:dyDescent="0.25"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t="s">
        <v>19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D13" s="1">
        <v>7</v>
      </c>
      <c r="I13" s="1" t="s">
        <v>0</v>
      </c>
      <c r="J13" s="1" t="s">
        <v>1</v>
      </c>
      <c r="K13" s="1" t="s">
        <v>2</v>
      </c>
      <c r="L13" s="1" t="s">
        <v>3</v>
      </c>
      <c r="M13" s="1" t="s">
        <v>4</v>
      </c>
      <c r="N13" s="1" t="s">
        <v>5</v>
      </c>
      <c r="O13" s="1" t="s">
        <v>6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>
        <v>23</v>
      </c>
      <c r="D14" s="1" t="s">
        <v>7</v>
      </c>
      <c r="E14" s="1" t="s">
        <v>8</v>
      </c>
      <c r="F14" s="1" t="s">
        <v>9</v>
      </c>
      <c r="G14" s="1" t="s">
        <v>10</v>
      </c>
      <c r="H14" s="1" t="s">
        <v>11</v>
      </c>
      <c r="I14" s="1" t="s">
        <v>12</v>
      </c>
      <c r="J14" s="1" t="s">
        <v>13</v>
      </c>
      <c r="K14" s="1" t="s">
        <v>14</v>
      </c>
      <c r="L14" s="1" t="s">
        <v>15</v>
      </c>
      <c r="M14" s="1" t="s">
        <v>16</v>
      </c>
      <c r="N14" s="1" t="s">
        <v>10</v>
      </c>
      <c r="O14" s="1" t="s">
        <v>10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>
        <v>23</v>
      </c>
      <c r="B15">
        <v>42</v>
      </c>
      <c r="C15" t="s">
        <v>17</v>
      </c>
      <c r="D15" s="1">
        <v>70.426400000000058</v>
      </c>
      <c r="E15" s="1">
        <v>0.11702999999999975</v>
      </c>
      <c r="F15" s="1">
        <v>1.4789339999999811</v>
      </c>
      <c r="G15" s="1">
        <v>946.72584800000004</v>
      </c>
      <c r="H15" s="1">
        <v>64.616587999999993</v>
      </c>
      <c r="I15" s="1">
        <v>39.849879999999999</v>
      </c>
      <c r="J15" s="1">
        <v>38.663519999999998</v>
      </c>
      <c r="K15" s="1">
        <v>67.166088000000002</v>
      </c>
      <c r="L15" s="1">
        <v>188.49303800000001</v>
      </c>
      <c r="M15" s="1">
        <v>727.96997199999998</v>
      </c>
      <c r="N15" s="1">
        <f>L15+M15</f>
        <v>916.46300999999994</v>
      </c>
      <c r="O15" s="1">
        <f>N15-G15</f>
        <v>-30.262838000000102</v>
      </c>
      <c r="R15" s="1">
        <f t="shared" si="3"/>
        <v>70.426400000000058</v>
      </c>
      <c r="S15" s="1">
        <f t="shared" si="4"/>
        <v>0.11702999999999975</v>
      </c>
      <c r="T15" s="1">
        <f t="shared" si="5"/>
        <v>3.5212714285713834E-2</v>
      </c>
      <c r="U15" s="1">
        <f t="shared" si="6"/>
        <v>22.54109161904762</v>
      </c>
      <c r="V15" s="1">
        <f t="shared" si="7"/>
        <v>1.5384901904761903</v>
      </c>
      <c r="W15" s="1">
        <f t="shared" si="8"/>
        <v>0.94880666666666669</v>
      </c>
      <c r="X15" s="1">
        <f t="shared" si="9"/>
        <v>0.92055999999999993</v>
      </c>
      <c r="Y15" s="1">
        <f t="shared" si="10"/>
        <v>1.5991925714285715</v>
      </c>
      <c r="Z15" s="1">
        <f t="shared" si="11"/>
        <v>4.4879294761904767</v>
      </c>
      <c r="AA15" s="1">
        <f t="shared" si="12"/>
        <v>17.332618380952379</v>
      </c>
      <c r="AB15" s="1">
        <f t="shared" si="13"/>
        <v>21.820547857142856</v>
      </c>
      <c r="AC15" s="1">
        <f t="shared" si="14"/>
        <v>-30.262838000000102</v>
      </c>
    </row>
    <row r="16" spans="1:29" x14ac:dyDescent="0.25">
      <c r="A16">
        <v>23</v>
      </c>
      <c r="B16">
        <v>84</v>
      </c>
      <c r="C16" t="s">
        <v>17</v>
      </c>
      <c r="D16" s="1">
        <v>73.620199999999386</v>
      </c>
      <c r="E16" s="1">
        <v>0.13009000000010928</v>
      </c>
      <c r="F16" s="1">
        <v>2.8216059999999743</v>
      </c>
      <c r="G16" s="1">
        <v>1726.2360880000001</v>
      </c>
      <c r="H16" s="1">
        <v>126.931416</v>
      </c>
      <c r="I16" s="1">
        <v>61.064281999999999</v>
      </c>
      <c r="J16" s="1">
        <v>64.001406000000003</v>
      </c>
      <c r="K16" s="1">
        <v>95.363994000000005</v>
      </c>
      <c r="L16" s="1">
        <v>262.77005000000003</v>
      </c>
      <c r="M16" s="1">
        <v>1432.987484</v>
      </c>
      <c r="N16" s="1">
        <f t="shared" ref="N16:N21" si="15">L16+M16</f>
        <v>1695.7575340000001</v>
      </c>
      <c r="O16" s="1">
        <f t="shared" ref="O16:O21" si="16">N16-G16</f>
        <v>-30.478554000000031</v>
      </c>
      <c r="R16" s="1">
        <f t="shared" si="3"/>
        <v>73.620199999999386</v>
      </c>
      <c r="S16" s="1">
        <f t="shared" si="4"/>
        <v>0.13009000000010928</v>
      </c>
      <c r="T16" s="1">
        <f t="shared" si="5"/>
        <v>3.3590547619047312E-2</v>
      </c>
      <c r="U16" s="1">
        <f t="shared" si="6"/>
        <v>20.55042961904762</v>
      </c>
      <c r="V16" s="1">
        <f t="shared" si="7"/>
        <v>1.5110882857142858</v>
      </c>
      <c r="W16" s="1">
        <f t="shared" si="8"/>
        <v>0.72695573809523806</v>
      </c>
      <c r="X16" s="1">
        <f t="shared" si="9"/>
        <v>0.76192150000000003</v>
      </c>
      <c r="Y16" s="1">
        <f t="shared" si="10"/>
        <v>1.135285642857143</v>
      </c>
      <c r="Z16" s="1">
        <f t="shared" si="11"/>
        <v>3.1282148809523811</v>
      </c>
      <c r="AA16" s="1">
        <f t="shared" si="12"/>
        <v>17.05937480952381</v>
      </c>
      <c r="AB16" s="1">
        <f t="shared" si="13"/>
        <v>20.187589690476191</v>
      </c>
      <c r="AC16" s="1">
        <f t="shared" si="14"/>
        <v>-30.478554000000031</v>
      </c>
    </row>
    <row r="17" spans="1:29" x14ac:dyDescent="0.25">
      <c r="A17">
        <v>23</v>
      </c>
      <c r="B17">
        <v>168</v>
      </c>
      <c r="C17" t="s">
        <v>17</v>
      </c>
      <c r="D17" s="1">
        <v>72.497000000000753</v>
      </c>
      <c r="E17" s="1">
        <v>0.14771599999949103</v>
      </c>
      <c r="F17" s="1">
        <v>5.5784100000000763</v>
      </c>
      <c r="G17" s="1">
        <v>3315.8175739999997</v>
      </c>
      <c r="H17" s="1">
        <v>272.89150000000001</v>
      </c>
      <c r="I17" s="1">
        <v>106.117908</v>
      </c>
      <c r="J17" s="1">
        <v>118.209036</v>
      </c>
      <c r="K17" s="1">
        <v>152.73363800000001</v>
      </c>
      <c r="L17" s="1">
        <v>420.49224199999998</v>
      </c>
      <c r="M17" s="1">
        <v>2862.7320880000002</v>
      </c>
      <c r="N17" s="1">
        <f t="shared" si="15"/>
        <v>3283.22433</v>
      </c>
      <c r="O17" s="1">
        <f t="shared" si="16"/>
        <v>-32.593243999999686</v>
      </c>
      <c r="R17" s="1">
        <f t="shared" si="3"/>
        <v>72.497000000000753</v>
      </c>
      <c r="S17" s="1">
        <f t="shared" si="4"/>
        <v>0.14771599999949103</v>
      </c>
      <c r="T17" s="1">
        <f t="shared" si="5"/>
        <v>3.3204821428571882E-2</v>
      </c>
      <c r="U17" s="1">
        <f t="shared" si="6"/>
        <v>19.737009369047616</v>
      </c>
      <c r="V17" s="1">
        <f t="shared" si="7"/>
        <v>1.6243541666666668</v>
      </c>
      <c r="W17" s="1">
        <f t="shared" si="8"/>
        <v>0.63165421428571433</v>
      </c>
      <c r="X17" s="1">
        <f t="shared" si="9"/>
        <v>0.70362521428571423</v>
      </c>
      <c r="Y17" s="1">
        <f t="shared" si="10"/>
        <v>0.90912879761904775</v>
      </c>
      <c r="Z17" s="1">
        <f t="shared" si="11"/>
        <v>2.5029300119047617</v>
      </c>
      <c r="AA17" s="1">
        <f t="shared" si="12"/>
        <v>17.040071952380952</v>
      </c>
      <c r="AB17" s="1">
        <f t="shared" si="13"/>
        <v>19.543001964285715</v>
      </c>
      <c r="AC17" s="1">
        <f t="shared" si="14"/>
        <v>-32.593243999999686</v>
      </c>
    </row>
    <row r="18" spans="1:29" x14ac:dyDescent="0.25">
      <c r="A18">
        <v>23</v>
      </c>
      <c r="B18">
        <v>336</v>
      </c>
      <c r="C18" t="s">
        <v>17</v>
      </c>
      <c r="D18" s="1">
        <v>77.92819999999665</v>
      </c>
      <c r="E18" s="1">
        <v>0.21151999999983673</v>
      </c>
      <c r="F18" s="1">
        <v>11.10467399999925</v>
      </c>
      <c r="G18" s="1">
        <v>6479.7578000000003</v>
      </c>
      <c r="H18" s="1">
        <v>607.86280599999998</v>
      </c>
      <c r="I18" s="1">
        <v>193.84560999999999</v>
      </c>
      <c r="J18" s="1">
        <v>227.01300000000001</v>
      </c>
      <c r="K18" s="1">
        <v>262.62037800000002</v>
      </c>
      <c r="L18" s="1">
        <v>727.34407799999997</v>
      </c>
      <c r="M18" s="1">
        <v>5718.3523619999996</v>
      </c>
      <c r="N18" s="1">
        <f t="shared" si="15"/>
        <v>6445.6964399999997</v>
      </c>
      <c r="O18" s="1">
        <f t="shared" si="16"/>
        <v>-34.061360000000604</v>
      </c>
      <c r="R18" s="1">
        <f t="shared" si="3"/>
        <v>77.92819999999665</v>
      </c>
      <c r="S18" s="1">
        <f t="shared" si="4"/>
        <v>0.21151999999983673</v>
      </c>
      <c r="T18" s="1">
        <f t="shared" si="5"/>
        <v>3.3049624999997765E-2</v>
      </c>
      <c r="U18" s="1">
        <f t="shared" si="6"/>
        <v>19.284993452380952</v>
      </c>
      <c r="V18" s="1">
        <f t="shared" si="7"/>
        <v>1.8091154940476191</v>
      </c>
      <c r="W18" s="1">
        <f t="shared" si="8"/>
        <v>0.5769214583333333</v>
      </c>
      <c r="X18" s="1">
        <f t="shared" si="9"/>
        <v>0.67563392857142857</v>
      </c>
      <c r="Y18" s="1">
        <f t="shared" si="10"/>
        <v>0.78160826785714288</v>
      </c>
      <c r="Z18" s="1">
        <f t="shared" si="11"/>
        <v>2.164714517857143</v>
      </c>
      <c r="AA18" s="1">
        <f t="shared" si="12"/>
        <v>17.018905839285715</v>
      </c>
      <c r="AB18" s="1">
        <f t="shared" si="13"/>
        <v>19.183620357142857</v>
      </c>
      <c r="AC18" s="1">
        <f t="shared" si="14"/>
        <v>-34.061360000000604</v>
      </c>
    </row>
    <row r="19" spans="1:29" x14ac:dyDescent="0.25">
      <c r="A19">
        <v>23</v>
      </c>
      <c r="B19">
        <v>672</v>
      </c>
      <c r="C19" t="s">
        <v>17</v>
      </c>
      <c r="D19" s="1">
        <v>86.474000000001979</v>
      </c>
      <c r="E19" s="1">
        <v>0.26035799999954179</v>
      </c>
      <c r="F19" s="1">
        <v>23.638965999998618</v>
      </c>
      <c r="G19" s="1">
        <v>12607.328936000002</v>
      </c>
      <c r="H19" s="1">
        <v>1360.3377399999999</v>
      </c>
      <c r="I19" s="1">
        <v>365.56113800000003</v>
      </c>
      <c r="J19" s="1">
        <v>446.97172599999999</v>
      </c>
      <c r="K19" s="1">
        <v>477.09374200000002</v>
      </c>
      <c r="L19" s="1">
        <v>1333.736408</v>
      </c>
      <c r="M19" s="1">
        <v>11238.506665999999</v>
      </c>
      <c r="N19" s="1">
        <f t="shared" si="15"/>
        <v>12572.243074</v>
      </c>
      <c r="O19" s="1">
        <f t="shared" si="16"/>
        <v>-35.085862000001725</v>
      </c>
      <c r="R19" s="1">
        <f t="shared" si="3"/>
        <v>86.474000000001979</v>
      </c>
      <c r="S19" s="1">
        <f t="shared" si="4"/>
        <v>0.26035799999954179</v>
      </c>
      <c r="T19" s="1">
        <f t="shared" si="5"/>
        <v>3.5177032738093181E-2</v>
      </c>
      <c r="U19" s="1">
        <f t="shared" si="6"/>
        <v>18.760906154761908</v>
      </c>
      <c r="V19" s="1">
        <f t="shared" si="7"/>
        <v>2.0243121130952382</v>
      </c>
      <c r="W19" s="1">
        <f t="shared" si="8"/>
        <v>0.54398978869047621</v>
      </c>
      <c r="X19" s="1">
        <f t="shared" si="9"/>
        <v>0.6651364970238095</v>
      </c>
      <c r="Y19" s="1">
        <f t="shared" si="10"/>
        <v>0.70996092559523816</v>
      </c>
      <c r="Z19" s="1">
        <f t="shared" si="11"/>
        <v>1.9847267976190477</v>
      </c>
      <c r="AA19" s="1">
        <f t="shared" si="12"/>
        <v>16.723968252976189</v>
      </c>
      <c r="AB19" s="1">
        <f t="shared" si="13"/>
        <v>18.708695050595239</v>
      </c>
      <c r="AC19" s="1">
        <f t="shared" si="14"/>
        <v>-35.085862000001725</v>
      </c>
    </row>
    <row r="20" spans="1:29" x14ac:dyDescent="0.25">
      <c r="A20">
        <v>23</v>
      </c>
      <c r="B20">
        <v>1344</v>
      </c>
      <c r="C20" t="s">
        <v>17</v>
      </c>
      <c r="D20" s="1">
        <v>94.986000000004424</v>
      </c>
      <c r="E20" s="1">
        <v>0.33741599999484606</v>
      </c>
      <c r="F20" s="1">
        <v>44.039071999999578</v>
      </c>
      <c r="G20" s="1">
        <v>24611.509193999998</v>
      </c>
      <c r="H20" s="1">
        <v>2652.1783180000002</v>
      </c>
      <c r="I20" s="1">
        <v>549.11831400000005</v>
      </c>
      <c r="J20" s="1">
        <v>680.76988600000004</v>
      </c>
      <c r="K20" s="1">
        <v>894.02109800000005</v>
      </c>
      <c r="L20" s="1">
        <v>2166.3102779999999</v>
      </c>
      <c r="M20" s="1">
        <v>22407.40194</v>
      </c>
      <c r="N20" s="1">
        <f t="shared" si="15"/>
        <v>24573.712218000001</v>
      </c>
      <c r="O20" s="1">
        <f t="shared" si="16"/>
        <v>-37.796975999997812</v>
      </c>
      <c r="R20" s="1">
        <f t="shared" si="3"/>
        <v>94.986000000004424</v>
      </c>
      <c r="S20" s="1">
        <f t="shared" si="4"/>
        <v>0.33741599999484606</v>
      </c>
      <c r="T20" s="1">
        <f t="shared" si="5"/>
        <v>3.2767166666666354E-2</v>
      </c>
      <c r="U20" s="1">
        <f t="shared" si="6"/>
        <v>18.312134816964285</v>
      </c>
      <c r="V20" s="1">
        <f t="shared" si="7"/>
        <v>1.9733469627976192</v>
      </c>
      <c r="W20" s="1">
        <f t="shared" si="8"/>
        <v>0.40857017410714291</v>
      </c>
      <c r="X20" s="1">
        <f t="shared" si="9"/>
        <v>0.50652521279761908</v>
      </c>
      <c r="Y20" s="1">
        <f t="shared" si="10"/>
        <v>0.66519426934523818</v>
      </c>
      <c r="Z20" s="1">
        <f t="shared" si="11"/>
        <v>1.6118380044642857</v>
      </c>
      <c r="AA20" s="1">
        <f t="shared" si="12"/>
        <v>16.672174062499998</v>
      </c>
      <c r="AB20" s="1">
        <f t="shared" si="13"/>
        <v>18.284012066964287</v>
      </c>
      <c r="AC20" s="1">
        <f t="shared" si="14"/>
        <v>-37.796975999997812</v>
      </c>
    </row>
    <row r="21" spans="1:29" x14ac:dyDescent="0.25">
      <c r="A21">
        <v>23</v>
      </c>
      <c r="B21">
        <v>2688</v>
      </c>
      <c r="C21" t="s">
        <v>17</v>
      </c>
      <c r="D21" s="1">
        <v>114.22600000000966</v>
      </c>
      <c r="E21" s="1">
        <v>0.55214399997930741</v>
      </c>
      <c r="F21" s="1">
        <v>88.423801999997522</v>
      </c>
      <c r="G21" s="1">
        <v>48099.333948</v>
      </c>
      <c r="H21" s="1">
        <v>5183.8621059999996</v>
      </c>
      <c r="I21" s="1">
        <v>607.68493999999998</v>
      </c>
      <c r="J21" s="1">
        <v>715.32997799999998</v>
      </c>
      <c r="K21" s="1">
        <v>1730.1910620000001</v>
      </c>
      <c r="L21" s="1">
        <v>3093.605736</v>
      </c>
      <c r="M21" s="1">
        <v>44962.134151999999</v>
      </c>
      <c r="N21" s="1">
        <f t="shared" si="15"/>
        <v>48055.739887999996</v>
      </c>
      <c r="O21" s="1">
        <f t="shared" si="16"/>
        <v>-43.594060000003083</v>
      </c>
      <c r="R21" s="1">
        <f t="shared" si="3"/>
        <v>114.22600000000966</v>
      </c>
      <c r="S21" s="1">
        <f t="shared" si="4"/>
        <v>0.55214399997930741</v>
      </c>
      <c r="T21" s="1">
        <f t="shared" si="5"/>
        <v>3.2895759672618125E-2</v>
      </c>
      <c r="U21" s="1">
        <f t="shared" si="6"/>
        <v>17.894097450892858</v>
      </c>
      <c r="V21" s="1">
        <f t="shared" si="7"/>
        <v>1.928520128720238</v>
      </c>
      <c r="W21" s="1">
        <f t="shared" si="8"/>
        <v>0.22607326636904762</v>
      </c>
      <c r="X21" s="1">
        <f t="shared" si="9"/>
        <v>0.26611978348214282</v>
      </c>
      <c r="Y21" s="1">
        <f t="shared" si="10"/>
        <v>0.64367227008928574</v>
      </c>
      <c r="Z21" s="1">
        <f t="shared" si="11"/>
        <v>1.1508949910714286</v>
      </c>
      <c r="AA21" s="1">
        <f t="shared" si="12"/>
        <v>16.726984431547617</v>
      </c>
      <c r="AB21" s="1">
        <f t="shared" si="13"/>
        <v>17.877879422619046</v>
      </c>
      <c r="AC21" s="1">
        <f t="shared" si="14"/>
        <v>-43.594060000003083</v>
      </c>
    </row>
    <row r="22" spans="1:29" x14ac:dyDescent="0.25"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t="s">
        <v>20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D24" s="1">
        <v>7</v>
      </c>
      <c r="I24" s="1" t="s">
        <v>0</v>
      </c>
      <c r="J24" s="1" t="s">
        <v>1</v>
      </c>
      <c r="K24" s="1" t="s">
        <v>2</v>
      </c>
      <c r="L24" s="1" t="s">
        <v>3</v>
      </c>
      <c r="M24" s="1" t="s">
        <v>4</v>
      </c>
      <c r="N24" s="1" t="s">
        <v>5</v>
      </c>
      <c r="O24" s="1" t="s">
        <v>6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>
        <v>17</v>
      </c>
      <c r="D25" s="1" t="s">
        <v>7</v>
      </c>
      <c r="E25" s="1" t="s">
        <v>8</v>
      </c>
      <c r="F25" s="1" t="s">
        <v>9</v>
      </c>
      <c r="G25" s="1" t="s">
        <v>10</v>
      </c>
      <c r="H25" s="1" t="s">
        <v>11</v>
      </c>
      <c r="I25" s="1" t="s">
        <v>12</v>
      </c>
      <c r="J25" s="1" t="s">
        <v>13</v>
      </c>
      <c r="K25" s="1" t="s">
        <v>14</v>
      </c>
      <c r="L25" s="1" t="s">
        <v>15</v>
      </c>
      <c r="M25" s="1" t="s">
        <v>16</v>
      </c>
      <c r="N25" s="1" t="s">
        <v>10</v>
      </c>
      <c r="O25" s="1" t="s">
        <v>10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>
        <v>17</v>
      </c>
      <c r="B26">
        <v>42</v>
      </c>
      <c r="C26" t="s">
        <v>17</v>
      </c>
      <c r="D26" s="1">
        <v>61.04237999999998</v>
      </c>
      <c r="E26" s="1">
        <v>5.5944000000067717E-2</v>
      </c>
      <c r="F26" s="1">
        <v>0.70994399999995039</v>
      </c>
      <c r="G26" s="1">
        <v>533.71146499999998</v>
      </c>
      <c r="H26" s="1">
        <v>31.305007</v>
      </c>
      <c r="I26" s="1">
        <v>30.415613</v>
      </c>
      <c r="J26" s="1">
        <v>19.645788</v>
      </c>
      <c r="K26" s="1">
        <v>51.079222999999999</v>
      </c>
      <c r="L26" s="1">
        <v>127.068493</v>
      </c>
      <c r="M26" s="1">
        <v>389.15637099999998</v>
      </c>
      <c r="N26" s="1">
        <f>L26+M26</f>
        <v>516.22486400000003</v>
      </c>
      <c r="O26" s="1">
        <f>N26-G26</f>
        <v>-17.486600999999951</v>
      </c>
      <c r="R26" s="1">
        <f t="shared" si="3"/>
        <v>61.04237999999998</v>
      </c>
      <c r="S26" s="1">
        <f t="shared" si="4"/>
        <v>5.5944000000067717E-2</v>
      </c>
      <c r="T26" s="1">
        <f t="shared" si="5"/>
        <v>1.690342857142739E-2</v>
      </c>
      <c r="U26" s="1">
        <f t="shared" si="6"/>
        <v>12.707415833333332</v>
      </c>
      <c r="V26" s="1">
        <f t="shared" si="7"/>
        <v>0.74535730952380952</v>
      </c>
      <c r="W26" s="1">
        <f t="shared" si="8"/>
        <v>0.72418126190476195</v>
      </c>
      <c r="X26" s="1">
        <f t="shared" si="9"/>
        <v>0.46775685714285714</v>
      </c>
      <c r="Y26" s="1">
        <f t="shared" si="10"/>
        <v>1.2161719761904761</v>
      </c>
      <c r="Z26" s="1">
        <f t="shared" si="11"/>
        <v>3.0254403095238098</v>
      </c>
      <c r="AA26" s="1">
        <f t="shared" si="12"/>
        <v>9.2656278809523798</v>
      </c>
      <c r="AB26" s="1">
        <f t="shared" si="13"/>
        <v>12.29106819047619</v>
      </c>
      <c r="AC26" s="1">
        <f t="shared" si="14"/>
        <v>-17.486600999999951</v>
      </c>
    </row>
    <row r="27" spans="1:29" x14ac:dyDescent="0.25">
      <c r="A27">
        <v>17</v>
      </c>
      <c r="B27">
        <v>84</v>
      </c>
      <c r="C27" t="s">
        <v>17</v>
      </c>
      <c r="D27" s="1">
        <v>62.879399999999805</v>
      </c>
      <c r="E27" s="1">
        <v>8.6029000000280575E-2</v>
      </c>
      <c r="F27" s="1">
        <v>1.4579319999998006</v>
      </c>
      <c r="G27" s="1">
        <v>982.98481600000014</v>
      </c>
      <c r="H27" s="1">
        <v>64.033023</v>
      </c>
      <c r="I27" s="1">
        <v>47.637377000000001</v>
      </c>
      <c r="J27" s="1">
        <v>33.443581999999999</v>
      </c>
      <c r="K27" s="1">
        <v>68.427038999999994</v>
      </c>
      <c r="L27" s="1">
        <v>176.56089</v>
      </c>
      <c r="M27" s="1">
        <v>787.90325299999995</v>
      </c>
      <c r="N27" s="1">
        <f t="shared" ref="N27:N32" si="17">L27+M27</f>
        <v>964.46414299999992</v>
      </c>
      <c r="O27" s="1">
        <f t="shared" ref="O27:O32" si="18">N27-G27</f>
        <v>-18.520673000000215</v>
      </c>
      <c r="R27" s="1">
        <f t="shared" si="3"/>
        <v>62.879399999999805</v>
      </c>
      <c r="S27" s="1">
        <f t="shared" si="4"/>
        <v>8.6029000000280575E-2</v>
      </c>
      <c r="T27" s="1">
        <f t="shared" si="5"/>
        <v>1.7356333333330958E-2</v>
      </c>
      <c r="U27" s="1">
        <f t="shared" si="6"/>
        <v>11.702200190476193</v>
      </c>
      <c r="V27" s="1">
        <f t="shared" si="7"/>
        <v>0.76229789285714289</v>
      </c>
      <c r="W27" s="1">
        <f t="shared" si="8"/>
        <v>0.56711163095238093</v>
      </c>
      <c r="X27" s="1">
        <f t="shared" si="9"/>
        <v>0.39813788095238095</v>
      </c>
      <c r="Y27" s="1">
        <f t="shared" si="10"/>
        <v>0.81460760714285707</v>
      </c>
      <c r="Z27" s="1">
        <f t="shared" si="11"/>
        <v>2.101915357142857</v>
      </c>
      <c r="AA27" s="1">
        <f t="shared" si="12"/>
        <v>9.3798006309523796</v>
      </c>
      <c r="AB27" s="1">
        <f t="shared" si="13"/>
        <v>11.481715988095237</v>
      </c>
      <c r="AC27" s="1">
        <f t="shared" si="14"/>
        <v>-18.520673000000215</v>
      </c>
    </row>
    <row r="28" spans="1:29" x14ac:dyDescent="0.25">
      <c r="A28">
        <v>17</v>
      </c>
      <c r="B28">
        <v>168</v>
      </c>
      <c r="C28" t="s">
        <v>17</v>
      </c>
      <c r="D28" s="1">
        <v>52.772999999999683</v>
      </c>
      <c r="E28" s="1">
        <v>0.12724399999956404</v>
      </c>
      <c r="F28" s="1">
        <v>2.8672460000000228</v>
      </c>
      <c r="G28" s="1">
        <v>1846.4799520000001</v>
      </c>
      <c r="H28" s="1">
        <v>133.21555799999999</v>
      </c>
      <c r="I28" s="1">
        <v>79.560500000000005</v>
      </c>
      <c r="J28" s="1">
        <v>59.601374999999997</v>
      </c>
      <c r="K28" s="1">
        <v>98.922702999999998</v>
      </c>
      <c r="L28" s="1">
        <v>266.63694199999998</v>
      </c>
      <c r="M28" s="1">
        <v>1561.0234350000001</v>
      </c>
      <c r="N28" s="1">
        <f t="shared" si="17"/>
        <v>1827.6603770000002</v>
      </c>
      <c r="O28" s="1">
        <f t="shared" si="18"/>
        <v>-18.819574999999986</v>
      </c>
      <c r="R28" s="1">
        <f t="shared" si="3"/>
        <v>52.772999999999683</v>
      </c>
      <c r="S28" s="1">
        <f t="shared" si="4"/>
        <v>0.12724399999956404</v>
      </c>
      <c r="T28" s="1">
        <f t="shared" si="5"/>
        <v>1.706694047619061E-2</v>
      </c>
      <c r="U28" s="1">
        <f t="shared" si="6"/>
        <v>10.990952095238097</v>
      </c>
      <c r="V28" s="1">
        <f t="shared" si="7"/>
        <v>0.7929497499999999</v>
      </c>
      <c r="W28" s="1">
        <f t="shared" si="8"/>
        <v>0.47357440476190477</v>
      </c>
      <c r="X28" s="1">
        <f t="shared" si="9"/>
        <v>0.3547700892857143</v>
      </c>
      <c r="Y28" s="1">
        <f t="shared" si="10"/>
        <v>0.58882561309523807</v>
      </c>
      <c r="Z28" s="1">
        <f t="shared" si="11"/>
        <v>1.5871246547619047</v>
      </c>
      <c r="AA28" s="1">
        <f t="shared" si="12"/>
        <v>9.2918061607142857</v>
      </c>
      <c r="AB28" s="1">
        <f t="shared" si="13"/>
        <v>10.878930815476192</v>
      </c>
      <c r="AC28" s="1">
        <f t="shared" si="14"/>
        <v>-18.819574999999986</v>
      </c>
    </row>
    <row r="29" spans="1:29" x14ac:dyDescent="0.25">
      <c r="A29">
        <v>17</v>
      </c>
      <c r="B29">
        <v>336</v>
      </c>
      <c r="C29" t="s">
        <v>17</v>
      </c>
      <c r="D29" s="1">
        <v>52.341999999998734</v>
      </c>
      <c r="E29" s="1">
        <v>0.13560200000119949</v>
      </c>
      <c r="F29" s="1">
        <v>5.5111140000003616</v>
      </c>
      <c r="G29" s="1">
        <v>3486.9856089999998</v>
      </c>
      <c r="H29" s="1">
        <v>294.74087500000002</v>
      </c>
      <c r="I29" s="1">
        <v>137.59563800000001</v>
      </c>
      <c r="J29" s="1">
        <v>99.223579999999998</v>
      </c>
      <c r="K29" s="1">
        <v>139.51106799999999</v>
      </c>
      <c r="L29" s="1">
        <v>403.64513199999999</v>
      </c>
      <c r="M29" s="1">
        <v>3064.8224949999999</v>
      </c>
      <c r="N29" s="1">
        <f t="shared" si="17"/>
        <v>3468.467627</v>
      </c>
      <c r="O29" s="1">
        <f t="shared" si="18"/>
        <v>-18.517981999999847</v>
      </c>
      <c r="R29" s="1">
        <f t="shared" si="3"/>
        <v>52.341999999998734</v>
      </c>
      <c r="S29" s="1">
        <f t="shared" si="4"/>
        <v>0.13560200000119949</v>
      </c>
      <c r="T29" s="1">
        <f t="shared" si="5"/>
        <v>1.6402125000001076E-2</v>
      </c>
      <c r="U29" s="1">
        <f t="shared" si="6"/>
        <v>10.377933360119048</v>
      </c>
      <c r="V29" s="1">
        <f t="shared" si="7"/>
        <v>0.87720498511904765</v>
      </c>
      <c r="W29" s="1">
        <f t="shared" si="8"/>
        <v>0.4095108273809524</v>
      </c>
      <c r="X29" s="1">
        <f t="shared" si="9"/>
        <v>0.29530827380952379</v>
      </c>
      <c r="Y29" s="1">
        <f t="shared" si="10"/>
        <v>0.41521151190476191</v>
      </c>
      <c r="Z29" s="1">
        <f t="shared" si="11"/>
        <v>1.2013247976190475</v>
      </c>
      <c r="AA29" s="1">
        <f t="shared" si="12"/>
        <v>9.1214955208333333</v>
      </c>
      <c r="AB29" s="1">
        <f t="shared" si="13"/>
        <v>10.322820318452381</v>
      </c>
      <c r="AC29" s="1">
        <f t="shared" si="14"/>
        <v>-18.517981999999847</v>
      </c>
    </row>
    <row r="30" spans="1:29" x14ac:dyDescent="0.25">
      <c r="A30">
        <v>17</v>
      </c>
      <c r="B30">
        <v>672</v>
      </c>
      <c r="C30" t="s">
        <v>17</v>
      </c>
      <c r="D30" s="1">
        <v>55.790599999999358</v>
      </c>
      <c r="E30" s="1">
        <v>0.29439099999854079</v>
      </c>
      <c r="F30" s="1">
        <v>11.367285000000265</v>
      </c>
      <c r="G30" s="1">
        <v>6949.9899050000004</v>
      </c>
      <c r="H30" s="1">
        <v>704.50741900000003</v>
      </c>
      <c r="I30" s="1">
        <v>258.68582900000001</v>
      </c>
      <c r="J30" s="1">
        <v>193.929554</v>
      </c>
      <c r="K30" s="1">
        <v>226.63247999999999</v>
      </c>
      <c r="L30" s="1">
        <v>707.81650500000001</v>
      </c>
      <c r="M30" s="1">
        <v>6223.2804690000003</v>
      </c>
      <c r="N30" s="1">
        <f t="shared" si="17"/>
        <v>6931.096974</v>
      </c>
      <c r="O30" s="1">
        <f t="shared" si="18"/>
        <v>-18.892931000000317</v>
      </c>
      <c r="R30" s="1">
        <f t="shared" si="3"/>
        <v>55.790599999999358</v>
      </c>
      <c r="S30" s="1">
        <f t="shared" si="4"/>
        <v>0.29439099999854079</v>
      </c>
      <c r="T30" s="1">
        <f t="shared" si="5"/>
        <v>1.6915602678571822E-2</v>
      </c>
      <c r="U30" s="1">
        <f t="shared" si="6"/>
        <v>10.342246882440477</v>
      </c>
      <c r="V30" s="1">
        <f t="shared" si="7"/>
        <v>1.0483741354166667</v>
      </c>
      <c r="W30" s="1">
        <f t="shared" si="8"/>
        <v>0.38494915029761906</v>
      </c>
      <c r="X30" s="1">
        <f t="shared" si="9"/>
        <v>0.28858564583333335</v>
      </c>
      <c r="Y30" s="1">
        <f t="shared" si="10"/>
        <v>0.33725071428571429</v>
      </c>
      <c r="Z30" s="1">
        <f t="shared" si="11"/>
        <v>1.0532983705357144</v>
      </c>
      <c r="AA30" s="1">
        <f t="shared" si="12"/>
        <v>9.2608340312500008</v>
      </c>
      <c r="AB30" s="1">
        <f t="shared" si="13"/>
        <v>10.314132401785715</v>
      </c>
      <c r="AC30" s="1">
        <f t="shared" si="14"/>
        <v>-18.892931000000317</v>
      </c>
    </row>
    <row r="31" spans="1:29" x14ac:dyDescent="0.25">
      <c r="A31">
        <v>17</v>
      </c>
      <c r="B31">
        <v>1344</v>
      </c>
      <c r="C31" t="s">
        <v>17</v>
      </c>
      <c r="D31" s="1">
        <v>66.670000000000073</v>
      </c>
      <c r="E31" s="1">
        <v>0.33828499999799533</v>
      </c>
      <c r="F31" s="1">
        <v>23.030039000001125</v>
      </c>
      <c r="G31" s="1">
        <v>13508.621529</v>
      </c>
      <c r="H31" s="1">
        <v>1489.7161470000001</v>
      </c>
      <c r="I31" s="1">
        <v>481.75012900000002</v>
      </c>
      <c r="J31" s="1">
        <v>318.81092799999999</v>
      </c>
      <c r="K31" s="1">
        <v>380.31297499999999</v>
      </c>
      <c r="L31" s="1">
        <v>1209.8001979999999</v>
      </c>
      <c r="M31" s="1">
        <v>12279.834940999999</v>
      </c>
      <c r="N31" s="1">
        <f t="shared" si="17"/>
        <v>13489.635138999998</v>
      </c>
      <c r="O31" s="1">
        <f t="shared" si="18"/>
        <v>-18.986390000001848</v>
      </c>
      <c r="R31" s="1">
        <f t="shared" si="3"/>
        <v>66.670000000000073</v>
      </c>
      <c r="S31" s="1">
        <f t="shared" si="4"/>
        <v>0.33828499999799533</v>
      </c>
      <c r="T31" s="1">
        <f t="shared" si="5"/>
        <v>1.7135445684524648E-2</v>
      </c>
      <c r="U31" s="1">
        <f t="shared" si="6"/>
        <v>10.051057685267857</v>
      </c>
      <c r="V31" s="1">
        <f t="shared" si="7"/>
        <v>1.1084197522321428</v>
      </c>
      <c r="W31" s="1">
        <f t="shared" si="8"/>
        <v>0.35844503645833337</v>
      </c>
      <c r="X31" s="1">
        <f t="shared" si="9"/>
        <v>0.23721051190476189</v>
      </c>
      <c r="Y31" s="1">
        <f t="shared" si="10"/>
        <v>0.28297096354166668</v>
      </c>
      <c r="Z31" s="1">
        <f t="shared" si="11"/>
        <v>0.90014895684523799</v>
      </c>
      <c r="AA31" s="1">
        <f t="shared" si="12"/>
        <v>9.1367819501488086</v>
      </c>
      <c r="AB31" s="1">
        <f t="shared" si="13"/>
        <v>10.036930906994046</v>
      </c>
      <c r="AC31" s="1">
        <f t="shared" si="14"/>
        <v>-18.986390000001848</v>
      </c>
    </row>
    <row r="32" spans="1:29" x14ac:dyDescent="0.25">
      <c r="A32">
        <v>17</v>
      </c>
      <c r="B32">
        <v>2688</v>
      </c>
      <c r="C32" t="s">
        <v>17</v>
      </c>
      <c r="D32" s="1">
        <v>84.769999999989523</v>
      </c>
      <c r="E32" s="1">
        <v>0.45100000001184526</v>
      </c>
      <c r="F32" s="1">
        <v>47.409530999997514</v>
      </c>
      <c r="G32" s="1">
        <v>26968.006377000002</v>
      </c>
      <c r="H32" s="1">
        <v>3190.7590919999998</v>
      </c>
      <c r="I32" s="1">
        <v>952.79750899999999</v>
      </c>
      <c r="J32" s="1">
        <v>715.37791700000002</v>
      </c>
      <c r="K32" s="1">
        <v>781.57185800000002</v>
      </c>
      <c r="L32" s="1">
        <v>2476.9194379999999</v>
      </c>
      <c r="M32" s="1">
        <v>24470.017852000001</v>
      </c>
      <c r="N32" s="1">
        <f t="shared" si="17"/>
        <v>26946.937290000002</v>
      </c>
      <c r="O32" s="1">
        <f t="shared" si="18"/>
        <v>-21.069086999999854</v>
      </c>
      <c r="R32" s="1">
        <f t="shared" si="3"/>
        <v>84.769999999989523</v>
      </c>
      <c r="S32" s="1">
        <f t="shared" si="4"/>
        <v>0.45100000001184526</v>
      </c>
      <c r="T32" s="1">
        <f t="shared" si="5"/>
        <v>1.7637474330356218E-2</v>
      </c>
      <c r="U32" s="1">
        <f t="shared" si="6"/>
        <v>10.032740467633928</v>
      </c>
      <c r="V32" s="1">
        <f t="shared" si="7"/>
        <v>1.1870383526785713</v>
      </c>
      <c r="W32" s="1">
        <f t="shared" si="8"/>
        <v>0.35446335900297621</v>
      </c>
      <c r="X32" s="1">
        <f t="shared" si="9"/>
        <v>0.26613761793154761</v>
      </c>
      <c r="Y32" s="1">
        <f t="shared" si="10"/>
        <v>0.2907633400297619</v>
      </c>
      <c r="Z32" s="1">
        <f t="shared" si="11"/>
        <v>0.92147300520833331</v>
      </c>
      <c r="AA32" s="1">
        <f t="shared" si="12"/>
        <v>9.1034292604166662</v>
      </c>
      <c r="AB32" s="1">
        <f t="shared" si="13"/>
        <v>10.024902265625</v>
      </c>
      <c r="AC32" s="1">
        <f t="shared" si="14"/>
        <v>-21.069086999999854</v>
      </c>
    </row>
    <row r="33" spans="1:29" x14ac:dyDescent="0.25"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t="s">
        <v>21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D35" s="1">
        <v>7</v>
      </c>
      <c r="I35" s="1" t="s">
        <v>0</v>
      </c>
      <c r="J35" s="1" t="s">
        <v>1</v>
      </c>
      <c r="K35" s="1" t="s">
        <v>2</v>
      </c>
      <c r="L35" s="1" t="s">
        <v>3</v>
      </c>
      <c r="M35" s="1" t="s">
        <v>4</v>
      </c>
      <c r="N35" s="1" t="s">
        <v>5</v>
      </c>
      <c r="O35" s="1" t="s">
        <v>6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>
        <v>17</v>
      </c>
      <c r="D36" s="1" t="s">
        <v>7</v>
      </c>
      <c r="E36" s="1" t="s">
        <v>8</v>
      </c>
      <c r="F36" s="1" t="s">
        <v>9</v>
      </c>
      <c r="G36" s="1" t="s">
        <v>10</v>
      </c>
      <c r="H36" s="1" t="s">
        <v>11</v>
      </c>
      <c r="I36" s="1" t="s">
        <v>12</v>
      </c>
      <c r="J36" s="1" t="s">
        <v>13</v>
      </c>
      <c r="K36" s="1" t="s">
        <v>14</v>
      </c>
      <c r="L36" s="1" t="s">
        <v>15</v>
      </c>
      <c r="M36" s="1" t="s">
        <v>16</v>
      </c>
      <c r="N36" s="1" t="s">
        <v>10</v>
      </c>
      <c r="O36" s="1" t="s">
        <v>10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>
        <v>17</v>
      </c>
      <c r="B37">
        <v>42</v>
      </c>
      <c r="C37" t="s">
        <v>17</v>
      </c>
      <c r="D37" s="1">
        <v>51.11320000000012</v>
      </c>
      <c r="E37" s="1">
        <v>4.2193999999881271E-2</v>
      </c>
      <c r="F37" s="1">
        <v>0.59118599999999333</v>
      </c>
      <c r="G37" s="1">
        <v>459.53557000000001</v>
      </c>
      <c r="H37" s="1">
        <v>27.065149999999999</v>
      </c>
      <c r="I37" s="1">
        <v>26.080310999999998</v>
      </c>
      <c r="J37" s="1">
        <v>17.987542999999999</v>
      </c>
      <c r="K37" s="1">
        <v>44.176980999999998</v>
      </c>
      <c r="L37" s="1">
        <v>111.05152200000001</v>
      </c>
      <c r="M37" s="1">
        <v>332.37660399999999</v>
      </c>
      <c r="N37" s="1">
        <f>L37+M37</f>
        <v>443.42812600000002</v>
      </c>
      <c r="O37" s="1">
        <f>N37-G37</f>
        <v>-16.107443999999987</v>
      </c>
      <c r="R37" s="1">
        <f t="shared" si="3"/>
        <v>51.11320000000012</v>
      </c>
      <c r="S37" s="1">
        <f t="shared" si="4"/>
        <v>4.2193999999881271E-2</v>
      </c>
      <c r="T37" s="1">
        <f t="shared" si="5"/>
        <v>1.4075857142856984E-2</v>
      </c>
      <c r="U37" s="1">
        <f t="shared" si="6"/>
        <v>10.941323095238095</v>
      </c>
      <c r="V37" s="1">
        <f t="shared" si="7"/>
        <v>0.64440833333333336</v>
      </c>
      <c r="W37" s="1">
        <f t="shared" si="8"/>
        <v>0.62095978571428567</v>
      </c>
      <c r="X37" s="1">
        <f t="shared" si="9"/>
        <v>0.42827483333333333</v>
      </c>
      <c r="Y37" s="1">
        <f t="shared" si="10"/>
        <v>1.0518328809523809</v>
      </c>
      <c r="Z37" s="1">
        <f t="shared" si="11"/>
        <v>2.6440838571428573</v>
      </c>
      <c r="AA37" s="1">
        <f t="shared" si="12"/>
        <v>7.9137286666666666</v>
      </c>
      <c r="AB37" s="1">
        <f t="shared" si="13"/>
        <v>10.557812523809524</v>
      </c>
      <c r="AC37" s="1">
        <f t="shared" si="14"/>
        <v>-16.107443999999987</v>
      </c>
    </row>
    <row r="38" spans="1:29" x14ac:dyDescent="0.25">
      <c r="A38">
        <v>17</v>
      </c>
      <c r="B38">
        <v>84</v>
      </c>
      <c r="C38" t="s">
        <v>17</v>
      </c>
      <c r="D38" s="1">
        <v>49.448179999999866</v>
      </c>
      <c r="E38" s="1">
        <v>4.4693000000165739E-2</v>
      </c>
      <c r="F38" s="1">
        <v>1.1544549999999845</v>
      </c>
      <c r="G38" s="1">
        <v>830.98299399999996</v>
      </c>
      <c r="H38" s="1">
        <v>53.673577999999999</v>
      </c>
      <c r="I38" s="1">
        <v>38.784274000000003</v>
      </c>
      <c r="J38" s="1">
        <v>32.953079000000002</v>
      </c>
      <c r="K38" s="1">
        <v>59.451982000000001</v>
      </c>
      <c r="L38" s="1">
        <v>155.09098399999999</v>
      </c>
      <c r="M38" s="1">
        <v>659.77130099999999</v>
      </c>
      <c r="N38" s="1">
        <f t="shared" ref="N38:N43" si="19">L38+M38</f>
        <v>814.86228499999993</v>
      </c>
      <c r="O38" s="1">
        <f t="shared" ref="O38:O43" si="20">N38-G38</f>
        <v>-16.120709000000033</v>
      </c>
      <c r="R38" s="1">
        <f t="shared" si="3"/>
        <v>49.448179999999866</v>
      </c>
      <c r="S38" s="1">
        <f t="shared" si="4"/>
        <v>4.4693000000165739E-2</v>
      </c>
      <c r="T38" s="1">
        <f t="shared" si="5"/>
        <v>1.374351190476172E-2</v>
      </c>
      <c r="U38" s="1">
        <f t="shared" si="6"/>
        <v>9.8926546904761903</v>
      </c>
      <c r="V38" s="1">
        <f t="shared" si="7"/>
        <v>0.63897116666666665</v>
      </c>
      <c r="W38" s="1">
        <f t="shared" si="8"/>
        <v>0.46171754761904765</v>
      </c>
      <c r="X38" s="1">
        <f t="shared" si="9"/>
        <v>0.39229855952380954</v>
      </c>
      <c r="Y38" s="1">
        <f t="shared" si="10"/>
        <v>0.70776169047619053</v>
      </c>
      <c r="Z38" s="1">
        <f t="shared" si="11"/>
        <v>1.8463212380952381</v>
      </c>
      <c r="AA38" s="1">
        <f t="shared" si="12"/>
        <v>7.8544202499999995</v>
      </c>
      <c r="AB38" s="1">
        <f t="shared" si="13"/>
        <v>9.7007414880952378</v>
      </c>
      <c r="AC38" s="1">
        <f t="shared" si="14"/>
        <v>-16.120709000000033</v>
      </c>
    </row>
    <row r="39" spans="1:29" x14ac:dyDescent="0.25">
      <c r="A39">
        <v>17</v>
      </c>
      <c r="B39">
        <v>168</v>
      </c>
      <c r="C39" t="s">
        <v>17</v>
      </c>
      <c r="D39" s="1">
        <v>49.66219999999953</v>
      </c>
      <c r="E39" s="1">
        <v>5.0940000000309738E-2</v>
      </c>
      <c r="F39" s="1">
        <v>2.2815579999999045</v>
      </c>
      <c r="G39" s="1">
        <v>1543.8817340000001</v>
      </c>
      <c r="H39" s="1">
        <v>111.107968</v>
      </c>
      <c r="I39" s="1">
        <v>63.717551999999998</v>
      </c>
      <c r="J39" s="1">
        <v>49.488325000000003</v>
      </c>
      <c r="K39" s="1">
        <v>73.668434000000005</v>
      </c>
      <c r="L39" s="1">
        <v>210.41374999999999</v>
      </c>
      <c r="M39" s="1">
        <v>1316.7995309999999</v>
      </c>
      <c r="N39" s="1">
        <f t="shared" si="19"/>
        <v>1527.2132809999998</v>
      </c>
      <c r="O39" s="1">
        <f t="shared" si="20"/>
        <v>-16.668453000000227</v>
      </c>
      <c r="R39" s="1">
        <f t="shared" si="3"/>
        <v>49.66219999999953</v>
      </c>
      <c r="S39" s="1">
        <f t="shared" si="4"/>
        <v>5.0940000000309738E-2</v>
      </c>
      <c r="T39" s="1">
        <f t="shared" si="5"/>
        <v>1.3580702380951812E-2</v>
      </c>
      <c r="U39" s="1">
        <f t="shared" si="6"/>
        <v>9.1897722261904757</v>
      </c>
      <c r="V39" s="1">
        <f t="shared" si="7"/>
        <v>0.66135695238095238</v>
      </c>
      <c r="W39" s="1">
        <f t="shared" si="8"/>
        <v>0.37927114285714286</v>
      </c>
      <c r="X39" s="1">
        <f t="shared" si="9"/>
        <v>0.29457336309523813</v>
      </c>
      <c r="Y39" s="1">
        <f t="shared" si="10"/>
        <v>0.43850258333333336</v>
      </c>
      <c r="Z39" s="1">
        <f t="shared" si="11"/>
        <v>1.2524627976190477</v>
      </c>
      <c r="AA39" s="1">
        <f t="shared" si="12"/>
        <v>7.8380924464285711</v>
      </c>
      <c r="AB39" s="1">
        <f t="shared" si="13"/>
        <v>9.0905552440476178</v>
      </c>
      <c r="AC39" s="1">
        <f t="shared" si="14"/>
        <v>-16.668453000000227</v>
      </c>
    </row>
    <row r="40" spans="1:29" x14ac:dyDescent="0.25">
      <c r="A40">
        <v>17</v>
      </c>
      <c r="B40">
        <v>336</v>
      </c>
      <c r="C40" t="s">
        <v>17</v>
      </c>
      <c r="D40" s="1">
        <v>51.98759999999902</v>
      </c>
      <c r="E40" s="1">
        <v>6.8138999999519001E-2</v>
      </c>
      <c r="F40" s="1">
        <v>4.5495649999998022</v>
      </c>
      <c r="G40" s="1">
        <v>2965.9265740000001</v>
      </c>
      <c r="H40" s="1">
        <v>230.54132200000001</v>
      </c>
      <c r="I40" s="1">
        <v>113.566665</v>
      </c>
      <c r="J40" s="1">
        <v>79.858796999999996</v>
      </c>
      <c r="K40" s="1">
        <v>107.684718</v>
      </c>
      <c r="L40" s="1">
        <v>325.120496</v>
      </c>
      <c r="M40" s="1">
        <v>2625.308203</v>
      </c>
      <c r="N40" s="1">
        <f t="shared" si="19"/>
        <v>2950.4286990000001</v>
      </c>
      <c r="O40" s="1">
        <f t="shared" si="20"/>
        <v>-15.497875000000022</v>
      </c>
      <c r="R40" s="1">
        <f t="shared" si="3"/>
        <v>51.98759999999902</v>
      </c>
      <c r="S40" s="1">
        <f t="shared" si="4"/>
        <v>6.8138999999519001E-2</v>
      </c>
      <c r="T40" s="1">
        <f t="shared" si="5"/>
        <v>1.3540372023808936E-2</v>
      </c>
      <c r="U40" s="1">
        <f t="shared" si="6"/>
        <v>8.8271624226190486</v>
      </c>
      <c r="V40" s="1">
        <f t="shared" si="7"/>
        <v>0.68613488690476188</v>
      </c>
      <c r="W40" s="1">
        <f t="shared" si="8"/>
        <v>0.33799602678571428</v>
      </c>
      <c r="X40" s="1">
        <f t="shared" si="9"/>
        <v>0.23767499107142856</v>
      </c>
      <c r="Y40" s="1">
        <f t="shared" si="10"/>
        <v>0.32049023214285716</v>
      </c>
      <c r="Z40" s="1">
        <f t="shared" si="11"/>
        <v>0.96762052380952379</v>
      </c>
      <c r="AA40" s="1">
        <f t="shared" si="12"/>
        <v>7.8134172708333338</v>
      </c>
      <c r="AB40" s="1">
        <f t="shared" si="13"/>
        <v>8.7810377946428577</v>
      </c>
      <c r="AC40" s="1">
        <f t="shared" si="14"/>
        <v>-15.497875000000022</v>
      </c>
    </row>
    <row r="41" spans="1:29" x14ac:dyDescent="0.25">
      <c r="A41">
        <v>17</v>
      </c>
      <c r="B41">
        <v>672</v>
      </c>
      <c r="C41" t="s">
        <v>17</v>
      </c>
      <c r="D41" s="1">
        <v>56.038399999997637</v>
      </c>
      <c r="E41" s="1">
        <v>8.1543000001147448E-2</v>
      </c>
      <c r="F41" s="1">
        <v>9.2229590000006283</v>
      </c>
      <c r="G41" s="1">
        <v>5843.4719749999995</v>
      </c>
      <c r="H41" s="1">
        <v>502.46352300000001</v>
      </c>
      <c r="I41" s="1">
        <v>205.518326</v>
      </c>
      <c r="J41" s="1">
        <v>147.79101299999999</v>
      </c>
      <c r="K41" s="1">
        <v>179.50184999999999</v>
      </c>
      <c r="L41" s="1">
        <v>556.55680099999995</v>
      </c>
      <c r="M41" s="1">
        <v>5271.4655860000003</v>
      </c>
      <c r="N41" s="1">
        <f t="shared" si="19"/>
        <v>5828.022387</v>
      </c>
      <c r="O41" s="1">
        <f t="shared" si="20"/>
        <v>-15.449587999999494</v>
      </c>
      <c r="R41" s="1">
        <f t="shared" si="3"/>
        <v>56.038399999997637</v>
      </c>
      <c r="S41" s="1">
        <f t="shared" si="4"/>
        <v>8.1543000001147448E-2</v>
      </c>
      <c r="T41" s="1">
        <f t="shared" si="5"/>
        <v>1.3724641369048555E-2</v>
      </c>
      <c r="U41" s="1">
        <f t="shared" si="6"/>
        <v>8.6956428199404758</v>
      </c>
      <c r="V41" s="1">
        <f t="shared" si="7"/>
        <v>0.74771357589285714</v>
      </c>
      <c r="W41" s="1">
        <f t="shared" si="8"/>
        <v>0.30583084226190477</v>
      </c>
      <c r="X41" s="1">
        <f t="shared" si="9"/>
        <v>0.21992710267857141</v>
      </c>
      <c r="Y41" s="1">
        <f t="shared" si="10"/>
        <v>0.26711584821428569</v>
      </c>
      <c r="Z41" s="1">
        <f t="shared" si="11"/>
        <v>0.82820952529761893</v>
      </c>
      <c r="AA41" s="1">
        <f t="shared" si="12"/>
        <v>7.8444428363095238</v>
      </c>
      <c r="AB41" s="1">
        <f t="shared" si="13"/>
        <v>8.6726523616071436</v>
      </c>
      <c r="AC41" s="1">
        <f t="shared" si="14"/>
        <v>-15.449587999999494</v>
      </c>
    </row>
    <row r="42" spans="1:29" x14ac:dyDescent="0.25">
      <c r="A42">
        <v>17</v>
      </c>
      <c r="B42">
        <v>1344</v>
      </c>
      <c r="C42" t="s">
        <v>17</v>
      </c>
      <c r="D42" s="1">
        <v>59.612000000006446</v>
      </c>
      <c r="E42" s="1">
        <v>8.2011999997121166E-2</v>
      </c>
      <c r="F42" s="1">
        <v>20.721809999999095</v>
      </c>
      <c r="G42" s="1">
        <v>11743.209716000001</v>
      </c>
      <c r="H42" s="1">
        <v>1075.318462</v>
      </c>
      <c r="I42" s="1">
        <v>396.83083399999998</v>
      </c>
      <c r="J42" s="1">
        <v>342.54826800000001</v>
      </c>
      <c r="K42" s="1">
        <v>407.681242</v>
      </c>
      <c r="L42" s="1">
        <v>1170.3516540000001</v>
      </c>
      <c r="M42" s="1">
        <v>10556.864858000001</v>
      </c>
      <c r="N42" s="1">
        <f t="shared" si="19"/>
        <v>11727.216512000001</v>
      </c>
      <c r="O42" s="1">
        <f t="shared" si="20"/>
        <v>-15.993204000000333</v>
      </c>
      <c r="R42" s="1">
        <f t="shared" si="3"/>
        <v>59.612000000006446</v>
      </c>
      <c r="S42" s="1">
        <f t="shared" si="4"/>
        <v>8.2011999997121166E-2</v>
      </c>
      <c r="T42" s="1">
        <f t="shared" si="5"/>
        <v>1.5418013392856469E-2</v>
      </c>
      <c r="U42" s="1">
        <f t="shared" si="6"/>
        <v>8.7375072291666669</v>
      </c>
      <c r="V42" s="1">
        <f t="shared" si="7"/>
        <v>0.8000881413690476</v>
      </c>
      <c r="W42" s="1">
        <f t="shared" si="8"/>
        <v>0.29526103720238095</v>
      </c>
      <c r="X42" s="1">
        <f t="shared" si="9"/>
        <v>0.25487222321428571</v>
      </c>
      <c r="Y42" s="1">
        <f t="shared" si="10"/>
        <v>0.30333425744047621</v>
      </c>
      <c r="Z42" s="1">
        <f t="shared" si="11"/>
        <v>0.87079736160714294</v>
      </c>
      <c r="AA42" s="1">
        <f t="shared" si="12"/>
        <v>7.8548101622023818</v>
      </c>
      <c r="AB42" s="1">
        <f t="shared" si="13"/>
        <v>8.7256075238095239</v>
      </c>
      <c r="AC42" s="1">
        <f t="shared" si="14"/>
        <v>-15.993204000000333</v>
      </c>
    </row>
    <row r="43" spans="1:29" x14ac:dyDescent="0.25">
      <c r="A43">
        <v>17</v>
      </c>
      <c r="B43">
        <v>2688</v>
      </c>
      <c r="C43" t="s">
        <v>17</v>
      </c>
      <c r="D43" s="1">
        <v>70.877999999996973</v>
      </c>
      <c r="E43" s="1">
        <v>0.13170200000240584</v>
      </c>
      <c r="F43" s="1">
        <v>42.762495999999373</v>
      </c>
      <c r="G43" s="1">
        <v>23079.797982</v>
      </c>
      <c r="H43" s="1">
        <v>2198.5298200000002</v>
      </c>
      <c r="I43" s="1">
        <v>642.32268399999998</v>
      </c>
      <c r="J43" s="1">
        <v>508.315584</v>
      </c>
      <c r="K43" s="1">
        <v>669.45052599999997</v>
      </c>
      <c r="L43" s="1">
        <v>1842.1138060000001</v>
      </c>
      <c r="M43" s="1">
        <v>21220.934775999998</v>
      </c>
      <c r="N43" s="1">
        <f t="shared" si="19"/>
        <v>23063.048581999999</v>
      </c>
      <c r="O43" s="1">
        <f t="shared" si="20"/>
        <v>-16.749400000000605</v>
      </c>
      <c r="R43" s="1">
        <f t="shared" si="3"/>
        <v>70.877999999996973</v>
      </c>
      <c r="S43" s="1">
        <f t="shared" si="4"/>
        <v>0.13170200000240584</v>
      </c>
      <c r="T43" s="1">
        <f t="shared" si="5"/>
        <v>1.5908666666666432E-2</v>
      </c>
      <c r="U43" s="1">
        <f t="shared" si="6"/>
        <v>8.5862343683035718</v>
      </c>
      <c r="V43" s="1">
        <f t="shared" si="7"/>
        <v>0.81790543898809531</v>
      </c>
      <c r="W43" s="1">
        <f t="shared" si="8"/>
        <v>0.2389593318452381</v>
      </c>
      <c r="X43" s="1">
        <f t="shared" si="9"/>
        <v>0.18910550000000001</v>
      </c>
      <c r="Y43" s="1">
        <f t="shared" si="10"/>
        <v>0.24905153497023808</v>
      </c>
      <c r="Z43" s="1">
        <f t="shared" si="11"/>
        <v>0.68531019568452378</v>
      </c>
      <c r="AA43" s="1">
        <f t="shared" si="12"/>
        <v>7.8946929970238084</v>
      </c>
      <c r="AB43" s="1">
        <f t="shared" si="13"/>
        <v>8.5800031927083324</v>
      </c>
      <c r="AC43" s="1">
        <f t="shared" si="14"/>
        <v>-16.749400000000605</v>
      </c>
    </row>
    <row r="44" spans="1:29" x14ac:dyDescent="0.25"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t="s">
        <v>22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D46" s="1">
        <v>7</v>
      </c>
      <c r="I46" s="1" t="s">
        <v>0</v>
      </c>
      <c r="J46" s="1" t="s">
        <v>1</v>
      </c>
      <c r="K46" s="1" t="s">
        <v>2</v>
      </c>
      <c r="L46" s="1" t="s">
        <v>3</v>
      </c>
      <c r="M46" s="1" t="s">
        <v>4</v>
      </c>
      <c r="N46" s="1" t="s">
        <v>5</v>
      </c>
      <c r="O46" s="1" t="s">
        <v>6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>
        <v>23</v>
      </c>
      <c r="D47" s="1" t="s">
        <v>7</v>
      </c>
      <c r="E47" s="1" t="s">
        <v>8</v>
      </c>
      <c r="F47" s="1" t="s">
        <v>9</v>
      </c>
      <c r="G47" s="1" t="s">
        <v>10</v>
      </c>
      <c r="H47" s="1" t="s">
        <v>11</v>
      </c>
      <c r="I47" s="1" t="s">
        <v>12</v>
      </c>
      <c r="J47" s="1" t="s">
        <v>13</v>
      </c>
      <c r="K47" s="1" t="s">
        <v>14</v>
      </c>
      <c r="L47" s="1" t="s">
        <v>15</v>
      </c>
      <c r="M47" s="1" t="s">
        <v>16</v>
      </c>
      <c r="N47" s="1" t="s">
        <v>10</v>
      </c>
      <c r="O47" s="1" t="s">
        <v>10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>
        <v>23</v>
      </c>
      <c r="B48">
        <v>42</v>
      </c>
      <c r="C48" t="s">
        <v>17</v>
      </c>
      <c r="D48" s="1">
        <v>57.163979999999697</v>
      </c>
      <c r="E48" s="1">
        <v>5.4438000000232023E-2</v>
      </c>
      <c r="F48" s="1">
        <v>0.94829800000002251</v>
      </c>
      <c r="G48" s="1">
        <v>840.34437800000001</v>
      </c>
      <c r="H48" s="1">
        <v>45.508705999999997</v>
      </c>
      <c r="I48" s="1">
        <v>31.409478</v>
      </c>
      <c r="J48" s="1">
        <v>28.258279999999999</v>
      </c>
      <c r="K48" s="1">
        <v>56.264560000000003</v>
      </c>
      <c r="L48" s="1">
        <v>145.94788199999999</v>
      </c>
      <c r="M48" s="1">
        <v>676.90123800000003</v>
      </c>
      <c r="N48" s="1">
        <f>L48+M48</f>
        <v>822.84912000000008</v>
      </c>
      <c r="O48" s="1">
        <f>N48-G48</f>
        <v>-17.495257999999922</v>
      </c>
      <c r="R48" s="1">
        <f t="shared" si="3"/>
        <v>57.163979999999697</v>
      </c>
      <c r="S48" s="1">
        <f t="shared" si="4"/>
        <v>5.4438000000232023E-2</v>
      </c>
      <c r="T48" s="1">
        <f t="shared" si="5"/>
        <v>2.2578523809524347E-2</v>
      </c>
      <c r="U48" s="1">
        <f t="shared" si="6"/>
        <v>20.008199476190477</v>
      </c>
      <c r="V48" s="1">
        <f t="shared" si="7"/>
        <v>1.0835406190476189</v>
      </c>
      <c r="W48" s="1">
        <f t="shared" si="8"/>
        <v>0.74784471428571431</v>
      </c>
      <c r="X48" s="1">
        <f t="shared" si="9"/>
        <v>0.67281619047619046</v>
      </c>
      <c r="Y48" s="1">
        <f t="shared" si="10"/>
        <v>1.3396323809523811</v>
      </c>
      <c r="Z48" s="1">
        <f t="shared" si="11"/>
        <v>3.4749495714285712</v>
      </c>
      <c r="AA48" s="1">
        <f t="shared" si="12"/>
        <v>16.116696142857144</v>
      </c>
      <c r="AB48" s="1">
        <f t="shared" si="13"/>
        <v>19.591645714285715</v>
      </c>
      <c r="AC48" s="1">
        <f t="shared" si="14"/>
        <v>-17.495257999999922</v>
      </c>
    </row>
    <row r="49" spans="1:29" x14ac:dyDescent="0.25">
      <c r="A49">
        <v>23</v>
      </c>
      <c r="B49">
        <v>84</v>
      </c>
      <c r="C49" t="s">
        <v>17</v>
      </c>
      <c r="D49" s="1">
        <v>68.375000000000227</v>
      </c>
      <c r="E49" s="1">
        <v>5.6371999999782929E-2</v>
      </c>
      <c r="F49" s="1">
        <v>1.7860679999998865</v>
      </c>
      <c r="G49" s="1">
        <v>1536.467484</v>
      </c>
      <c r="H49" s="1">
        <v>89.092275999999998</v>
      </c>
      <c r="I49" s="1">
        <v>46.453299999999999</v>
      </c>
      <c r="J49" s="1">
        <v>48.759866000000002</v>
      </c>
      <c r="K49" s="1">
        <v>74.822147999999999</v>
      </c>
      <c r="L49" s="1">
        <v>199.473232</v>
      </c>
      <c r="M49" s="1">
        <v>1319.244588</v>
      </c>
      <c r="N49" s="1">
        <f t="shared" ref="N49:N54" si="21">L49+M49</f>
        <v>1518.7178200000001</v>
      </c>
      <c r="O49" s="1">
        <f t="shared" ref="O49:O54" si="22">N49-G49</f>
        <v>-17.749663999999939</v>
      </c>
      <c r="R49" s="1">
        <f t="shared" si="3"/>
        <v>68.375000000000227</v>
      </c>
      <c r="S49" s="1">
        <f t="shared" si="4"/>
        <v>5.6371999999782929E-2</v>
      </c>
      <c r="T49" s="1">
        <f t="shared" si="5"/>
        <v>2.1262714285712934E-2</v>
      </c>
      <c r="U49" s="1">
        <f t="shared" si="6"/>
        <v>18.291279571428571</v>
      </c>
      <c r="V49" s="1">
        <f t="shared" si="7"/>
        <v>1.0606223333333333</v>
      </c>
      <c r="W49" s="1">
        <f t="shared" si="8"/>
        <v>0.5530154761904762</v>
      </c>
      <c r="X49" s="1">
        <f t="shared" si="9"/>
        <v>0.5804745952380953</v>
      </c>
      <c r="Y49" s="1">
        <f t="shared" si="10"/>
        <v>0.89073985714285708</v>
      </c>
      <c r="Z49" s="1">
        <f t="shared" si="11"/>
        <v>2.3746813333333332</v>
      </c>
      <c r="AA49" s="1">
        <f t="shared" si="12"/>
        <v>15.705292714285715</v>
      </c>
      <c r="AB49" s="1">
        <f t="shared" si="13"/>
        <v>18.07997404761905</v>
      </c>
      <c r="AC49" s="1">
        <f t="shared" si="14"/>
        <v>-17.749663999999939</v>
      </c>
    </row>
    <row r="50" spans="1:29" x14ac:dyDescent="0.25">
      <c r="A50">
        <v>23</v>
      </c>
      <c r="B50">
        <v>168</v>
      </c>
      <c r="C50" t="s">
        <v>17</v>
      </c>
      <c r="D50" s="1">
        <v>60.366399999999885</v>
      </c>
      <c r="E50" s="1">
        <v>7.1428000000196334E-2</v>
      </c>
      <c r="F50" s="1">
        <v>3.5398660000000746</v>
      </c>
      <c r="G50" s="1">
        <v>2975.9894220000001</v>
      </c>
      <c r="H50" s="1">
        <v>180.26948400000001</v>
      </c>
      <c r="I50" s="1">
        <v>77.834134000000006</v>
      </c>
      <c r="J50" s="1">
        <v>90.819727999999998</v>
      </c>
      <c r="K50" s="1">
        <v>119.91092</v>
      </c>
      <c r="L50" s="1">
        <v>317.93222400000002</v>
      </c>
      <c r="M50" s="1">
        <v>2640.6806120000001</v>
      </c>
      <c r="N50" s="1">
        <f t="shared" si="21"/>
        <v>2958.6128360000002</v>
      </c>
      <c r="O50" s="1">
        <f t="shared" si="22"/>
        <v>-17.376585999999861</v>
      </c>
      <c r="R50" s="1">
        <f t="shared" si="3"/>
        <v>60.366399999999885</v>
      </c>
      <c r="S50" s="1">
        <f t="shared" si="4"/>
        <v>7.1428000000196334E-2</v>
      </c>
      <c r="T50" s="1">
        <f t="shared" si="5"/>
        <v>2.1070630952381396E-2</v>
      </c>
      <c r="U50" s="1">
        <f t="shared" si="6"/>
        <v>17.714222750000001</v>
      </c>
      <c r="V50" s="1">
        <f t="shared" si="7"/>
        <v>1.0730326428571428</v>
      </c>
      <c r="W50" s="1">
        <f t="shared" si="8"/>
        <v>0.46329841666666671</v>
      </c>
      <c r="X50" s="1">
        <f t="shared" si="9"/>
        <v>0.54059361904761905</v>
      </c>
      <c r="Y50" s="1">
        <f t="shared" si="10"/>
        <v>0.71375547619047619</v>
      </c>
      <c r="Z50" s="1">
        <f t="shared" si="11"/>
        <v>1.8924537142857143</v>
      </c>
      <c r="AA50" s="1">
        <f t="shared" si="12"/>
        <v>15.718336976190477</v>
      </c>
      <c r="AB50" s="1">
        <f t="shared" si="13"/>
        <v>17.610790690476193</v>
      </c>
      <c r="AC50" s="1">
        <f t="shared" si="14"/>
        <v>-17.376585999999861</v>
      </c>
    </row>
    <row r="51" spans="1:29" x14ac:dyDescent="0.25">
      <c r="A51">
        <v>23</v>
      </c>
      <c r="B51">
        <v>336</v>
      </c>
      <c r="C51" t="s">
        <v>17</v>
      </c>
      <c r="D51" s="1">
        <v>59.126400000001922</v>
      </c>
      <c r="E51" s="1">
        <v>9.0073999998821819E-2</v>
      </c>
      <c r="F51" s="1">
        <v>6.9903240000003279</v>
      </c>
      <c r="G51" s="1">
        <v>5831.874476</v>
      </c>
      <c r="H51" s="1">
        <v>352.96292599999998</v>
      </c>
      <c r="I51" s="1">
        <v>140.760482</v>
      </c>
      <c r="J51" s="1">
        <v>175.30371400000001</v>
      </c>
      <c r="K51" s="1">
        <v>207.82326</v>
      </c>
      <c r="L51" s="1">
        <v>553.14508599999999</v>
      </c>
      <c r="M51" s="1">
        <v>5261.1599800000004</v>
      </c>
      <c r="N51" s="1">
        <f t="shared" si="21"/>
        <v>5814.3050660000008</v>
      </c>
      <c r="O51" s="1">
        <f t="shared" si="22"/>
        <v>-17.569409999999152</v>
      </c>
      <c r="R51" s="1">
        <f t="shared" si="3"/>
        <v>59.126400000001922</v>
      </c>
      <c r="S51" s="1">
        <f t="shared" si="4"/>
        <v>9.0073999998821819E-2</v>
      </c>
      <c r="T51" s="1">
        <f t="shared" si="5"/>
        <v>2.0804535714286691E-2</v>
      </c>
      <c r="U51" s="1">
        <f t="shared" si="6"/>
        <v>17.356769273809523</v>
      </c>
      <c r="V51" s="1">
        <f t="shared" si="7"/>
        <v>1.0504848988095237</v>
      </c>
      <c r="W51" s="1">
        <f t="shared" si="8"/>
        <v>0.41893000595238095</v>
      </c>
      <c r="X51" s="1">
        <f t="shared" si="9"/>
        <v>0.52173724404761912</v>
      </c>
      <c r="Y51" s="1">
        <f t="shared" si="10"/>
        <v>0.6185216071428572</v>
      </c>
      <c r="Z51" s="1">
        <f t="shared" si="11"/>
        <v>1.6462651369047618</v>
      </c>
      <c r="AA51" s="1">
        <f t="shared" si="12"/>
        <v>15.658214226190477</v>
      </c>
      <c r="AB51" s="1">
        <f t="shared" si="13"/>
        <v>17.30447936309524</v>
      </c>
      <c r="AC51" s="1">
        <f t="shared" si="14"/>
        <v>-17.569409999999152</v>
      </c>
    </row>
    <row r="52" spans="1:29" x14ac:dyDescent="0.25">
      <c r="A52">
        <v>23</v>
      </c>
      <c r="B52">
        <v>672</v>
      </c>
      <c r="C52" t="s">
        <v>17</v>
      </c>
      <c r="D52" s="1">
        <v>56.987999999997555</v>
      </c>
      <c r="E52" s="1">
        <v>0.10447999999814783</v>
      </c>
      <c r="F52" s="1">
        <v>13.886507999999594</v>
      </c>
      <c r="G52" s="1">
        <v>11562.799870000001</v>
      </c>
      <c r="H52" s="1">
        <v>709.307142</v>
      </c>
      <c r="I52" s="1">
        <v>266.15703600000001</v>
      </c>
      <c r="J52" s="1">
        <v>344.12325800000002</v>
      </c>
      <c r="K52" s="1">
        <v>382.88680799999997</v>
      </c>
      <c r="L52" s="1">
        <v>1022.669732</v>
      </c>
      <c r="M52" s="1">
        <v>10516.865535999999</v>
      </c>
      <c r="N52" s="1">
        <f t="shared" si="21"/>
        <v>11539.535268</v>
      </c>
      <c r="O52" s="1">
        <f t="shared" si="22"/>
        <v>-23.264602000001105</v>
      </c>
      <c r="R52" s="1">
        <f t="shared" si="3"/>
        <v>56.987999999997555</v>
      </c>
      <c r="S52" s="1">
        <f t="shared" si="4"/>
        <v>0.10447999999814783</v>
      </c>
      <c r="T52" s="1">
        <f t="shared" si="5"/>
        <v>2.0664446428570824E-2</v>
      </c>
      <c r="U52" s="1">
        <f t="shared" si="6"/>
        <v>17.20654742559524</v>
      </c>
      <c r="V52" s="1">
        <f t="shared" si="7"/>
        <v>1.0555165803571429</v>
      </c>
      <c r="W52" s="1">
        <f t="shared" si="8"/>
        <v>0.39606701785714288</v>
      </c>
      <c r="X52" s="1">
        <f t="shared" si="9"/>
        <v>0.51208818154761904</v>
      </c>
      <c r="Y52" s="1">
        <f t="shared" si="10"/>
        <v>0.5697720357142857</v>
      </c>
      <c r="Z52" s="1">
        <f t="shared" si="11"/>
        <v>1.5218299583333332</v>
      </c>
      <c r="AA52" s="1">
        <f t="shared" si="12"/>
        <v>15.650097523809523</v>
      </c>
      <c r="AB52" s="1">
        <f t="shared" si="13"/>
        <v>17.171927482142856</v>
      </c>
      <c r="AC52" s="1">
        <f t="shared" si="14"/>
        <v>-23.264602000001105</v>
      </c>
    </row>
    <row r="53" spans="1:29" x14ac:dyDescent="0.25">
      <c r="A53">
        <v>23</v>
      </c>
      <c r="B53">
        <v>1344</v>
      </c>
      <c r="C53" t="s">
        <v>17</v>
      </c>
      <c r="D53" s="1">
        <v>71.556000000000495</v>
      </c>
      <c r="E53" s="1">
        <v>0.19656600000234903</v>
      </c>
      <c r="F53" s="1">
        <v>28.999187999997957</v>
      </c>
      <c r="G53" s="1">
        <v>23835.020666</v>
      </c>
      <c r="H53" s="1">
        <v>1476.09358</v>
      </c>
      <c r="I53" s="1">
        <v>451.468478</v>
      </c>
      <c r="J53" s="1">
        <v>590.73824000000002</v>
      </c>
      <c r="K53" s="1">
        <v>750.746174</v>
      </c>
      <c r="L53" s="1">
        <v>1822.901212</v>
      </c>
      <c r="M53" s="1">
        <v>21991.076453999998</v>
      </c>
      <c r="N53" s="1">
        <f t="shared" si="21"/>
        <v>23813.977665999999</v>
      </c>
      <c r="O53" s="1">
        <f t="shared" si="22"/>
        <v>-21.043000000001484</v>
      </c>
      <c r="R53" s="1">
        <f t="shared" si="3"/>
        <v>71.556000000000495</v>
      </c>
      <c r="S53" s="1">
        <f t="shared" si="4"/>
        <v>0.19656600000234903</v>
      </c>
      <c r="T53" s="1">
        <f t="shared" si="5"/>
        <v>2.1576776785712765E-2</v>
      </c>
      <c r="U53" s="1">
        <f t="shared" si="6"/>
        <v>17.734390376488097</v>
      </c>
      <c r="V53" s="1">
        <f t="shared" si="7"/>
        <v>1.0982839136904761</v>
      </c>
      <c r="W53" s="1">
        <f t="shared" si="8"/>
        <v>0.33591404613095238</v>
      </c>
      <c r="X53" s="1">
        <f t="shared" si="9"/>
        <v>0.43953738095238098</v>
      </c>
      <c r="Y53" s="1">
        <f t="shared" si="10"/>
        <v>0.55859090327380956</v>
      </c>
      <c r="Z53" s="1">
        <f t="shared" si="11"/>
        <v>1.3563253065476191</v>
      </c>
      <c r="AA53" s="1">
        <f t="shared" si="12"/>
        <v>16.362408075892855</v>
      </c>
      <c r="AB53" s="1">
        <f t="shared" si="13"/>
        <v>17.718733382440476</v>
      </c>
      <c r="AC53" s="1">
        <f t="shared" si="14"/>
        <v>-21.043000000001484</v>
      </c>
    </row>
    <row r="54" spans="1:29" x14ac:dyDescent="0.25">
      <c r="A54">
        <v>23</v>
      </c>
      <c r="B54">
        <v>2688</v>
      </c>
      <c r="C54" t="s">
        <v>17</v>
      </c>
      <c r="D54" s="1">
        <v>85.3240000000078</v>
      </c>
      <c r="E54" s="1">
        <v>0.12573400000110269</v>
      </c>
      <c r="F54" s="1">
        <v>54.264448000001721</v>
      </c>
      <c r="G54" s="1">
        <v>44109.340887999999</v>
      </c>
      <c r="H54" s="1">
        <v>2381.42893</v>
      </c>
      <c r="I54" s="1">
        <v>458.27502399999997</v>
      </c>
      <c r="J54" s="1">
        <v>612.51516200000003</v>
      </c>
      <c r="K54" s="1">
        <v>1391.66147</v>
      </c>
      <c r="L54" s="1">
        <v>2487.109078</v>
      </c>
      <c r="M54" s="1">
        <v>41602.114410000002</v>
      </c>
      <c r="N54" s="1">
        <f t="shared" si="21"/>
        <v>44089.223488000003</v>
      </c>
      <c r="O54" s="1">
        <f t="shared" si="22"/>
        <v>-20.117399999995541</v>
      </c>
      <c r="R54" s="1">
        <f t="shared" si="3"/>
        <v>85.3240000000078</v>
      </c>
      <c r="S54" s="1">
        <f t="shared" si="4"/>
        <v>0.12573400000110269</v>
      </c>
      <c r="T54" s="1">
        <f t="shared" si="5"/>
        <v>2.0187666666667308E-2</v>
      </c>
      <c r="U54" s="1">
        <f t="shared" si="6"/>
        <v>16.409725032738095</v>
      </c>
      <c r="V54" s="1">
        <f t="shared" si="7"/>
        <v>0.88594826264880955</v>
      </c>
      <c r="W54" s="1">
        <f t="shared" si="8"/>
        <v>0.17048922023809523</v>
      </c>
      <c r="X54" s="1">
        <f t="shared" si="9"/>
        <v>0.22787022395833334</v>
      </c>
      <c r="Y54" s="1">
        <f t="shared" si="10"/>
        <v>0.51773120163690478</v>
      </c>
      <c r="Z54" s="1">
        <f t="shared" si="11"/>
        <v>0.92526379389880953</v>
      </c>
      <c r="AA54" s="1">
        <f t="shared" si="12"/>
        <v>15.476977087053573</v>
      </c>
      <c r="AB54" s="1">
        <f t="shared" si="13"/>
        <v>16.402240880952384</v>
      </c>
      <c r="AC54" s="1">
        <f t="shared" si="14"/>
        <v>-20.117399999995541</v>
      </c>
    </row>
    <row r="55" spans="1:29" x14ac:dyDescent="0.25"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t="s">
        <v>24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D57" s="1">
        <v>7</v>
      </c>
      <c r="I57" s="1" t="s">
        <v>0</v>
      </c>
      <c r="J57" s="1" t="s">
        <v>1</v>
      </c>
      <c r="K57" s="1" t="s">
        <v>2</v>
      </c>
      <c r="L57" s="1" t="s">
        <v>3</v>
      </c>
      <c r="M57" s="1" t="s">
        <v>4</v>
      </c>
      <c r="N57" s="1" t="s">
        <v>5</v>
      </c>
      <c r="O57" s="1" t="s">
        <v>6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>
        <v>20</v>
      </c>
      <c r="D58" s="1" t="s">
        <v>7</v>
      </c>
      <c r="E58" s="1" t="s">
        <v>8</v>
      </c>
      <c r="F58" s="1" t="s">
        <v>9</v>
      </c>
      <c r="G58" s="1" t="s">
        <v>10</v>
      </c>
      <c r="H58" s="1" t="s">
        <v>11</v>
      </c>
      <c r="I58" s="1" t="s">
        <v>12</v>
      </c>
      <c r="J58" s="1" t="s">
        <v>13</v>
      </c>
      <c r="K58" s="1" t="s">
        <v>14</v>
      </c>
      <c r="L58" s="1" t="s">
        <v>15</v>
      </c>
      <c r="M58" s="1" t="s">
        <v>16</v>
      </c>
      <c r="N58" s="1" t="s">
        <v>10</v>
      </c>
      <c r="O58" s="1" t="s">
        <v>10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>
        <v>20</v>
      </c>
      <c r="B59">
        <v>42</v>
      </c>
      <c r="C59" t="s">
        <v>17</v>
      </c>
      <c r="D59" s="1">
        <v>49.858200000000579</v>
      </c>
      <c r="E59" s="1">
        <v>0.17826599999989412</v>
      </c>
      <c r="F59" s="1">
        <v>2.451654999999846</v>
      </c>
      <c r="G59" s="1">
        <v>2621.471501</v>
      </c>
      <c r="H59" s="1">
        <v>124.81397800000001</v>
      </c>
      <c r="I59" s="1">
        <v>85.416388999999995</v>
      </c>
      <c r="J59" s="1">
        <v>82.834926999999993</v>
      </c>
      <c r="K59" s="1">
        <v>382.35317400000002</v>
      </c>
      <c r="L59" s="1">
        <v>635.25125100000002</v>
      </c>
      <c r="M59" s="1">
        <v>1925.391646</v>
      </c>
      <c r="N59" s="1">
        <f>L59+M59</f>
        <v>2560.6428970000002</v>
      </c>
      <c r="O59" s="1">
        <f>N59-G59</f>
        <v>-60.828603999999814</v>
      </c>
      <c r="R59" s="1">
        <f t="shared" si="3"/>
        <v>49.858200000000579</v>
      </c>
      <c r="S59" s="1">
        <f t="shared" si="4"/>
        <v>0.17826599999989412</v>
      </c>
      <c r="T59" s="1">
        <f t="shared" si="5"/>
        <v>5.8372738095234432E-2</v>
      </c>
      <c r="U59" s="1">
        <f t="shared" si="6"/>
        <v>62.415988119047618</v>
      </c>
      <c r="V59" s="1">
        <f t="shared" si="7"/>
        <v>2.9717613809523811</v>
      </c>
      <c r="W59" s="1">
        <f t="shared" si="8"/>
        <v>2.0337235476190476</v>
      </c>
      <c r="X59" s="1">
        <f t="shared" si="9"/>
        <v>1.9722601666666666</v>
      </c>
      <c r="Y59" s="1">
        <f t="shared" si="10"/>
        <v>9.1036470000000005</v>
      </c>
      <c r="Z59" s="1">
        <f t="shared" si="11"/>
        <v>15.125029785714286</v>
      </c>
      <c r="AA59" s="1">
        <f t="shared" si="12"/>
        <v>45.84265823809524</v>
      </c>
      <c r="AB59" s="1">
        <f t="shared" si="13"/>
        <v>60.967688023809529</v>
      </c>
      <c r="AC59" s="1">
        <f t="shared" si="14"/>
        <v>-60.828603999999814</v>
      </c>
    </row>
    <row r="60" spans="1:29" x14ac:dyDescent="0.25">
      <c r="A60">
        <v>20</v>
      </c>
      <c r="B60">
        <v>84</v>
      </c>
      <c r="C60" t="s">
        <v>17</v>
      </c>
      <c r="D60" s="1">
        <v>50.504000000000815</v>
      </c>
      <c r="E60" s="1">
        <v>0.19630099999994854</v>
      </c>
      <c r="F60" s="1">
        <v>4.8217089999998279</v>
      </c>
      <c r="G60" s="1">
        <v>4804.2721500000007</v>
      </c>
      <c r="H60" s="1">
        <v>246.77284</v>
      </c>
      <c r="I60" s="1">
        <v>133.29694000000001</v>
      </c>
      <c r="J60" s="1">
        <v>135.14801900000001</v>
      </c>
      <c r="K60" s="1">
        <v>467.136189</v>
      </c>
      <c r="L60" s="1">
        <v>820.47568200000001</v>
      </c>
      <c r="M60" s="1">
        <v>3922.3512940000001</v>
      </c>
      <c r="N60" s="1">
        <f t="shared" ref="N60:N65" si="23">L60+M60</f>
        <v>4742.8269760000003</v>
      </c>
      <c r="O60" s="1">
        <f t="shared" ref="O60:O65" si="24">N60-G60</f>
        <v>-61.445174000000407</v>
      </c>
      <c r="R60" s="1">
        <f t="shared" si="3"/>
        <v>50.504000000000815</v>
      </c>
      <c r="S60" s="1">
        <f t="shared" si="4"/>
        <v>0.19630099999994854</v>
      </c>
      <c r="T60" s="1">
        <f t="shared" si="5"/>
        <v>5.7401297619045569E-2</v>
      </c>
      <c r="U60" s="1">
        <f t="shared" si="6"/>
        <v>57.193716071428582</v>
      </c>
      <c r="V60" s="1">
        <f t="shared" si="7"/>
        <v>2.9377719047619046</v>
      </c>
      <c r="W60" s="1">
        <f t="shared" si="8"/>
        <v>1.5868683333333333</v>
      </c>
      <c r="X60" s="1">
        <f t="shared" si="9"/>
        <v>1.6089049880952382</v>
      </c>
      <c r="Y60" s="1">
        <f t="shared" si="10"/>
        <v>5.561145107142857</v>
      </c>
      <c r="Z60" s="1">
        <f t="shared" si="11"/>
        <v>9.7675676428571432</v>
      </c>
      <c r="AA60" s="1">
        <f t="shared" si="12"/>
        <v>46.694658261904763</v>
      </c>
      <c r="AB60" s="1">
        <f t="shared" si="13"/>
        <v>56.462225904761908</v>
      </c>
      <c r="AC60" s="1">
        <f t="shared" si="14"/>
        <v>-61.445174000000407</v>
      </c>
    </row>
    <row r="61" spans="1:29" x14ac:dyDescent="0.25">
      <c r="A61">
        <v>20</v>
      </c>
      <c r="B61">
        <v>168</v>
      </c>
      <c r="C61" t="s">
        <v>17</v>
      </c>
      <c r="D61" s="1">
        <v>50.877399999999398</v>
      </c>
      <c r="E61" s="1">
        <v>0.19517699999960314</v>
      </c>
      <c r="F61" s="1">
        <v>9.4087020000006305</v>
      </c>
      <c r="G61" s="1">
        <v>8933.0490599999994</v>
      </c>
      <c r="H61" s="1">
        <v>427.42866099999998</v>
      </c>
      <c r="I61" s="1">
        <v>224.40024</v>
      </c>
      <c r="J61" s="1">
        <v>233.819142</v>
      </c>
      <c r="K61" s="1">
        <v>580.23956099999998</v>
      </c>
      <c r="L61" s="1">
        <v>1120.49263</v>
      </c>
      <c r="M61" s="1">
        <v>7753.3976789999997</v>
      </c>
      <c r="N61" s="1">
        <f t="shared" si="23"/>
        <v>8873.8903090000003</v>
      </c>
      <c r="O61" s="1">
        <f t="shared" si="24"/>
        <v>-59.158750999999029</v>
      </c>
      <c r="R61" s="1">
        <f t="shared" si="3"/>
        <v>50.877399999999398</v>
      </c>
      <c r="S61" s="1">
        <f t="shared" si="4"/>
        <v>0.19517699999960314</v>
      </c>
      <c r="T61" s="1">
        <f t="shared" si="5"/>
        <v>5.6004178571432327E-2</v>
      </c>
      <c r="U61" s="1">
        <f t="shared" si="6"/>
        <v>53.172911071428565</v>
      </c>
      <c r="V61" s="1">
        <f t="shared" si="7"/>
        <v>2.5442182202380952</v>
      </c>
      <c r="W61" s="1">
        <f t="shared" si="8"/>
        <v>1.3357157142857143</v>
      </c>
      <c r="X61" s="1">
        <f t="shared" si="9"/>
        <v>1.3917806071428571</v>
      </c>
      <c r="Y61" s="1">
        <f t="shared" si="10"/>
        <v>3.4538069107142855</v>
      </c>
      <c r="Z61" s="1">
        <f t="shared" si="11"/>
        <v>6.6695989880952382</v>
      </c>
      <c r="AA61" s="1">
        <f t="shared" si="12"/>
        <v>46.151176660714285</v>
      </c>
      <c r="AB61" s="1">
        <f t="shared" si="13"/>
        <v>52.820775648809523</v>
      </c>
      <c r="AC61" s="1">
        <f t="shared" si="14"/>
        <v>-59.158750999999029</v>
      </c>
    </row>
    <row r="62" spans="1:29" x14ac:dyDescent="0.25">
      <c r="A62">
        <v>20</v>
      </c>
      <c r="B62">
        <v>336</v>
      </c>
      <c r="C62" t="s">
        <v>17</v>
      </c>
      <c r="D62" s="1">
        <v>49.530000000006112</v>
      </c>
      <c r="E62" s="1">
        <v>0.2305969999943045</v>
      </c>
      <c r="F62" s="1">
        <v>18.127059999998892</v>
      </c>
      <c r="G62" s="1">
        <v>16619.141377</v>
      </c>
      <c r="H62" s="1">
        <v>904.83096599999999</v>
      </c>
      <c r="I62" s="1">
        <v>400.96893699999998</v>
      </c>
      <c r="J62" s="1">
        <v>437.80564199999998</v>
      </c>
      <c r="K62" s="1">
        <v>788.70569799999998</v>
      </c>
      <c r="L62" s="1">
        <v>1711.944328</v>
      </c>
      <c r="M62" s="1">
        <v>14846.678103</v>
      </c>
      <c r="N62" s="1">
        <f t="shared" si="23"/>
        <v>16558.622431</v>
      </c>
      <c r="O62" s="1">
        <f t="shared" si="24"/>
        <v>-60.518946000000142</v>
      </c>
      <c r="R62" s="1">
        <f t="shared" si="3"/>
        <v>49.530000000006112</v>
      </c>
      <c r="S62" s="1">
        <f t="shared" si="4"/>
        <v>0.2305969999943045</v>
      </c>
      <c r="T62" s="1">
        <f t="shared" si="5"/>
        <v>5.3949583333330033E-2</v>
      </c>
      <c r="U62" s="1">
        <f t="shared" si="6"/>
        <v>49.461730288690475</v>
      </c>
      <c r="V62" s="1">
        <f t="shared" si="7"/>
        <v>2.6929493035714285</v>
      </c>
      <c r="W62" s="1">
        <f t="shared" si="8"/>
        <v>1.1933599315476191</v>
      </c>
      <c r="X62" s="1">
        <f t="shared" si="9"/>
        <v>1.302992982142857</v>
      </c>
      <c r="Y62" s="1">
        <f t="shared" si="10"/>
        <v>2.3473383869047617</v>
      </c>
      <c r="Z62" s="1">
        <f t="shared" si="11"/>
        <v>5.0950724047619049</v>
      </c>
      <c r="AA62" s="1">
        <f t="shared" si="12"/>
        <v>44.18654197321429</v>
      </c>
      <c r="AB62" s="1">
        <f t="shared" si="13"/>
        <v>49.28161437797619</v>
      </c>
      <c r="AC62" s="1">
        <f t="shared" si="14"/>
        <v>-60.518946000000142</v>
      </c>
    </row>
    <row r="63" spans="1:29" x14ac:dyDescent="0.25">
      <c r="A63">
        <v>20</v>
      </c>
      <c r="B63">
        <v>672</v>
      </c>
      <c r="C63" t="s">
        <v>17</v>
      </c>
      <c r="D63" s="1">
        <v>49.917999999997846</v>
      </c>
      <c r="E63" s="1">
        <v>0.27748399999836693</v>
      </c>
      <c r="F63" s="1">
        <v>36.602552999996988</v>
      </c>
      <c r="G63" s="1">
        <v>32967.343998000004</v>
      </c>
      <c r="H63" s="1">
        <v>1596.729965</v>
      </c>
      <c r="I63" s="1">
        <v>451.574387</v>
      </c>
      <c r="J63" s="1">
        <v>509.95857100000001</v>
      </c>
      <c r="K63" s="1">
        <v>1079.423783</v>
      </c>
      <c r="L63" s="1">
        <v>2111.4592600000001</v>
      </c>
      <c r="M63" s="1">
        <v>30793.922967999999</v>
      </c>
      <c r="N63" s="1">
        <f t="shared" si="23"/>
        <v>32905.382228000002</v>
      </c>
      <c r="O63" s="1">
        <f t="shared" si="24"/>
        <v>-61.961770000001707</v>
      </c>
      <c r="R63" s="1">
        <f t="shared" si="3"/>
        <v>49.917999999997846</v>
      </c>
      <c r="S63" s="1">
        <f t="shared" si="4"/>
        <v>0.27748399999836693</v>
      </c>
      <c r="T63" s="1">
        <f t="shared" si="5"/>
        <v>5.4468084821424088E-2</v>
      </c>
      <c r="U63" s="1">
        <f t="shared" si="6"/>
        <v>49.058547616071436</v>
      </c>
      <c r="V63" s="1">
        <f t="shared" si="7"/>
        <v>2.376086257440476</v>
      </c>
      <c r="W63" s="1">
        <f t="shared" si="8"/>
        <v>0.67198569494047622</v>
      </c>
      <c r="X63" s="1">
        <f t="shared" si="9"/>
        <v>0.75886692113095244</v>
      </c>
      <c r="Y63" s="1">
        <f t="shared" si="10"/>
        <v>1.6062853913690476</v>
      </c>
      <c r="Z63" s="1">
        <f t="shared" si="11"/>
        <v>3.1420524702380952</v>
      </c>
      <c r="AA63" s="1">
        <f t="shared" si="12"/>
        <v>45.824290130952377</v>
      </c>
      <c r="AB63" s="1">
        <f t="shared" si="13"/>
        <v>48.966342601190476</v>
      </c>
      <c r="AC63" s="1">
        <f t="shared" si="14"/>
        <v>-61.961770000001707</v>
      </c>
    </row>
    <row r="64" spans="1:29" x14ac:dyDescent="0.25">
      <c r="A64">
        <v>20</v>
      </c>
      <c r="B64">
        <v>1344</v>
      </c>
      <c r="C64" t="s">
        <v>23</v>
      </c>
      <c r="D64" s="1">
        <v>51.181999999971595</v>
      </c>
      <c r="E64" s="1">
        <v>65696.18200000003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f t="shared" si="23"/>
        <v>0</v>
      </c>
      <c r="O64" s="1">
        <f t="shared" si="24"/>
        <v>0</v>
      </c>
      <c r="R64" s="1">
        <f t="shared" si="3"/>
        <v>51.181999999971595</v>
      </c>
      <c r="S64" s="1">
        <f t="shared" si="4"/>
        <v>65696.18200000003</v>
      </c>
      <c r="T64" s="1">
        <f t="shared" si="5"/>
        <v>0</v>
      </c>
      <c r="U64" s="1">
        <f t="shared" si="6"/>
        <v>0</v>
      </c>
      <c r="V64" s="1">
        <f t="shared" si="7"/>
        <v>0</v>
      </c>
      <c r="W64" s="1">
        <f t="shared" si="8"/>
        <v>0</v>
      </c>
      <c r="X64" s="1">
        <f t="shared" si="9"/>
        <v>0</v>
      </c>
      <c r="Y64" s="1">
        <f t="shared" si="10"/>
        <v>0</v>
      </c>
      <c r="Z64" s="1">
        <f t="shared" si="11"/>
        <v>0</v>
      </c>
      <c r="AA64" s="1">
        <f t="shared" si="12"/>
        <v>0</v>
      </c>
      <c r="AB64" s="1">
        <f t="shared" si="13"/>
        <v>0</v>
      </c>
      <c r="AC64" s="1">
        <f t="shared" si="14"/>
        <v>0</v>
      </c>
    </row>
    <row r="65" spans="1:29" x14ac:dyDescent="0.25">
      <c r="A65">
        <v>20</v>
      </c>
      <c r="B65">
        <v>2688</v>
      </c>
      <c r="C65" t="s">
        <v>17</v>
      </c>
      <c r="D65" s="1">
        <v>53.519999999989523</v>
      </c>
      <c r="E65" s="1">
        <v>1.2584740000020247</v>
      </c>
      <c r="F65" s="1">
        <v>148.47939500000211</v>
      </c>
      <c r="G65" s="1">
        <v>130262.611015</v>
      </c>
      <c r="H65" s="1">
        <v>7388.6311159999996</v>
      </c>
      <c r="I65" s="1">
        <v>1058.3951489999999</v>
      </c>
      <c r="J65" s="1">
        <v>1220.968556</v>
      </c>
      <c r="K65" s="1">
        <v>3547.5152200000002</v>
      </c>
      <c r="L65" s="1">
        <v>5893.3852749999996</v>
      </c>
      <c r="M65" s="1">
        <v>124305.11855699999</v>
      </c>
      <c r="N65" s="1">
        <f t="shared" si="23"/>
        <v>130198.50383199999</v>
      </c>
      <c r="O65" s="1">
        <f t="shared" si="24"/>
        <v>-64.107183000014629</v>
      </c>
      <c r="R65" s="1">
        <f t="shared" si="3"/>
        <v>53.519999999989523</v>
      </c>
      <c r="S65" s="1">
        <f t="shared" si="4"/>
        <v>1.2584740000020247</v>
      </c>
      <c r="T65" s="1">
        <f t="shared" si="5"/>
        <v>5.5237870163691263E-2</v>
      </c>
      <c r="U65" s="1">
        <f t="shared" si="6"/>
        <v>48.46079278831845</v>
      </c>
      <c r="V65" s="1">
        <f t="shared" si="7"/>
        <v>2.748746694940476</v>
      </c>
      <c r="W65" s="1">
        <f t="shared" si="8"/>
        <v>0.39374819531249999</v>
      </c>
      <c r="X65" s="1">
        <f t="shared" si="9"/>
        <v>0.45422937351190479</v>
      </c>
      <c r="Y65" s="1">
        <f t="shared" si="10"/>
        <v>1.3197601264880954</v>
      </c>
      <c r="Z65" s="1">
        <f t="shared" si="11"/>
        <v>2.1924796409970235</v>
      </c>
      <c r="AA65" s="1">
        <f t="shared" si="12"/>
        <v>46.244463748883923</v>
      </c>
      <c r="AB65" s="1">
        <f t="shared" si="13"/>
        <v>48.436943389880945</v>
      </c>
      <c r="AC65" s="1">
        <f t="shared" si="14"/>
        <v>-64.107183000014629</v>
      </c>
    </row>
    <row r="66" spans="1:29" x14ac:dyDescent="0.25"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t="s">
        <v>25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D68" s="1">
        <v>7</v>
      </c>
      <c r="I68" s="1" t="s">
        <v>0</v>
      </c>
      <c r="J68" s="1" t="s">
        <v>1</v>
      </c>
      <c r="K68" s="1" t="s">
        <v>2</v>
      </c>
      <c r="L68" s="1" t="s">
        <v>3</v>
      </c>
      <c r="M68" s="1" t="s">
        <v>4</v>
      </c>
      <c r="N68" s="1" t="s">
        <v>5</v>
      </c>
      <c r="O68" s="1" t="s">
        <v>6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>
        <v>17</v>
      </c>
      <c r="D69" s="1" t="s">
        <v>7</v>
      </c>
      <c r="E69" s="1" t="s">
        <v>8</v>
      </c>
      <c r="F69" s="1" t="s">
        <v>9</v>
      </c>
      <c r="G69" s="1" t="s">
        <v>10</v>
      </c>
      <c r="H69" s="1" t="s">
        <v>11</v>
      </c>
      <c r="I69" s="1" t="s">
        <v>12</v>
      </c>
      <c r="J69" s="1" t="s">
        <v>13</v>
      </c>
      <c r="K69" s="1" t="s">
        <v>14</v>
      </c>
      <c r="L69" s="1" t="s">
        <v>15</v>
      </c>
      <c r="M69" s="1" t="s">
        <v>16</v>
      </c>
      <c r="N69" s="1" t="s">
        <v>10</v>
      </c>
      <c r="O69" s="1" t="s">
        <v>10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>
        <v>17</v>
      </c>
      <c r="B70">
        <v>42</v>
      </c>
      <c r="C70" t="s">
        <v>17</v>
      </c>
      <c r="D70" s="1">
        <v>117.4887755102036</v>
      </c>
      <c r="E70" s="1">
        <v>-12.189003775510173</v>
      </c>
      <c r="F70" s="1">
        <v>1.9593749999999091</v>
      </c>
      <c r="G70" s="1">
        <v>3478.4423230000002</v>
      </c>
      <c r="H70" s="1">
        <v>78.470366999999996</v>
      </c>
      <c r="I70" s="1">
        <v>228.55620200000001</v>
      </c>
      <c r="J70" s="1">
        <v>216.95504099999999</v>
      </c>
      <c r="K70" s="1">
        <v>252.90226999999999</v>
      </c>
      <c r="L70" s="1">
        <v>1264.455222</v>
      </c>
      <c r="M70" s="1">
        <v>1836.3039160000001</v>
      </c>
      <c r="N70" s="1">
        <f>L70+M70</f>
        <v>3100.7591380000003</v>
      </c>
      <c r="O70" s="1">
        <f>N70-G70</f>
        <v>-377.68318499999987</v>
      </c>
      <c r="R70" s="1">
        <f t="shared" ref="R69:R76" si="25">D70</f>
        <v>117.4887755102036</v>
      </c>
      <c r="S70" s="1">
        <f t="shared" ref="S69:S76" si="26">E70</f>
        <v>-12.189003775510173</v>
      </c>
      <c r="T70" s="1">
        <f t="shared" ref="T69:T76" si="27">F70/$B70</f>
        <v>4.665178571428355E-2</v>
      </c>
      <c r="U70" s="1">
        <f t="shared" ref="U69:U76" si="28">G70/$B70</f>
        <v>82.820055309523809</v>
      </c>
      <c r="V70" s="1">
        <f t="shared" ref="V69:V76" si="29">H70/$B70</f>
        <v>1.8683420714285712</v>
      </c>
      <c r="W70" s="1">
        <f t="shared" ref="W69:W76" si="30">I70/$B70</f>
        <v>5.4418143333333333</v>
      </c>
      <c r="X70" s="1">
        <f t="shared" ref="X69:X76" si="31">J70/$B70</f>
        <v>5.1655962142857144</v>
      </c>
      <c r="Y70" s="1">
        <f t="shared" ref="Y69:Y76" si="32">K70/$B70</f>
        <v>6.0214826190476192</v>
      </c>
      <c r="Z70" s="1">
        <f t="shared" ref="Z69:Z76" si="33">L70/$B70</f>
        <v>30.106076714285717</v>
      </c>
      <c r="AA70" s="1">
        <f t="shared" ref="AA69:AA76" si="34">M70/$B70</f>
        <v>43.721521809523814</v>
      </c>
      <c r="AB70" s="1">
        <f t="shared" ref="AB69:AB76" si="35">N70/$B70</f>
        <v>73.827598523809527</v>
      </c>
      <c r="AC70" s="1">
        <f t="shared" ref="AC69:AC76" si="36">O70</f>
        <v>-377.68318499999987</v>
      </c>
    </row>
    <row r="71" spans="1:29" x14ac:dyDescent="0.25">
      <c r="A71">
        <v>17</v>
      </c>
      <c r="B71">
        <v>84</v>
      </c>
      <c r="C71" t="s">
        <v>17</v>
      </c>
      <c r="D71" s="1">
        <v>119.70600000000195</v>
      </c>
      <c r="E71" s="1">
        <v>0.46397199999864824</v>
      </c>
      <c r="F71" s="1">
        <v>3.4889650000004622</v>
      </c>
      <c r="G71" s="1">
        <v>5157.8074799999995</v>
      </c>
      <c r="H71" s="1">
        <v>149.22238300000001</v>
      </c>
      <c r="I71" s="1">
        <v>251.499548</v>
      </c>
      <c r="J71" s="1">
        <v>244.411765</v>
      </c>
      <c r="K71" s="1">
        <v>316.12970899999999</v>
      </c>
      <c r="L71" s="1">
        <v>1367.7755219999999</v>
      </c>
      <c r="M71" s="1">
        <v>3418.8313619999999</v>
      </c>
      <c r="N71" s="1">
        <f t="shared" ref="N71:N76" si="37">L71+M71</f>
        <v>4786.6068839999998</v>
      </c>
      <c r="O71" s="1">
        <f t="shared" ref="O71:O76" si="38">N71-G71</f>
        <v>-371.20059599999968</v>
      </c>
      <c r="R71" s="1">
        <f t="shared" si="25"/>
        <v>119.70600000000195</v>
      </c>
      <c r="S71" s="1">
        <f t="shared" si="26"/>
        <v>0.46397199999864824</v>
      </c>
      <c r="T71" s="1">
        <f t="shared" si="27"/>
        <v>4.153529761905312E-2</v>
      </c>
      <c r="U71" s="1">
        <f t="shared" si="28"/>
        <v>61.402469999999994</v>
      </c>
      <c r="V71" s="1">
        <f t="shared" si="29"/>
        <v>1.7764569404761905</v>
      </c>
      <c r="W71" s="1">
        <f t="shared" si="30"/>
        <v>2.9940422380952381</v>
      </c>
      <c r="X71" s="1">
        <f t="shared" si="31"/>
        <v>2.9096638690476189</v>
      </c>
      <c r="Y71" s="1">
        <f t="shared" si="32"/>
        <v>3.7634489166666665</v>
      </c>
      <c r="Z71" s="1">
        <f t="shared" si="33"/>
        <v>16.283041928571429</v>
      </c>
      <c r="AA71" s="1">
        <f t="shared" si="34"/>
        <v>40.700373357142858</v>
      </c>
      <c r="AB71" s="1">
        <f t="shared" si="35"/>
        <v>56.983415285714287</v>
      </c>
      <c r="AC71" s="1">
        <f t="shared" si="36"/>
        <v>-371.20059599999968</v>
      </c>
    </row>
    <row r="72" spans="1:29" x14ac:dyDescent="0.25">
      <c r="A72">
        <v>17</v>
      </c>
      <c r="B72">
        <v>168</v>
      </c>
      <c r="C72" t="s">
        <v>17</v>
      </c>
      <c r="D72" s="1">
        <v>116.07400000000234</v>
      </c>
      <c r="E72" s="1">
        <v>0.49832299999980023</v>
      </c>
      <c r="F72" s="1">
        <v>6.4929299999985233</v>
      </c>
      <c r="G72" s="1">
        <v>8354.9256400000013</v>
      </c>
      <c r="H72" s="1">
        <v>321.45490699999999</v>
      </c>
      <c r="I72" s="1">
        <v>302.95707599999997</v>
      </c>
      <c r="J72" s="1">
        <v>296.83328599999999</v>
      </c>
      <c r="K72" s="1">
        <v>353.14200199999999</v>
      </c>
      <c r="L72" s="1">
        <v>1498.9920239999999</v>
      </c>
      <c r="M72" s="1">
        <v>6488.0521390000004</v>
      </c>
      <c r="N72" s="1">
        <f t="shared" si="37"/>
        <v>7987.0441630000005</v>
      </c>
      <c r="O72" s="1">
        <f t="shared" si="38"/>
        <v>-367.88147700000081</v>
      </c>
      <c r="R72" s="1">
        <f t="shared" si="25"/>
        <v>116.07400000000234</v>
      </c>
      <c r="S72" s="1">
        <f t="shared" si="26"/>
        <v>0.49832299999980023</v>
      </c>
      <c r="T72" s="1">
        <f t="shared" si="27"/>
        <v>3.8648392857134069E-2</v>
      </c>
      <c r="U72" s="1">
        <f t="shared" si="28"/>
        <v>49.731700238095243</v>
      </c>
      <c r="V72" s="1">
        <f t="shared" si="29"/>
        <v>1.9134220654761904</v>
      </c>
      <c r="W72" s="1">
        <f t="shared" si="30"/>
        <v>1.8033159285714284</v>
      </c>
      <c r="X72" s="1">
        <f t="shared" si="31"/>
        <v>1.7668647976190475</v>
      </c>
      <c r="Y72" s="1">
        <f t="shared" si="32"/>
        <v>2.1020357261904761</v>
      </c>
      <c r="Z72" s="1">
        <f t="shared" si="33"/>
        <v>8.9225715714285716</v>
      </c>
      <c r="AA72" s="1">
        <f t="shared" si="34"/>
        <v>38.619357970238099</v>
      </c>
      <c r="AB72" s="1">
        <f t="shared" si="35"/>
        <v>47.541929541666669</v>
      </c>
      <c r="AC72" s="1">
        <f t="shared" si="36"/>
        <v>-367.88147700000081</v>
      </c>
    </row>
    <row r="73" spans="1:29" x14ac:dyDescent="0.25">
      <c r="A73">
        <v>17</v>
      </c>
      <c r="B73">
        <v>336</v>
      </c>
      <c r="C73" t="s">
        <v>17</v>
      </c>
      <c r="D73" s="1">
        <v>119.44599999999991</v>
      </c>
      <c r="E73" s="1">
        <v>0.50500800000008894</v>
      </c>
      <c r="F73" s="1">
        <v>12.858690999999453</v>
      </c>
      <c r="G73" s="1">
        <v>15230.466431000001</v>
      </c>
      <c r="H73" s="1">
        <v>701.08186999999998</v>
      </c>
      <c r="I73" s="1">
        <v>411.28106100000002</v>
      </c>
      <c r="J73" s="1">
        <v>414.79962799999998</v>
      </c>
      <c r="K73" s="1">
        <v>464.53882700000003</v>
      </c>
      <c r="L73" s="1">
        <v>1853.6811909999999</v>
      </c>
      <c r="M73" s="1">
        <v>12995.843047</v>
      </c>
      <c r="N73" s="1">
        <f t="shared" si="37"/>
        <v>14849.524238</v>
      </c>
      <c r="O73" s="1">
        <f t="shared" si="38"/>
        <v>-380.94219300000077</v>
      </c>
      <c r="R73" s="1">
        <f t="shared" si="25"/>
        <v>119.44599999999991</v>
      </c>
      <c r="S73" s="1">
        <f t="shared" si="26"/>
        <v>0.50500800000008894</v>
      </c>
      <c r="T73" s="1">
        <f t="shared" si="27"/>
        <v>3.8269913690474562E-2</v>
      </c>
      <c r="U73" s="1">
        <f t="shared" si="28"/>
        <v>45.328769139880954</v>
      </c>
      <c r="V73" s="1">
        <f t="shared" si="29"/>
        <v>2.0865531845238094</v>
      </c>
      <c r="W73" s="1">
        <f t="shared" si="30"/>
        <v>1.2240507767857143</v>
      </c>
      <c r="X73" s="1">
        <f t="shared" si="31"/>
        <v>1.2345227023809524</v>
      </c>
      <c r="Y73" s="1">
        <f t="shared" si="32"/>
        <v>1.3825560327380952</v>
      </c>
      <c r="Z73" s="1">
        <f t="shared" si="33"/>
        <v>5.5169083065476183</v>
      </c>
      <c r="AA73" s="1">
        <f t="shared" si="34"/>
        <v>38.678104306547617</v>
      </c>
      <c r="AB73" s="1">
        <f t="shared" si="35"/>
        <v>44.195012613095237</v>
      </c>
      <c r="AC73" s="1">
        <f t="shared" si="36"/>
        <v>-380.94219300000077</v>
      </c>
    </row>
    <row r="74" spans="1:29" x14ac:dyDescent="0.25">
      <c r="A74">
        <v>17</v>
      </c>
      <c r="B74">
        <v>672</v>
      </c>
      <c r="C74" t="s">
        <v>17</v>
      </c>
      <c r="D74" s="1">
        <v>116.0460000000021</v>
      </c>
      <c r="E74" s="1">
        <v>0.56639099999665632</v>
      </c>
      <c r="F74" s="1">
        <v>24.693670999997266</v>
      </c>
      <c r="G74" s="1">
        <v>28227.515198000001</v>
      </c>
      <c r="H74" s="1">
        <v>1414.45074</v>
      </c>
      <c r="I74" s="1">
        <v>614.57410500000003</v>
      </c>
      <c r="J74" s="1">
        <v>631.72896500000002</v>
      </c>
      <c r="K74" s="1">
        <v>900.00324499999999</v>
      </c>
      <c r="L74" s="1">
        <v>2695.8918410000001</v>
      </c>
      <c r="M74" s="1">
        <v>25171.098125</v>
      </c>
      <c r="N74" s="1">
        <f t="shared" si="37"/>
        <v>27866.989966000001</v>
      </c>
      <c r="O74" s="1">
        <f t="shared" si="38"/>
        <v>-360.52523199999996</v>
      </c>
      <c r="R74" s="1">
        <f t="shared" si="25"/>
        <v>116.0460000000021</v>
      </c>
      <c r="S74" s="1">
        <f t="shared" si="26"/>
        <v>0.56639099999665632</v>
      </c>
      <c r="T74" s="1">
        <f t="shared" si="27"/>
        <v>3.6746534226186407E-2</v>
      </c>
      <c r="U74" s="1">
        <f t="shared" si="28"/>
        <v>42.005230949404762</v>
      </c>
      <c r="V74" s="1">
        <f t="shared" si="29"/>
        <v>2.1048374107142855</v>
      </c>
      <c r="W74" s="1">
        <f t="shared" si="30"/>
        <v>0.91454479910714293</v>
      </c>
      <c r="X74" s="1">
        <f t="shared" si="31"/>
        <v>0.94007286458333339</v>
      </c>
      <c r="Y74" s="1">
        <f t="shared" si="32"/>
        <v>1.3392905431547619</v>
      </c>
      <c r="Z74" s="1">
        <f t="shared" si="33"/>
        <v>4.0117438110119048</v>
      </c>
      <c r="AA74" s="1">
        <f t="shared" si="34"/>
        <v>37.456991257440478</v>
      </c>
      <c r="AB74" s="1">
        <f t="shared" si="35"/>
        <v>41.468735068452382</v>
      </c>
      <c r="AC74" s="1">
        <f t="shared" si="36"/>
        <v>-360.52523199999996</v>
      </c>
    </row>
    <row r="75" spans="1:29" x14ac:dyDescent="0.25">
      <c r="A75">
        <v>17</v>
      </c>
      <c r="B75">
        <v>1344</v>
      </c>
      <c r="C75" t="s">
        <v>17</v>
      </c>
      <c r="D75" s="1">
        <v>122.51600000002509</v>
      </c>
      <c r="E75" s="1">
        <v>3.550608999983524</v>
      </c>
      <c r="F75" s="1">
        <v>48.492032000001927</v>
      </c>
      <c r="G75" s="1">
        <v>54544.582206999999</v>
      </c>
      <c r="H75" s="1">
        <v>2902.051152</v>
      </c>
      <c r="I75" s="1">
        <v>1011.4088850000001</v>
      </c>
      <c r="J75" s="1">
        <v>1066.4269139999999</v>
      </c>
      <c r="K75" s="1">
        <v>1500.373347</v>
      </c>
      <c r="L75" s="1">
        <v>4119.3309470000004</v>
      </c>
      <c r="M75" s="1">
        <v>50018.712891000003</v>
      </c>
      <c r="N75" s="1">
        <f t="shared" si="37"/>
        <v>54138.043838000005</v>
      </c>
      <c r="O75" s="1">
        <f t="shared" si="38"/>
        <v>-406.53836899999442</v>
      </c>
      <c r="R75" s="1">
        <f t="shared" si="25"/>
        <v>122.51600000002509</v>
      </c>
      <c r="S75" s="1">
        <f t="shared" si="26"/>
        <v>3.550608999983524</v>
      </c>
      <c r="T75" s="1">
        <f t="shared" si="27"/>
        <v>3.6080380952382383E-2</v>
      </c>
      <c r="U75" s="1">
        <f t="shared" si="28"/>
        <v>40.583766523065478</v>
      </c>
      <c r="V75" s="1">
        <f t="shared" si="29"/>
        <v>2.1592642500000001</v>
      </c>
      <c r="W75" s="1">
        <f t="shared" si="30"/>
        <v>0.75253637276785723</v>
      </c>
      <c r="X75" s="1">
        <f t="shared" si="31"/>
        <v>0.79347240624999993</v>
      </c>
      <c r="Y75" s="1">
        <f t="shared" si="32"/>
        <v>1.116349216517857</v>
      </c>
      <c r="Z75" s="1">
        <f t="shared" si="33"/>
        <v>3.0649783831845241</v>
      </c>
      <c r="AA75" s="1">
        <f t="shared" si="34"/>
        <v>37.216304234375002</v>
      </c>
      <c r="AB75" s="1">
        <f t="shared" si="35"/>
        <v>40.281282617559526</v>
      </c>
      <c r="AC75" s="1">
        <f t="shared" si="36"/>
        <v>-406.53836899999442</v>
      </c>
    </row>
    <row r="76" spans="1:29" x14ac:dyDescent="0.25">
      <c r="A76">
        <v>17</v>
      </c>
      <c r="B76">
        <v>2688</v>
      </c>
      <c r="C76" t="s">
        <v>17</v>
      </c>
      <c r="D76" s="1">
        <v>124.10000000000582</v>
      </c>
      <c r="E76" s="1">
        <v>0.73249999999825377</v>
      </c>
      <c r="F76" s="1">
        <v>96.552968999996665</v>
      </c>
      <c r="G76" s="1">
        <v>106460.010156</v>
      </c>
      <c r="H76" s="1">
        <v>7878.0643749999999</v>
      </c>
      <c r="I76" s="1">
        <v>1823.7939530000001</v>
      </c>
      <c r="J76" s="1">
        <v>1943.287644</v>
      </c>
      <c r="K76" s="1">
        <v>2122.9005029999998</v>
      </c>
      <c r="L76" s="1">
        <v>6435.6060639999996</v>
      </c>
      <c r="M76" s="1">
        <v>99639.094844000007</v>
      </c>
      <c r="N76" s="1">
        <f t="shared" si="37"/>
        <v>106074.700908</v>
      </c>
      <c r="O76" s="1">
        <f t="shared" si="38"/>
        <v>-385.30924800000503</v>
      </c>
      <c r="R76" s="1">
        <f t="shared" si="25"/>
        <v>124.10000000000582</v>
      </c>
      <c r="S76" s="1">
        <f t="shared" si="26"/>
        <v>0.73249999999825377</v>
      </c>
      <c r="T76" s="1">
        <f t="shared" si="27"/>
        <v>3.5920003348213048E-2</v>
      </c>
      <c r="U76" s="1">
        <f t="shared" si="28"/>
        <v>39.605658540178574</v>
      </c>
      <c r="V76" s="1">
        <f t="shared" si="29"/>
        <v>2.9308275204613095</v>
      </c>
      <c r="W76" s="1">
        <f t="shared" si="30"/>
        <v>0.67849477418154769</v>
      </c>
      <c r="X76" s="1">
        <f t="shared" si="31"/>
        <v>0.72294927232142858</v>
      </c>
      <c r="Y76" s="1">
        <f t="shared" si="32"/>
        <v>0.78976953236607139</v>
      </c>
      <c r="Z76" s="1">
        <f t="shared" si="33"/>
        <v>2.3941986845238095</v>
      </c>
      <c r="AA76" s="1">
        <f t="shared" si="34"/>
        <v>37.068115641369047</v>
      </c>
      <c r="AB76" s="1">
        <f t="shared" si="35"/>
        <v>39.462314325892855</v>
      </c>
      <c r="AC76" s="1">
        <f t="shared" si="36"/>
        <v>-385.30924800000503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Matrix ACO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2025-07-10T11:02:51Z</dcterms:modified>
</cp:coreProperties>
</file>