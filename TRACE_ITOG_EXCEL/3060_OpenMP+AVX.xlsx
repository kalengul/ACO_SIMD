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s\ACO_Cluster\CUDA_test_c++\TRACE_ITOG_EXCEL\"/>
    </mc:Choice>
  </mc:AlternateContent>
  <bookViews>
    <workbookView xWindow="0" yWindow="0" windowWidth="28800" windowHeight="11910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2" l="1"/>
  <c r="E20" i="2" s="1"/>
  <c r="F20" i="2" s="1"/>
  <c r="G20" i="2" s="1"/>
  <c r="H20" i="2" s="1"/>
  <c r="I20" i="2" s="1"/>
  <c r="J20" i="2" s="1"/>
  <c r="K20" i="2" s="1"/>
  <c r="L20" i="2" s="1"/>
  <c r="M20" i="2" s="1"/>
  <c r="N20" i="2" s="1"/>
  <c r="O20" i="2" s="1"/>
  <c r="P20" i="2" s="1"/>
  <c r="Q20" i="2" s="1"/>
  <c r="C20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C8" i="2"/>
  <c r="C23" i="2" s="1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C9" i="2"/>
  <c r="C24" i="2" s="1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C12" i="2"/>
  <c r="C27" i="2" s="1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C13" i="2"/>
  <c r="C28" i="2" s="1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6" i="2"/>
  <c r="C31" i="2" s="1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C17" i="2"/>
  <c r="C32" i="2" s="1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B8" i="2"/>
  <c r="B23" i="2" s="1"/>
  <c r="B9" i="2"/>
  <c r="B24" i="2" s="1"/>
  <c r="B10" i="2"/>
  <c r="B25" i="2" s="1"/>
  <c r="B11" i="2"/>
  <c r="B26" i="2" s="1"/>
  <c r="B12" i="2"/>
  <c r="B27" i="2" s="1"/>
  <c r="B13" i="2"/>
  <c r="B28" i="2" s="1"/>
  <c r="B14" i="2"/>
  <c r="B29" i="2" s="1"/>
  <c r="B15" i="2"/>
  <c r="B30" i="2" s="1"/>
  <c r="B16" i="2"/>
  <c r="B31" i="2" s="1"/>
  <c r="B17" i="2"/>
  <c r="B32" i="2" s="1"/>
  <c r="B7" i="2"/>
  <c r="B22" i="2" s="1"/>
  <c r="B6" i="2"/>
  <c r="B21" i="2" s="1"/>
  <c r="C5" i="2"/>
  <c r="D5" i="2" s="1"/>
  <c r="E5" i="2" s="1"/>
  <c r="E31" i="2" l="1"/>
  <c r="E23" i="2"/>
  <c r="D27" i="2"/>
  <c r="E30" i="2"/>
  <c r="E27" i="2"/>
  <c r="D31" i="2"/>
  <c r="D23" i="2"/>
  <c r="E26" i="2"/>
  <c r="E22" i="2"/>
  <c r="F5" i="2"/>
  <c r="F29" i="2" s="1"/>
  <c r="D32" i="2"/>
  <c r="D28" i="2"/>
  <c r="D24" i="2"/>
  <c r="D30" i="2"/>
  <c r="D26" i="2"/>
  <c r="D22" i="2"/>
  <c r="C30" i="2"/>
  <c r="C26" i="2"/>
  <c r="C22" i="2"/>
  <c r="E29" i="2"/>
  <c r="E25" i="2"/>
  <c r="E21" i="2"/>
  <c r="D29" i="2"/>
  <c r="D25" i="2"/>
  <c r="D21" i="2"/>
  <c r="C29" i="2"/>
  <c r="C25" i="2"/>
  <c r="C21" i="2"/>
  <c r="E32" i="2"/>
  <c r="E28" i="2"/>
  <c r="E24" i="2"/>
  <c r="F26" i="2" l="1"/>
  <c r="F30" i="2"/>
  <c r="G5" i="2"/>
  <c r="F25" i="2"/>
  <c r="F32" i="2"/>
  <c r="F27" i="2"/>
  <c r="F22" i="2"/>
  <c r="F21" i="2"/>
  <c r="F23" i="2"/>
  <c r="F28" i="2"/>
  <c r="F31" i="2"/>
  <c r="F24" i="2"/>
  <c r="H5" i="2" l="1"/>
  <c r="G31" i="2"/>
  <c r="G21" i="2"/>
  <c r="G28" i="2"/>
  <c r="G30" i="2"/>
  <c r="G29" i="2"/>
  <c r="G26" i="2"/>
  <c r="G25" i="2"/>
  <c r="G23" i="2"/>
  <c r="G24" i="2"/>
  <c r="G27" i="2"/>
  <c r="G22" i="2"/>
  <c r="G32" i="2"/>
  <c r="I5" i="2" l="1"/>
  <c r="H26" i="2"/>
  <c r="H22" i="2"/>
  <c r="H24" i="2"/>
  <c r="H23" i="2"/>
  <c r="H29" i="2"/>
  <c r="H32" i="2"/>
  <c r="H31" i="2"/>
  <c r="H21" i="2"/>
  <c r="H28" i="2"/>
  <c r="H30" i="2"/>
  <c r="H27" i="2"/>
  <c r="H25" i="2"/>
  <c r="J5" i="2" l="1"/>
  <c r="I23" i="2"/>
  <c r="I25" i="2"/>
  <c r="I24" i="2"/>
  <c r="I21" i="2"/>
  <c r="I31" i="2"/>
  <c r="I26" i="2"/>
  <c r="I32" i="2"/>
  <c r="I22" i="2"/>
  <c r="I30" i="2"/>
  <c r="I28" i="2"/>
  <c r="I27" i="2"/>
  <c r="I29" i="2"/>
  <c r="K5" i="2" l="1"/>
  <c r="J32" i="2"/>
  <c r="J30" i="2"/>
  <c r="J27" i="2"/>
  <c r="J29" i="2"/>
  <c r="J28" i="2"/>
  <c r="J25" i="2"/>
  <c r="J24" i="2"/>
  <c r="J23" i="2"/>
  <c r="J26" i="2"/>
  <c r="J21" i="2"/>
  <c r="J31" i="2"/>
  <c r="J22" i="2"/>
  <c r="L5" i="2" l="1"/>
  <c r="K27" i="2"/>
  <c r="K26" i="2"/>
  <c r="K21" i="2"/>
  <c r="K32" i="2"/>
  <c r="K28" i="2"/>
  <c r="K23" i="2"/>
  <c r="K22" i="2"/>
  <c r="K24" i="2"/>
  <c r="K31" i="2"/>
  <c r="K29" i="2"/>
  <c r="K30" i="2"/>
  <c r="K25" i="2"/>
  <c r="M5" i="2" l="1"/>
  <c r="L29" i="2"/>
  <c r="L24" i="2"/>
  <c r="L22" i="2"/>
  <c r="L23" i="2"/>
  <c r="L30" i="2"/>
  <c r="L25" i="2"/>
  <c r="L31" i="2"/>
  <c r="L21" i="2"/>
  <c r="L27" i="2"/>
  <c r="L32" i="2"/>
  <c r="L28" i="2"/>
  <c r="L26" i="2"/>
  <c r="N5" i="2" l="1"/>
  <c r="M31" i="2"/>
  <c r="M32" i="2"/>
  <c r="M29" i="2"/>
  <c r="M26" i="2"/>
  <c r="M28" i="2"/>
  <c r="M27" i="2"/>
  <c r="M23" i="2"/>
  <c r="M22" i="2"/>
  <c r="M24" i="2"/>
  <c r="M25" i="2"/>
  <c r="M30" i="2"/>
  <c r="M21" i="2"/>
  <c r="O5" i="2" l="1"/>
  <c r="N28" i="2"/>
  <c r="N26" i="2"/>
  <c r="N25" i="2"/>
  <c r="N24" i="2"/>
  <c r="N31" i="2"/>
  <c r="N27" i="2"/>
  <c r="N22" i="2"/>
  <c r="N21" i="2"/>
  <c r="N30" i="2"/>
  <c r="N32" i="2"/>
  <c r="N29" i="2"/>
  <c r="N23" i="2"/>
  <c r="P5" i="2" l="1"/>
  <c r="O27" i="2"/>
  <c r="O28" i="2"/>
  <c r="O23" i="2"/>
  <c r="O21" i="2"/>
  <c r="O22" i="2"/>
  <c r="O29" i="2"/>
  <c r="O24" i="2"/>
  <c r="O30" i="2"/>
  <c r="O32" i="2"/>
  <c r="O25" i="2"/>
  <c r="O31" i="2"/>
  <c r="O26" i="2"/>
  <c r="Q5" i="2" l="1"/>
  <c r="P32" i="2"/>
  <c r="P22" i="2"/>
  <c r="P29" i="2"/>
  <c r="P30" i="2"/>
  <c r="P31" i="2"/>
  <c r="P27" i="2"/>
  <c r="P28" i="2"/>
  <c r="P25" i="2"/>
  <c r="P23" i="2"/>
  <c r="P21" i="2"/>
  <c r="P24" i="2"/>
  <c r="P26" i="2"/>
  <c r="Q23" i="2" l="1"/>
  <c r="Q25" i="2"/>
  <c r="Q24" i="2"/>
  <c r="Q30" i="2"/>
  <c r="Q32" i="2"/>
  <c r="Q26" i="2"/>
  <c r="Q22" i="2"/>
  <c r="Q29" i="2"/>
  <c r="Q27" i="2"/>
  <c r="Q31" i="2"/>
  <c r="Q28" i="2"/>
  <c r="Q21" i="2"/>
</calcChain>
</file>

<file path=xl/sharedStrings.xml><?xml version="1.0" encoding="utf-8"?>
<sst xmlns="http://schemas.openxmlformats.org/spreadsheetml/2006/main" count="570" uniqueCount="53">
  <si>
    <t xml:space="preserve"> PARAMETR_SIZE: 42</t>
  </si>
  <si>
    <t xml:space="preserve"> SET_PARAMETR_SIZE_ONE_X: 21</t>
  </si>
  <si>
    <t xml:space="preserve"> ANT_SIZE: 500</t>
  </si>
  <si>
    <t xml:space="preserve"> MAX_THREAD_CUDA: 512</t>
  </si>
  <si>
    <t xml:space="preserve"> KOL_ITERATION: 500</t>
  </si>
  <si>
    <t xml:space="preserve"> KOL_PROGREV: 5</t>
  </si>
  <si>
    <t xml:space="preserve"> KOL_PROGON_STATISTICS: 10</t>
  </si>
  <si>
    <t xml:space="preserve"> PARAMETR_Q: 1</t>
  </si>
  <si>
    <t xml:space="preserve"> PRINT_INFORMATION: 0</t>
  </si>
  <si>
    <t xml:space="preserve"> MAX_PARAMETR_VALUE_TO_MIN_OPT: 1</t>
  </si>
  <si>
    <t xml:space="preserve"> OPTIMIZE: OPTIMIZE_MAX </t>
  </si>
  <si>
    <t xml:space="preserve"> FUNCTION: SHAFFERA </t>
  </si>
  <si>
    <t xml:space="preserve"> HASH_TABLE_SIZE: 67108864</t>
  </si>
  <si>
    <t xml:space="preserve"> ZERO_HASH_RESULT: -1</t>
  </si>
  <si>
    <t xml:space="preserve"> ZERO_HASH: 18446744073709551615</t>
  </si>
  <si>
    <t xml:space="preserve"> MAX_PROBES: 10000</t>
  </si>
  <si>
    <t xml:space="preserve"> KOL_STAT_LEVEL: 20</t>
  </si>
  <si>
    <t xml:space="preserve"> TYPE_ACO: 1</t>
  </si>
  <si>
    <t xml:space="preserve"> ACOCCyN_KOL_ITERATION: 50</t>
  </si>
  <si>
    <t xml:space="preserve"> CPU_RANDOM: 0</t>
  </si>
  <si>
    <t xml:space="preserve"> KOL_THREAD_CPU_ANT: 12</t>
  </si>
  <si>
    <t xml:space="preserve"> CONST_AVX: 4</t>
  </si>
  <si>
    <t xml:space="preserve"> CONST_RANDOM: 100000</t>
  </si>
  <si>
    <t xml:space="preserve"> MAX_CONST: 8000</t>
  </si>
  <si>
    <t xml:space="preserve"> BIN_SEARCH: 0</t>
  </si>
  <si>
    <t xml:space="preserve"> GO_ALG_MINMAX: 1</t>
  </si>
  <si>
    <t xml:space="preserve"> PAR_MAX_ALG_MINMAX: 1000</t>
  </si>
  <si>
    <t xml:space="preserve"> PAR_MIN_ALG_MINMAX: 1</t>
  </si>
  <si>
    <t xml:space="preserve">  </t>
  </si>
  <si>
    <t xml:space="preserve"> </t>
  </si>
  <si>
    <t xml:space="preserve"> PARAMETR_SIZE: 84</t>
  </si>
  <si>
    <t xml:space="preserve"> PARAMETR_SIZE: 168</t>
  </si>
  <si>
    <t xml:space="preserve"> PARAMETR_SIZE: 336</t>
  </si>
  <si>
    <t xml:space="preserve"> PARAMETR_SIZE: 672</t>
  </si>
  <si>
    <t xml:space="preserve"> PARAMETR_SIZE: 1344</t>
  </si>
  <si>
    <t xml:space="preserve"> PARAMETR_SIZE: 2688</t>
  </si>
  <si>
    <t xml:space="preserve"> PARAMETR_SIZE: 5376</t>
  </si>
  <si>
    <t xml:space="preserve"> PARAMETR_SIZE: 10752</t>
  </si>
  <si>
    <t xml:space="preserve"> PARAMETR_SIZE: 21504</t>
  </si>
  <si>
    <t xml:space="preserve"> PARAMETR_RO: 0,999</t>
  </si>
  <si>
    <t>OpenMP version: 202011</t>
  </si>
  <si>
    <t xml:space="preserve"> AVX2 optimization enabled</t>
  </si>
  <si>
    <t xml:space="preserve"> MAX_VALUE_SIZE: 4</t>
  </si>
  <si>
    <t xml:space="preserve"> NAME_FILE_GRAPH: Parametr_Graph/test42_4,txt</t>
  </si>
  <si>
    <t xml:space="preserve"> NAME_FILE_GRAPH: Parametr_Graph/test84_4,txt</t>
  </si>
  <si>
    <t xml:space="preserve"> NAME_FILE_GRAPH: Parametr_Graph/test168_4,txt</t>
  </si>
  <si>
    <t xml:space="preserve"> NAME_FILE_GRAPH: Parametr_Graph/test336_4,txt</t>
  </si>
  <si>
    <t xml:space="preserve"> NAME_FILE_GRAPH: Parametr_Graph/test672_4,txt</t>
  </si>
  <si>
    <t xml:space="preserve"> NAME_FILE_GRAPH: Parametr_Graph/test1344_4,txt</t>
  </si>
  <si>
    <t xml:space="preserve"> NAME_FILE_GRAPH: Parametr_Graph/test2688_4,txt</t>
  </si>
  <si>
    <t xml:space="preserve"> NAME_FILE_GRAPH: Parametr_Graph/test5376_4,txt</t>
  </si>
  <si>
    <t xml:space="preserve"> NAME_FILE_GRAPH: Parametr_Graph/test10752_4,txt</t>
  </si>
  <si>
    <t xml:space="preserve"> NAME_FILE_GRAPH: Parametr_Graph/test21504_4,txt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</si>
</sst>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0"/>
  <sheetViews>
    <sheetView topLeftCell="A97" workbookViewId="0">
      <selection activeCell="A118" sqref="A118:AG130"/>
    </sheetView>
  </sheetViews>
  <sheetFormatPr defaultRowHeight="15" x14ac:dyDescent="0.25"/>
  <sheetData>
    <row r="1" spans="1:33" x14ac:dyDescent="0.25">
      <c r="A1" t="s">
        <v>40</v>
      </c>
      <c r="B1" t="s">
        <v>41</v>
      </c>
      <c r="C1" t="s">
        <v>0</v>
      </c>
      <c r="D1" t="s">
        <v>42</v>
      </c>
      <c r="E1" t="s">
        <v>1</v>
      </c>
      <c r="F1" t="s">
        <v>2</v>
      </c>
      <c r="G1" t="s">
        <v>3</v>
      </c>
      <c r="H1" t="s">
        <v>43</v>
      </c>
      <c r="I1" t="s">
        <v>4</v>
      </c>
      <c r="J1" t="s">
        <v>5</v>
      </c>
      <c r="K1" t="s">
        <v>6</v>
      </c>
      <c r="L1" t="s">
        <v>39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</row>
    <row r="2" spans="1:33" x14ac:dyDescent="0.25">
      <c r="A2">
        <v>1</v>
      </c>
      <c r="B2">
        <v>164.12700000000001</v>
      </c>
      <c r="C2">
        <v>0.23103000000000001</v>
      </c>
      <c r="D2">
        <v>157.184</v>
      </c>
      <c r="E2">
        <v>6.1839300000000001</v>
      </c>
      <c r="F2">
        <v>80.085400000000007</v>
      </c>
      <c r="G2">
        <v>13.245100000000001</v>
      </c>
      <c r="H2">
        <v>0</v>
      </c>
      <c r="I2">
        <v>99.992000000000004</v>
      </c>
      <c r="J2">
        <v>0</v>
      </c>
      <c r="K2">
        <v>1.2300499999999999E-3</v>
      </c>
      <c r="L2" t="s">
        <v>28</v>
      </c>
      <c r="M2" s="1">
        <v>269789</v>
      </c>
      <c r="N2">
        <v>0.538628</v>
      </c>
      <c r="O2" s="1">
        <v>247446</v>
      </c>
      <c r="P2">
        <v>384.08199999999999</v>
      </c>
      <c r="Q2">
        <v>64309.1</v>
      </c>
      <c r="R2">
        <v>1755.7</v>
      </c>
      <c r="S2" t="s">
        <v>29</v>
      </c>
    </row>
    <row r="3" spans="1:33" x14ac:dyDescent="0.25">
      <c r="A3">
        <v>2</v>
      </c>
      <c r="B3">
        <v>113.962</v>
      </c>
      <c r="C3">
        <v>5.5906500000000001</v>
      </c>
      <c r="D3">
        <v>93.268900000000002</v>
      </c>
      <c r="E3">
        <v>14.544600000000001</v>
      </c>
      <c r="F3">
        <v>78.224299999999999</v>
      </c>
      <c r="G3">
        <v>13.1639</v>
      </c>
      <c r="H3">
        <v>0</v>
      </c>
      <c r="I3">
        <v>49.992800000000003</v>
      </c>
      <c r="J3">
        <v>0</v>
      </c>
      <c r="K3">
        <v>1.2300499999999999E-3</v>
      </c>
      <c r="L3" t="s">
        <v>28</v>
      </c>
      <c r="M3">
        <v>129906</v>
      </c>
      <c r="N3">
        <v>312.74900000000002</v>
      </c>
      <c r="O3">
        <v>87016.6</v>
      </c>
      <c r="P3">
        <v>2115.87</v>
      </c>
      <c r="Q3">
        <v>61216.800000000003</v>
      </c>
      <c r="R3">
        <v>1733.36</v>
      </c>
      <c r="S3" t="s">
        <v>29</v>
      </c>
    </row>
    <row r="4" spans="1:33" x14ac:dyDescent="0.25">
      <c r="A4">
        <v>3</v>
      </c>
      <c r="B4">
        <v>105.005</v>
      </c>
      <c r="C4">
        <v>6.2918000000000003</v>
      </c>
      <c r="D4">
        <v>82.496600000000001</v>
      </c>
      <c r="E4">
        <v>15.6455</v>
      </c>
      <c r="F4">
        <v>78.3185</v>
      </c>
      <c r="G4">
        <v>13.241099999999999</v>
      </c>
      <c r="H4">
        <v>0</v>
      </c>
      <c r="I4">
        <v>33.328699999999998</v>
      </c>
      <c r="J4">
        <v>0</v>
      </c>
      <c r="K4">
        <v>1.2300499999999999E-3</v>
      </c>
      <c r="L4" t="s">
        <v>28</v>
      </c>
      <c r="M4">
        <v>110280</v>
      </c>
      <c r="N4">
        <v>395.98599999999999</v>
      </c>
      <c r="O4">
        <v>68074.2</v>
      </c>
      <c r="P4">
        <v>2450.0100000000002</v>
      </c>
      <c r="Q4">
        <v>61342.6</v>
      </c>
      <c r="R4">
        <v>1753.29</v>
      </c>
      <c r="S4" t="s">
        <v>29</v>
      </c>
    </row>
    <row r="5" spans="1:33" x14ac:dyDescent="0.25">
      <c r="A5">
        <v>4</v>
      </c>
      <c r="B5">
        <v>105.102</v>
      </c>
      <c r="C5">
        <v>6.3861100000000004</v>
      </c>
      <c r="D5">
        <v>81.831999999999994</v>
      </c>
      <c r="E5">
        <v>16.327999999999999</v>
      </c>
      <c r="F5">
        <v>78.781599999999997</v>
      </c>
      <c r="G5">
        <v>13.147</v>
      </c>
      <c r="H5">
        <v>0</v>
      </c>
      <c r="I5">
        <v>24.996500000000001</v>
      </c>
      <c r="J5">
        <v>0</v>
      </c>
      <c r="K5">
        <v>1.2300499999999999E-3</v>
      </c>
      <c r="L5" t="s">
        <v>28</v>
      </c>
      <c r="M5">
        <v>110672</v>
      </c>
      <c r="N5">
        <v>410.13600000000002</v>
      </c>
      <c r="O5">
        <v>67233.899999999994</v>
      </c>
      <c r="P5">
        <v>2668.43</v>
      </c>
      <c r="Q5">
        <v>62088.4</v>
      </c>
      <c r="R5">
        <v>1728.62</v>
      </c>
      <c r="S5" t="s">
        <v>29</v>
      </c>
    </row>
    <row r="6" spans="1:33" x14ac:dyDescent="0.25">
      <c r="A6">
        <v>5</v>
      </c>
      <c r="B6">
        <v>113.309</v>
      </c>
      <c r="C6">
        <v>7.5425000000000004</v>
      </c>
      <c r="D6">
        <v>87.626599999999996</v>
      </c>
      <c r="E6">
        <v>17.5808</v>
      </c>
      <c r="F6">
        <v>80.360500000000002</v>
      </c>
      <c r="G6">
        <v>13.499700000000001</v>
      </c>
      <c r="H6">
        <v>0</v>
      </c>
      <c r="I6">
        <v>19.997299999999999</v>
      </c>
      <c r="J6">
        <v>0</v>
      </c>
      <c r="K6">
        <v>1.2300499999999999E-3</v>
      </c>
      <c r="L6" t="s">
        <v>28</v>
      </c>
      <c r="M6">
        <v>128452</v>
      </c>
      <c r="N6">
        <v>579.70899999999995</v>
      </c>
      <c r="O6">
        <v>76847.5</v>
      </c>
      <c r="P6">
        <v>3128.69</v>
      </c>
      <c r="Q6">
        <v>64721.7</v>
      </c>
      <c r="R6">
        <v>1823.16</v>
      </c>
      <c r="S6" t="s">
        <v>29</v>
      </c>
    </row>
    <row r="7" spans="1:33" x14ac:dyDescent="0.25">
      <c r="A7">
        <v>6</v>
      </c>
      <c r="B7">
        <v>112.434</v>
      </c>
      <c r="C7">
        <v>9.3730399999999996</v>
      </c>
      <c r="D7">
        <v>81.140100000000004</v>
      </c>
      <c r="E7">
        <v>21.364699999999999</v>
      </c>
      <c r="F7">
        <v>78.6601</v>
      </c>
      <c r="G7">
        <v>13.1701</v>
      </c>
      <c r="H7">
        <v>0</v>
      </c>
      <c r="I7">
        <v>16.6648</v>
      </c>
      <c r="J7">
        <v>0</v>
      </c>
      <c r="K7">
        <v>1.2300499999999999E-3</v>
      </c>
      <c r="L7" t="s">
        <v>28</v>
      </c>
      <c r="M7">
        <v>126446</v>
      </c>
      <c r="N7">
        <v>879.05399999999997</v>
      </c>
      <c r="O7">
        <v>65850.3</v>
      </c>
      <c r="P7">
        <v>4574.51</v>
      </c>
      <c r="Q7">
        <v>61875.8</v>
      </c>
      <c r="R7">
        <v>1734.57</v>
      </c>
      <c r="S7" t="s">
        <v>29</v>
      </c>
    </row>
    <row r="8" spans="1:33" x14ac:dyDescent="0.25">
      <c r="A8">
        <v>7</v>
      </c>
      <c r="B8">
        <v>116.217</v>
      </c>
      <c r="C8">
        <v>10.2591</v>
      </c>
      <c r="D8">
        <v>82.646500000000003</v>
      </c>
      <c r="E8">
        <v>22.7484</v>
      </c>
      <c r="F8">
        <v>80.9255</v>
      </c>
      <c r="G8">
        <v>13.2957</v>
      </c>
      <c r="H8">
        <v>0</v>
      </c>
      <c r="I8">
        <v>14.2841</v>
      </c>
      <c r="J8">
        <v>0</v>
      </c>
      <c r="K8">
        <v>1.2300499999999999E-3</v>
      </c>
      <c r="L8" t="s">
        <v>28</v>
      </c>
      <c r="M8">
        <v>135203</v>
      </c>
      <c r="N8">
        <v>1054.55</v>
      </c>
      <c r="O8">
        <v>68379.199999999997</v>
      </c>
      <c r="P8">
        <v>5192.32</v>
      </c>
      <c r="Q8">
        <v>65546</v>
      </c>
      <c r="R8">
        <v>1768.24</v>
      </c>
      <c r="S8" t="s">
        <v>29</v>
      </c>
    </row>
    <row r="9" spans="1:33" x14ac:dyDescent="0.25">
      <c r="A9">
        <v>8</v>
      </c>
      <c r="B9">
        <v>112.53700000000001</v>
      </c>
      <c r="C9">
        <v>11.1433</v>
      </c>
      <c r="D9">
        <v>76.195999999999998</v>
      </c>
      <c r="E9">
        <v>24.638200000000001</v>
      </c>
      <c r="F9">
        <v>82.758200000000002</v>
      </c>
      <c r="G9">
        <v>13.471</v>
      </c>
      <c r="H9">
        <v>0</v>
      </c>
      <c r="I9">
        <v>12.4986</v>
      </c>
      <c r="J9">
        <v>0</v>
      </c>
      <c r="K9">
        <v>1.2300600000000001E-3</v>
      </c>
      <c r="L9" t="s">
        <v>28</v>
      </c>
      <c r="M9">
        <v>126673</v>
      </c>
      <c r="N9">
        <v>1246</v>
      </c>
      <c r="O9">
        <v>58121.8</v>
      </c>
      <c r="P9">
        <v>6090.83</v>
      </c>
      <c r="Q9" s="1">
        <v>68527.100000000006</v>
      </c>
      <c r="R9">
        <v>1814.85</v>
      </c>
      <c r="S9" t="s">
        <v>29</v>
      </c>
    </row>
    <row r="10" spans="1:33" x14ac:dyDescent="0.25">
      <c r="A10">
        <v>9</v>
      </c>
      <c r="B10">
        <v>113.69</v>
      </c>
      <c r="C10">
        <v>11.1845</v>
      </c>
      <c r="D10">
        <v>77.094899999999996</v>
      </c>
      <c r="E10">
        <v>24.851099999999999</v>
      </c>
      <c r="F10">
        <v>80.847899999999996</v>
      </c>
      <c r="G10">
        <v>13.1828</v>
      </c>
      <c r="H10">
        <v>0</v>
      </c>
      <c r="I10">
        <v>11.1099</v>
      </c>
      <c r="J10">
        <v>0</v>
      </c>
      <c r="K10">
        <v>1.2300499999999999E-3</v>
      </c>
      <c r="L10" t="s">
        <v>28</v>
      </c>
      <c r="M10">
        <v>129379</v>
      </c>
      <c r="N10">
        <v>1252.53</v>
      </c>
      <c r="O10">
        <v>59549.3</v>
      </c>
      <c r="P10">
        <v>6177.98</v>
      </c>
      <c r="Q10">
        <v>65373.8</v>
      </c>
      <c r="R10">
        <v>1737.9</v>
      </c>
      <c r="S10" t="s">
        <v>29</v>
      </c>
    </row>
    <row r="11" spans="1:33" x14ac:dyDescent="0.25">
      <c r="A11">
        <v>10</v>
      </c>
      <c r="B11">
        <v>123.048</v>
      </c>
      <c r="C11">
        <v>11.455299999999999</v>
      </c>
      <c r="D11">
        <v>84.695099999999996</v>
      </c>
      <c r="E11">
        <v>26.334199999999999</v>
      </c>
      <c r="F11">
        <v>82.7834</v>
      </c>
      <c r="G11">
        <v>13.5335</v>
      </c>
      <c r="H11">
        <v>0</v>
      </c>
      <c r="I11">
        <v>9.9989600000000003</v>
      </c>
      <c r="J11">
        <v>0</v>
      </c>
      <c r="K11">
        <v>1.2300499999999999E-3</v>
      </c>
      <c r="L11" t="s">
        <v>28</v>
      </c>
      <c r="M11">
        <v>151458</v>
      </c>
      <c r="N11">
        <v>1313.75</v>
      </c>
      <c r="O11">
        <v>71789.100000000006</v>
      </c>
      <c r="P11">
        <v>6940.38</v>
      </c>
      <c r="Q11" s="1">
        <v>68538.3</v>
      </c>
      <c r="R11">
        <v>1831.73</v>
      </c>
      <c r="S11" t="s">
        <v>29</v>
      </c>
    </row>
    <row r="12" spans="1:33" x14ac:dyDescent="0.25">
      <c r="A12">
        <v>11</v>
      </c>
      <c r="B12">
        <v>124.104</v>
      </c>
      <c r="C12">
        <v>12.4419</v>
      </c>
      <c r="D12">
        <v>83.296400000000006</v>
      </c>
      <c r="E12">
        <v>27.803599999999999</v>
      </c>
      <c r="F12">
        <v>82.188999999999993</v>
      </c>
      <c r="G12">
        <v>13.4672</v>
      </c>
      <c r="H12">
        <v>0</v>
      </c>
      <c r="I12">
        <v>9.08995</v>
      </c>
      <c r="J12">
        <v>0</v>
      </c>
      <c r="K12">
        <v>1.2300499999999999E-3</v>
      </c>
      <c r="L12" t="s">
        <v>28</v>
      </c>
      <c r="M12">
        <v>154151</v>
      </c>
      <c r="N12">
        <v>1550.24</v>
      </c>
      <c r="O12">
        <v>69490.100000000006</v>
      </c>
      <c r="P12">
        <v>7735.7</v>
      </c>
      <c r="Q12">
        <v>67561.600000000006</v>
      </c>
      <c r="R12">
        <v>1813.84</v>
      </c>
      <c r="S12" t="s">
        <v>29</v>
      </c>
    </row>
    <row r="13" spans="1:33" x14ac:dyDescent="0.25">
      <c r="A13">
        <v>12</v>
      </c>
      <c r="B13">
        <v>121.148</v>
      </c>
      <c r="C13">
        <v>12.4276</v>
      </c>
      <c r="D13">
        <v>79.550299999999993</v>
      </c>
      <c r="E13">
        <v>28.601700000000001</v>
      </c>
      <c r="F13">
        <v>83.3523</v>
      </c>
      <c r="G13">
        <v>13.574999999999999</v>
      </c>
      <c r="H13">
        <v>0</v>
      </c>
      <c r="I13">
        <v>8.3324400000000001</v>
      </c>
      <c r="J13">
        <v>0</v>
      </c>
      <c r="K13">
        <v>1.2300499999999999E-3</v>
      </c>
      <c r="L13" t="s">
        <v>28</v>
      </c>
      <c r="M13">
        <v>146873</v>
      </c>
      <c r="N13">
        <v>1550.98</v>
      </c>
      <c r="O13">
        <v>63422.3</v>
      </c>
      <c r="P13">
        <v>8190.34</v>
      </c>
      <c r="Q13">
        <v>69546.5</v>
      </c>
      <c r="R13">
        <v>1844.64</v>
      </c>
      <c r="S13" t="s">
        <v>29</v>
      </c>
    </row>
    <row r="14" spans="1:33" x14ac:dyDescent="0.25">
      <c r="A14" t="s">
        <v>40</v>
      </c>
      <c r="B14" t="s">
        <v>41</v>
      </c>
      <c r="C14" t="s">
        <v>30</v>
      </c>
      <c r="D14" t="s">
        <v>42</v>
      </c>
      <c r="E14" t="s">
        <v>1</v>
      </c>
      <c r="F14" t="s">
        <v>2</v>
      </c>
      <c r="G14" t="s">
        <v>3</v>
      </c>
      <c r="H14" t="s">
        <v>44</v>
      </c>
      <c r="I14" t="s">
        <v>4</v>
      </c>
      <c r="J14" t="s">
        <v>5</v>
      </c>
      <c r="K14" t="s">
        <v>6</v>
      </c>
      <c r="L14" t="s">
        <v>39</v>
      </c>
      <c r="M14" t="s">
        <v>7</v>
      </c>
      <c r="N14" t="s">
        <v>8</v>
      </c>
      <c r="O14" t="s">
        <v>9</v>
      </c>
      <c r="P14" t="s">
        <v>10</v>
      </c>
      <c r="Q14" t="s">
        <v>11</v>
      </c>
      <c r="R14" t="s">
        <v>12</v>
      </c>
      <c r="S14" t="s">
        <v>13</v>
      </c>
      <c r="T14" t="s">
        <v>14</v>
      </c>
      <c r="U14" t="s">
        <v>15</v>
      </c>
      <c r="V14" t="s">
        <v>16</v>
      </c>
      <c r="W14" t="s">
        <v>17</v>
      </c>
      <c r="X14" t="s">
        <v>18</v>
      </c>
      <c r="Y14" t="s">
        <v>19</v>
      </c>
      <c r="Z14" t="s">
        <v>20</v>
      </c>
      <c r="AA14" t="s">
        <v>21</v>
      </c>
      <c r="AB14" t="s">
        <v>22</v>
      </c>
      <c r="AC14" t="s">
        <v>23</v>
      </c>
      <c r="AD14" t="s">
        <v>24</v>
      </c>
      <c r="AE14" t="s">
        <v>25</v>
      </c>
      <c r="AF14" t="s">
        <v>26</v>
      </c>
      <c r="AG14" t="s">
        <v>27</v>
      </c>
    </row>
    <row r="15" spans="1:33" x14ac:dyDescent="0.25">
      <c r="A15">
        <v>1</v>
      </c>
      <c r="B15">
        <v>249.15299999999999</v>
      </c>
      <c r="C15">
        <v>0.35708000000000001</v>
      </c>
      <c r="D15">
        <v>237.06100000000001</v>
      </c>
      <c r="E15">
        <v>11.2201</v>
      </c>
      <c r="F15">
        <v>113.084</v>
      </c>
      <c r="G15">
        <v>14.605499999999999</v>
      </c>
      <c r="H15">
        <v>0</v>
      </c>
      <c r="I15">
        <v>99.9953</v>
      </c>
      <c r="J15">
        <v>0</v>
      </c>
      <c r="K15">
        <v>1.2301899999999999E-3</v>
      </c>
      <c r="L15" t="s">
        <v>28</v>
      </c>
      <c r="M15">
        <v>621145</v>
      </c>
      <c r="N15">
        <v>1.2878799999999999</v>
      </c>
      <c r="O15">
        <v>562318</v>
      </c>
      <c r="P15">
        <v>1260.04</v>
      </c>
      <c r="Q15" s="1">
        <v>127998</v>
      </c>
      <c r="R15">
        <v>2134.13</v>
      </c>
      <c r="S15" t="s">
        <v>29</v>
      </c>
    </row>
    <row r="16" spans="1:33" x14ac:dyDescent="0.25">
      <c r="A16">
        <v>2</v>
      </c>
      <c r="B16">
        <v>159.387</v>
      </c>
      <c r="C16">
        <v>5.7235199999999997</v>
      </c>
      <c r="D16">
        <v>135.71899999999999</v>
      </c>
      <c r="E16">
        <v>17.3841</v>
      </c>
      <c r="F16">
        <v>110.148</v>
      </c>
      <c r="G16">
        <v>14.524100000000001</v>
      </c>
      <c r="H16">
        <v>0</v>
      </c>
      <c r="I16">
        <v>49.996099999999998</v>
      </c>
      <c r="J16">
        <v>0</v>
      </c>
      <c r="K16">
        <v>1.2300600000000001E-3</v>
      </c>
      <c r="L16" t="s">
        <v>28</v>
      </c>
      <c r="M16">
        <v>254321</v>
      </c>
      <c r="N16">
        <v>328.548</v>
      </c>
      <c r="O16">
        <v>184390</v>
      </c>
      <c r="P16">
        <v>3026.55</v>
      </c>
      <c r="Q16">
        <v>121539</v>
      </c>
      <c r="R16">
        <v>2111</v>
      </c>
      <c r="S16" t="s">
        <v>29</v>
      </c>
    </row>
    <row r="17" spans="1:33" x14ac:dyDescent="0.25">
      <c r="A17">
        <v>3</v>
      </c>
      <c r="B17">
        <v>136.035</v>
      </c>
      <c r="C17">
        <v>6.7114399999999996</v>
      </c>
      <c r="D17">
        <v>110.376</v>
      </c>
      <c r="E17">
        <v>18.357399999999998</v>
      </c>
      <c r="F17">
        <v>112.49</v>
      </c>
      <c r="G17">
        <v>14.9208</v>
      </c>
      <c r="H17">
        <v>0</v>
      </c>
      <c r="I17">
        <v>33.33</v>
      </c>
      <c r="J17">
        <v>0</v>
      </c>
      <c r="K17">
        <v>1.2301600000000001E-3</v>
      </c>
      <c r="L17" t="s">
        <v>28</v>
      </c>
      <c r="M17">
        <v>185237</v>
      </c>
      <c r="N17">
        <v>451.26100000000002</v>
      </c>
      <c r="O17">
        <v>122028</v>
      </c>
      <c r="P17">
        <v>3380.25</v>
      </c>
      <c r="Q17">
        <v>126554</v>
      </c>
      <c r="R17">
        <v>2226.36</v>
      </c>
      <c r="S17" t="s">
        <v>29</v>
      </c>
    </row>
    <row r="18" spans="1:33" x14ac:dyDescent="0.25">
      <c r="A18">
        <v>4</v>
      </c>
      <c r="B18">
        <v>135.07400000000001</v>
      </c>
      <c r="C18">
        <v>6.67049</v>
      </c>
      <c r="D18">
        <v>109.084</v>
      </c>
      <c r="E18">
        <v>18.7608</v>
      </c>
      <c r="F18">
        <v>112.843</v>
      </c>
      <c r="G18">
        <v>14.921900000000001</v>
      </c>
      <c r="H18">
        <v>0</v>
      </c>
      <c r="I18">
        <v>24.997499999999999</v>
      </c>
      <c r="J18">
        <v>0</v>
      </c>
      <c r="K18">
        <v>1.2300499999999999E-3</v>
      </c>
      <c r="L18" t="s">
        <v>28</v>
      </c>
      <c r="M18">
        <v>184732</v>
      </c>
      <c r="N18">
        <v>455.72199999999998</v>
      </c>
      <c r="O18">
        <v>121669</v>
      </c>
      <c r="P18">
        <v>3521.17</v>
      </c>
      <c r="Q18">
        <v>127349</v>
      </c>
      <c r="R18">
        <v>2226.73</v>
      </c>
      <c r="S18" t="s">
        <v>29</v>
      </c>
    </row>
    <row r="19" spans="1:33" x14ac:dyDescent="0.25">
      <c r="A19">
        <v>5</v>
      </c>
      <c r="B19">
        <v>149.93</v>
      </c>
      <c r="C19">
        <v>7.2950400000000002</v>
      </c>
      <c r="D19">
        <v>121.751</v>
      </c>
      <c r="E19">
        <v>20.319700000000001</v>
      </c>
      <c r="F19">
        <v>112.367</v>
      </c>
      <c r="G19">
        <v>14.9894</v>
      </c>
      <c r="H19">
        <v>0</v>
      </c>
      <c r="I19">
        <v>19.998100000000001</v>
      </c>
      <c r="J19">
        <v>0</v>
      </c>
      <c r="K19">
        <v>1.2300600000000001E-3</v>
      </c>
      <c r="L19" t="s">
        <v>28</v>
      </c>
      <c r="M19">
        <v>224857</v>
      </c>
      <c r="N19">
        <v>532.404</v>
      </c>
      <c r="O19">
        <v>148284</v>
      </c>
      <c r="P19">
        <v>4135.32</v>
      </c>
      <c r="Q19">
        <v>126294</v>
      </c>
      <c r="R19">
        <v>2246.9699999999998</v>
      </c>
      <c r="S19" t="s">
        <v>29</v>
      </c>
    </row>
    <row r="20" spans="1:33" x14ac:dyDescent="0.25">
      <c r="A20">
        <v>6</v>
      </c>
      <c r="B20">
        <v>142.059</v>
      </c>
      <c r="C20">
        <v>9.3917400000000004</v>
      </c>
      <c r="D20">
        <v>108.553</v>
      </c>
      <c r="E20">
        <v>23.550999999999998</v>
      </c>
      <c r="F20">
        <v>115.45099999999999</v>
      </c>
      <c r="G20">
        <v>15.107699999999999</v>
      </c>
      <c r="H20">
        <v>0</v>
      </c>
      <c r="I20">
        <v>16.665099999999999</v>
      </c>
      <c r="J20">
        <v>0</v>
      </c>
      <c r="K20">
        <v>1.2300499999999999E-3</v>
      </c>
      <c r="L20" t="s">
        <v>28</v>
      </c>
      <c r="M20">
        <v>201840</v>
      </c>
      <c r="N20">
        <v>883.45399999999995</v>
      </c>
      <c r="O20">
        <v>117868</v>
      </c>
      <c r="P20">
        <v>5551.77</v>
      </c>
      <c r="Q20">
        <v>133500</v>
      </c>
      <c r="R20">
        <v>2283.0700000000002</v>
      </c>
      <c r="S20" t="s">
        <v>29</v>
      </c>
    </row>
    <row r="21" spans="1:33" x14ac:dyDescent="0.25">
      <c r="A21">
        <v>7</v>
      </c>
      <c r="B21">
        <v>138.50200000000001</v>
      </c>
      <c r="C21">
        <v>10.2021</v>
      </c>
      <c r="D21">
        <v>101.88500000000001</v>
      </c>
      <c r="E21">
        <v>25.85</v>
      </c>
      <c r="F21">
        <v>118.271</v>
      </c>
      <c r="G21">
        <v>15.313599999999999</v>
      </c>
      <c r="H21">
        <v>0</v>
      </c>
      <c r="I21">
        <v>14.2843</v>
      </c>
      <c r="J21">
        <v>0</v>
      </c>
      <c r="K21">
        <v>1.2300799999999999E-3</v>
      </c>
      <c r="L21" t="s">
        <v>28</v>
      </c>
      <c r="M21">
        <v>191998</v>
      </c>
      <c r="N21">
        <v>1045.1099999999999</v>
      </c>
      <c r="O21">
        <v>104056</v>
      </c>
      <c r="P21">
        <v>6700.8</v>
      </c>
      <c r="Q21" s="1">
        <v>140998</v>
      </c>
      <c r="R21">
        <v>2351.25</v>
      </c>
      <c r="S21" t="s">
        <v>29</v>
      </c>
    </row>
    <row r="22" spans="1:33" x14ac:dyDescent="0.25">
      <c r="A22">
        <v>8</v>
      </c>
      <c r="B22">
        <v>133.75200000000001</v>
      </c>
      <c r="C22">
        <v>11.0007</v>
      </c>
      <c r="D22">
        <v>96.176900000000003</v>
      </c>
      <c r="E22">
        <v>26.019200000000001</v>
      </c>
      <c r="F22">
        <v>123.61499999999999</v>
      </c>
      <c r="G22">
        <v>15.6518</v>
      </c>
      <c r="H22">
        <v>0</v>
      </c>
      <c r="I22">
        <v>12.498900000000001</v>
      </c>
      <c r="J22">
        <v>0</v>
      </c>
      <c r="K22">
        <v>1.2300499999999999E-3</v>
      </c>
      <c r="L22" t="s">
        <v>28</v>
      </c>
      <c r="M22">
        <v>178962</v>
      </c>
      <c r="N22">
        <v>1211.93</v>
      </c>
      <c r="O22">
        <v>92564.1</v>
      </c>
      <c r="P22">
        <v>6774.09</v>
      </c>
      <c r="Q22">
        <v>153019</v>
      </c>
      <c r="R22">
        <v>2451.09</v>
      </c>
      <c r="S22" t="s">
        <v>29</v>
      </c>
    </row>
    <row r="23" spans="1:33" x14ac:dyDescent="0.25">
      <c r="A23">
        <v>9</v>
      </c>
      <c r="B23">
        <v>134.91800000000001</v>
      </c>
      <c r="C23">
        <v>12.6517</v>
      </c>
      <c r="D23">
        <v>93.534599999999998</v>
      </c>
      <c r="E23">
        <v>28.175799999999999</v>
      </c>
      <c r="F23">
        <v>127.84</v>
      </c>
      <c r="G23">
        <v>15.892099999999999</v>
      </c>
      <c r="H23">
        <v>0</v>
      </c>
      <c r="I23">
        <v>11.110099999999999</v>
      </c>
      <c r="J23">
        <v>0</v>
      </c>
      <c r="K23">
        <v>1.2300499999999999E-3</v>
      </c>
      <c r="L23" t="s">
        <v>28</v>
      </c>
      <c r="M23">
        <v>182260</v>
      </c>
      <c r="N23">
        <v>1604.65</v>
      </c>
      <c r="O23">
        <v>87732.800000000003</v>
      </c>
      <c r="P23">
        <v>7940.33</v>
      </c>
      <c r="Q23">
        <v>163461</v>
      </c>
      <c r="R23">
        <v>2525.8200000000002</v>
      </c>
      <c r="S23" t="s">
        <v>29</v>
      </c>
    </row>
    <row r="24" spans="1:33" x14ac:dyDescent="0.25">
      <c r="A24">
        <v>10</v>
      </c>
      <c r="B24">
        <v>153.179</v>
      </c>
      <c r="C24">
        <v>11.7233</v>
      </c>
      <c r="D24">
        <v>111.619</v>
      </c>
      <c r="E24">
        <v>29.270499999999998</v>
      </c>
      <c r="F24">
        <v>127.124</v>
      </c>
      <c r="G24">
        <v>15.946</v>
      </c>
      <c r="H24">
        <v>0</v>
      </c>
      <c r="I24">
        <v>9.9991800000000008</v>
      </c>
      <c r="J24">
        <v>0</v>
      </c>
      <c r="K24">
        <v>1.2301600000000001E-3</v>
      </c>
      <c r="L24" t="s">
        <v>28</v>
      </c>
      <c r="M24">
        <v>234857</v>
      </c>
      <c r="N24">
        <v>1377.25</v>
      </c>
      <c r="O24">
        <v>124901</v>
      </c>
      <c r="P24">
        <v>8576.58</v>
      </c>
      <c r="Q24">
        <v>161644</v>
      </c>
      <c r="R24">
        <v>2542.9899999999998</v>
      </c>
      <c r="S24" t="s">
        <v>29</v>
      </c>
    </row>
    <row r="25" spans="1:33" x14ac:dyDescent="0.25">
      <c r="A25">
        <v>11</v>
      </c>
      <c r="B25">
        <v>149.92400000000001</v>
      </c>
      <c r="C25">
        <v>12.141299999999999</v>
      </c>
      <c r="D25">
        <v>107.20099999999999</v>
      </c>
      <c r="E25">
        <v>30.010200000000001</v>
      </c>
      <c r="F25">
        <v>127.17100000000001</v>
      </c>
      <c r="G25">
        <v>15.8812</v>
      </c>
      <c r="H25">
        <v>0</v>
      </c>
      <c r="I25">
        <v>9.0901399999999999</v>
      </c>
      <c r="J25">
        <v>0</v>
      </c>
      <c r="K25">
        <v>1.2300499999999999E-3</v>
      </c>
      <c r="L25" t="s">
        <v>28</v>
      </c>
      <c r="M25">
        <v>225855</v>
      </c>
      <c r="N25">
        <v>1478.99</v>
      </c>
      <c r="O25">
        <v>116063</v>
      </c>
      <c r="P25">
        <v>9014.3799999999992</v>
      </c>
      <c r="Q25">
        <v>161858</v>
      </c>
      <c r="R25">
        <v>2522.4699999999998</v>
      </c>
      <c r="S25" t="s">
        <v>29</v>
      </c>
    </row>
    <row r="26" spans="1:33" x14ac:dyDescent="0.25">
      <c r="A26">
        <v>12</v>
      </c>
      <c r="B26">
        <v>150.131</v>
      </c>
      <c r="C26">
        <v>12.600300000000001</v>
      </c>
      <c r="D26">
        <v>104.49</v>
      </c>
      <c r="E26">
        <v>32.471299999999999</v>
      </c>
      <c r="F26">
        <v>134.678</v>
      </c>
      <c r="G26">
        <v>16.491800000000001</v>
      </c>
      <c r="H26">
        <v>0</v>
      </c>
      <c r="I26">
        <v>8.3326100000000007</v>
      </c>
      <c r="J26">
        <v>0</v>
      </c>
      <c r="K26">
        <v>1.2300600000000001E-3</v>
      </c>
      <c r="L26" t="s">
        <v>28</v>
      </c>
      <c r="M26">
        <v>225677</v>
      </c>
      <c r="N26">
        <v>1589.91</v>
      </c>
      <c r="O26">
        <v>109411</v>
      </c>
      <c r="P26">
        <v>10553</v>
      </c>
      <c r="Q26" s="1">
        <v>181626</v>
      </c>
      <c r="R26">
        <v>2721.28</v>
      </c>
      <c r="S26" t="s">
        <v>29</v>
      </c>
    </row>
    <row r="27" spans="1:33" x14ac:dyDescent="0.25">
      <c r="A27" t="s">
        <v>40</v>
      </c>
      <c r="B27" t="s">
        <v>41</v>
      </c>
      <c r="C27" t="s">
        <v>31</v>
      </c>
      <c r="D27" t="s">
        <v>42</v>
      </c>
      <c r="E27" t="s">
        <v>1</v>
      </c>
      <c r="F27" t="s">
        <v>2</v>
      </c>
      <c r="G27" t="s">
        <v>3</v>
      </c>
      <c r="H27" t="s">
        <v>45</v>
      </c>
      <c r="I27" t="s">
        <v>4</v>
      </c>
      <c r="J27" t="s">
        <v>5</v>
      </c>
      <c r="K27" t="s">
        <v>6</v>
      </c>
      <c r="L27" t="s">
        <v>39</v>
      </c>
      <c r="M27" t="s">
        <v>7</v>
      </c>
      <c r="N27" t="s">
        <v>8</v>
      </c>
      <c r="O27" t="s">
        <v>9</v>
      </c>
      <c r="P27" t="s">
        <v>10</v>
      </c>
      <c r="Q27" s="1" t="s">
        <v>11</v>
      </c>
      <c r="R27" t="s">
        <v>12</v>
      </c>
      <c r="S27" t="s">
        <v>13</v>
      </c>
      <c r="T27" t="s">
        <v>14</v>
      </c>
      <c r="U27" t="s">
        <v>15</v>
      </c>
      <c r="V27" t="s">
        <v>16</v>
      </c>
      <c r="W27" t="s">
        <v>17</v>
      </c>
      <c r="X27" t="s">
        <v>18</v>
      </c>
      <c r="Y27" t="s">
        <v>19</v>
      </c>
      <c r="Z27" t="s">
        <v>20</v>
      </c>
      <c r="AA27" t="s">
        <v>21</v>
      </c>
      <c r="AB27" t="s">
        <v>22</v>
      </c>
      <c r="AC27" t="s">
        <v>23</v>
      </c>
      <c r="AD27" t="s">
        <v>24</v>
      </c>
      <c r="AE27" t="s">
        <v>25</v>
      </c>
      <c r="AF27" t="s">
        <v>26</v>
      </c>
      <c r="AG27" t="s">
        <v>27</v>
      </c>
    </row>
    <row r="28" spans="1:33" x14ac:dyDescent="0.25">
      <c r="A28">
        <v>1</v>
      </c>
      <c r="B28">
        <v>427.77300000000002</v>
      </c>
      <c r="C28">
        <v>0.57782</v>
      </c>
      <c r="D28">
        <v>403.08</v>
      </c>
      <c r="E28">
        <v>23.610299999999999</v>
      </c>
      <c r="F28">
        <v>188.846</v>
      </c>
      <c r="G28">
        <v>16.597200000000001</v>
      </c>
      <c r="H28">
        <v>0</v>
      </c>
      <c r="I28">
        <v>99.997100000000003</v>
      </c>
      <c r="J28">
        <v>0</v>
      </c>
      <c r="K28">
        <v>4.6195400000000001E-3</v>
      </c>
      <c r="L28" t="s">
        <v>28</v>
      </c>
      <c r="M28" s="1">
        <v>1830170</v>
      </c>
      <c r="N28">
        <v>3.3409399999999998</v>
      </c>
      <c r="O28" s="1">
        <v>1624920</v>
      </c>
      <c r="P28">
        <v>5601.84</v>
      </c>
      <c r="Q28" s="1">
        <v>356696</v>
      </c>
      <c r="R28">
        <v>2755.21</v>
      </c>
      <c r="S28" t="s">
        <v>29</v>
      </c>
    </row>
    <row r="29" spans="1:33" x14ac:dyDescent="0.25">
      <c r="A29">
        <v>2</v>
      </c>
      <c r="B29">
        <v>255.03200000000001</v>
      </c>
      <c r="C29">
        <v>6.4980200000000004</v>
      </c>
      <c r="D29">
        <v>222.89400000000001</v>
      </c>
      <c r="E29">
        <v>25.0852</v>
      </c>
      <c r="F29">
        <v>190.459</v>
      </c>
      <c r="G29">
        <v>16.8658</v>
      </c>
      <c r="H29">
        <v>0</v>
      </c>
      <c r="I29">
        <v>49.997300000000003</v>
      </c>
      <c r="J29">
        <v>0</v>
      </c>
      <c r="K29">
        <v>1.2363599999999999E-3</v>
      </c>
      <c r="L29" t="s">
        <v>28</v>
      </c>
      <c r="M29">
        <v>650999</v>
      </c>
      <c r="N29">
        <v>429.202</v>
      </c>
      <c r="O29">
        <v>497287</v>
      </c>
      <c r="P29">
        <v>6298.9</v>
      </c>
      <c r="Q29">
        <v>362964</v>
      </c>
      <c r="R29">
        <v>2846.84</v>
      </c>
      <c r="S29" t="s">
        <v>29</v>
      </c>
    </row>
    <row r="30" spans="1:33" x14ac:dyDescent="0.25">
      <c r="A30">
        <v>3</v>
      </c>
      <c r="B30">
        <v>203.559</v>
      </c>
      <c r="C30">
        <v>7.2882499999999997</v>
      </c>
      <c r="D30">
        <v>171.78700000000001</v>
      </c>
      <c r="E30">
        <v>23.913799999999998</v>
      </c>
      <c r="F30">
        <v>198.01499999999999</v>
      </c>
      <c r="G30">
        <v>17.7943</v>
      </c>
      <c r="H30">
        <v>0</v>
      </c>
      <c r="I30">
        <v>33.330500000000001</v>
      </c>
      <c r="J30">
        <v>0</v>
      </c>
      <c r="K30">
        <v>1.02852E-2</v>
      </c>
      <c r="L30" t="s">
        <v>28</v>
      </c>
      <c r="M30">
        <v>414518</v>
      </c>
      <c r="N30">
        <v>532.58799999999997</v>
      </c>
      <c r="O30">
        <v>295227</v>
      </c>
      <c r="P30">
        <v>5719.85</v>
      </c>
      <c r="Q30" s="1">
        <v>392317</v>
      </c>
      <c r="R30">
        <v>3170.87</v>
      </c>
      <c r="S30" t="s">
        <v>29</v>
      </c>
    </row>
    <row r="31" spans="1:33" x14ac:dyDescent="0.25">
      <c r="A31">
        <v>4</v>
      </c>
      <c r="B31">
        <v>183.655</v>
      </c>
      <c r="C31">
        <v>7.5233400000000001</v>
      </c>
      <c r="D31">
        <v>152.149</v>
      </c>
      <c r="E31">
        <v>23.4191</v>
      </c>
      <c r="F31">
        <v>196.75700000000001</v>
      </c>
      <c r="G31">
        <v>17.463000000000001</v>
      </c>
      <c r="H31">
        <v>0</v>
      </c>
      <c r="I31">
        <v>24.998200000000001</v>
      </c>
      <c r="J31">
        <v>0</v>
      </c>
      <c r="K31">
        <v>1.41318E-3</v>
      </c>
      <c r="L31" t="s">
        <v>28</v>
      </c>
      <c r="M31">
        <v>339133</v>
      </c>
      <c r="N31">
        <v>568.77200000000005</v>
      </c>
      <c r="O31">
        <v>233360</v>
      </c>
      <c r="P31">
        <v>5486.26</v>
      </c>
      <c r="Q31">
        <v>387266</v>
      </c>
      <c r="R31">
        <v>3049.75</v>
      </c>
      <c r="S31" t="s">
        <v>29</v>
      </c>
    </row>
    <row r="32" spans="1:33" x14ac:dyDescent="0.25">
      <c r="A32">
        <v>5</v>
      </c>
      <c r="B32">
        <v>225.75700000000001</v>
      </c>
      <c r="C32">
        <v>8.2279</v>
      </c>
      <c r="D32">
        <v>189.96899999999999</v>
      </c>
      <c r="E32">
        <v>26.987200000000001</v>
      </c>
      <c r="F32">
        <v>201.34299999999999</v>
      </c>
      <c r="G32">
        <v>17.834900000000001</v>
      </c>
      <c r="H32">
        <v>0</v>
      </c>
      <c r="I32">
        <v>19.998799999999999</v>
      </c>
      <c r="J32">
        <v>0</v>
      </c>
      <c r="K32">
        <v>2.6396800000000002E-3</v>
      </c>
      <c r="L32" t="s">
        <v>28</v>
      </c>
      <c r="M32">
        <v>509758</v>
      </c>
      <c r="N32">
        <v>687.44200000000001</v>
      </c>
      <c r="O32">
        <v>360980</v>
      </c>
      <c r="P32">
        <v>7290.14</v>
      </c>
      <c r="Q32">
        <v>406806</v>
      </c>
      <c r="R32">
        <v>3184.86</v>
      </c>
      <c r="S32" t="s">
        <v>29</v>
      </c>
    </row>
    <row r="33" spans="1:33" x14ac:dyDescent="0.25">
      <c r="A33">
        <v>6</v>
      </c>
      <c r="B33">
        <v>206.923</v>
      </c>
      <c r="C33">
        <v>10.102</v>
      </c>
      <c r="D33">
        <v>165.24700000000001</v>
      </c>
      <c r="E33">
        <v>31.0092</v>
      </c>
      <c r="F33">
        <v>203.554</v>
      </c>
      <c r="G33">
        <v>17.9435</v>
      </c>
      <c r="H33">
        <v>0</v>
      </c>
      <c r="I33">
        <v>16.665600000000001</v>
      </c>
      <c r="J33">
        <v>0</v>
      </c>
      <c r="K33">
        <v>1.4354599999999999E-3</v>
      </c>
      <c r="L33" t="s">
        <v>28</v>
      </c>
      <c r="M33">
        <v>428241</v>
      </c>
      <c r="N33">
        <v>1040.82</v>
      </c>
      <c r="O33">
        <v>273155</v>
      </c>
      <c r="P33">
        <v>9641.74</v>
      </c>
      <c r="Q33">
        <v>416588</v>
      </c>
      <c r="R33">
        <v>3226.18</v>
      </c>
      <c r="S33" t="s">
        <v>29</v>
      </c>
    </row>
    <row r="34" spans="1:33" x14ac:dyDescent="0.25">
      <c r="A34">
        <v>7</v>
      </c>
      <c r="B34">
        <v>197.952</v>
      </c>
      <c r="C34">
        <v>11.232100000000001</v>
      </c>
      <c r="D34">
        <v>153.108</v>
      </c>
      <c r="E34">
        <v>33.045499999999997</v>
      </c>
      <c r="F34">
        <v>217.58600000000001</v>
      </c>
      <c r="G34">
        <v>18.782800000000002</v>
      </c>
      <c r="H34">
        <v>0</v>
      </c>
      <c r="I34">
        <v>14.284700000000001</v>
      </c>
      <c r="J34">
        <v>0</v>
      </c>
      <c r="K34">
        <v>1.45411E-3</v>
      </c>
      <c r="L34" t="s">
        <v>28</v>
      </c>
      <c r="M34">
        <v>392016</v>
      </c>
      <c r="N34">
        <v>1270.99</v>
      </c>
      <c r="O34">
        <v>234719</v>
      </c>
      <c r="P34">
        <v>11041.9</v>
      </c>
      <c r="Q34">
        <v>478287</v>
      </c>
      <c r="R34">
        <v>3545.95</v>
      </c>
      <c r="S34" t="s">
        <v>29</v>
      </c>
    </row>
    <row r="35" spans="1:33" x14ac:dyDescent="0.25">
      <c r="A35">
        <v>8</v>
      </c>
      <c r="B35">
        <v>185.69300000000001</v>
      </c>
      <c r="C35">
        <v>11.458399999999999</v>
      </c>
      <c r="D35">
        <v>141.148</v>
      </c>
      <c r="E35">
        <v>32.520699999999998</v>
      </c>
      <c r="F35">
        <v>212.75800000000001</v>
      </c>
      <c r="G35">
        <v>18.5717</v>
      </c>
      <c r="H35">
        <v>0</v>
      </c>
      <c r="I35">
        <v>12.4991</v>
      </c>
      <c r="J35">
        <v>0</v>
      </c>
      <c r="K35">
        <v>1.2308200000000001E-3</v>
      </c>
      <c r="L35" t="s">
        <v>28</v>
      </c>
      <c r="M35" s="1">
        <v>344939</v>
      </c>
      <c r="N35">
        <v>1321.1</v>
      </c>
      <c r="O35" s="1">
        <v>199297</v>
      </c>
      <c r="P35">
        <v>10585.8</v>
      </c>
      <c r="Q35">
        <v>452776</v>
      </c>
      <c r="R35">
        <v>3449.61</v>
      </c>
      <c r="S35" t="s">
        <v>29</v>
      </c>
    </row>
    <row r="36" spans="1:33" x14ac:dyDescent="0.25">
      <c r="A36">
        <v>9</v>
      </c>
      <c r="B36">
        <v>183.49199999999999</v>
      </c>
      <c r="C36">
        <v>12.520200000000001</v>
      </c>
      <c r="D36">
        <v>137.834</v>
      </c>
      <c r="E36">
        <v>32.572400000000002</v>
      </c>
      <c r="F36">
        <v>220.18</v>
      </c>
      <c r="G36">
        <v>19.038</v>
      </c>
      <c r="H36">
        <v>0</v>
      </c>
      <c r="I36">
        <v>11.110099999999999</v>
      </c>
      <c r="J36">
        <v>0</v>
      </c>
      <c r="K36">
        <v>3.1966500000000001E-3</v>
      </c>
      <c r="L36" t="s">
        <v>28</v>
      </c>
      <c r="M36" s="1">
        <v>336756</v>
      </c>
      <c r="N36">
        <v>1568.49</v>
      </c>
      <c r="O36" s="1">
        <v>190051</v>
      </c>
      <c r="P36">
        <v>10616</v>
      </c>
      <c r="Q36">
        <v>484837</v>
      </c>
      <c r="R36">
        <v>3624.66</v>
      </c>
      <c r="S36" t="s">
        <v>29</v>
      </c>
    </row>
    <row r="37" spans="1:33" x14ac:dyDescent="0.25">
      <c r="A37">
        <v>10</v>
      </c>
      <c r="B37">
        <v>189.58799999999999</v>
      </c>
      <c r="C37">
        <v>12.6275</v>
      </c>
      <c r="D37">
        <v>141.51900000000001</v>
      </c>
      <c r="E37">
        <v>34.872199999999999</v>
      </c>
      <c r="F37">
        <v>226.07300000000001</v>
      </c>
      <c r="G37">
        <v>19.299499999999998</v>
      </c>
      <c r="H37">
        <v>0</v>
      </c>
      <c r="I37">
        <v>9.9992800000000006</v>
      </c>
      <c r="J37">
        <v>0</v>
      </c>
      <c r="K37">
        <v>1.2405199999999999E-3</v>
      </c>
      <c r="L37" t="s">
        <v>28</v>
      </c>
      <c r="M37" s="1">
        <v>359929</v>
      </c>
      <c r="N37">
        <v>1595.25</v>
      </c>
      <c r="O37">
        <v>200804</v>
      </c>
      <c r="P37">
        <v>12162.4</v>
      </c>
      <c r="Q37">
        <v>511193</v>
      </c>
      <c r="R37">
        <v>3725.02</v>
      </c>
      <c r="S37" t="s">
        <v>29</v>
      </c>
    </row>
    <row r="38" spans="1:33" x14ac:dyDescent="0.25">
      <c r="A38">
        <v>11</v>
      </c>
      <c r="B38">
        <v>217.066</v>
      </c>
      <c r="C38">
        <v>12.9154</v>
      </c>
      <c r="D38">
        <v>165.98400000000001</v>
      </c>
      <c r="E38">
        <v>37.5929</v>
      </c>
      <c r="F38">
        <v>227.20699999999999</v>
      </c>
      <c r="G38">
        <v>19.4544</v>
      </c>
      <c r="H38">
        <v>0</v>
      </c>
      <c r="I38">
        <v>9.0903799999999997</v>
      </c>
      <c r="J38">
        <v>0</v>
      </c>
      <c r="K38">
        <v>1.08907E-2</v>
      </c>
      <c r="L38" t="s">
        <v>28</v>
      </c>
      <c r="M38">
        <v>471425</v>
      </c>
      <c r="N38">
        <v>1669.49</v>
      </c>
      <c r="O38">
        <v>275715</v>
      </c>
      <c r="P38">
        <v>14139.8</v>
      </c>
      <c r="Q38">
        <v>516278</v>
      </c>
      <c r="R38">
        <v>3785.59</v>
      </c>
      <c r="S38" t="s">
        <v>29</v>
      </c>
    </row>
    <row r="39" spans="1:33" x14ac:dyDescent="0.25">
      <c r="A39">
        <v>12</v>
      </c>
      <c r="B39">
        <v>205.06200000000001</v>
      </c>
      <c r="C39">
        <v>12.446400000000001</v>
      </c>
      <c r="D39">
        <v>152.35900000000001</v>
      </c>
      <c r="E39">
        <v>39.675199999999997</v>
      </c>
      <c r="F39">
        <v>231.97399999999999</v>
      </c>
      <c r="G39">
        <v>19.846499999999999</v>
      </c>
      <c r="H39">
        <v>0</v>
      </c>
      <c r="I39">
        <v>8.3328100000000003</v>
      </c>
      <c r="J39">
        <v>0</v>
      </c>
      <c r="K39">
        <v>1.44772E-3</v>
      </c>
      <c r="L39" t="s">
        <v>28</v>
      </c>
      <c r="M39">
        <v>421920</v>
      </c>
      <c r="N39">
        <v>1558.86</v>
      </c>
      <c r="O39">
        <v>233763</v>
      </c>
      <c r="P39">
        <v>15761.2</v>
      </c>
      <c r="Q39">
        <v>538195</v>
      </c>
      <c r="R39">
        <v>3942.8</v>
      </c>
      <c r="S39" t="s">
        <v>29</v>
      </c>
    </row>
    <row r="40" spans="1:33" x14ac:dyDescent="0.25">
      <c r="A40" t="s">
        <v>40</v>
      </c>
      <c r="B40" t="s">
        <v>41</v>
      </c>
      <c r="C40" t="s">
        <v>32</v>
      </c>
      <c r="D40" t="s">
        <v>42</v>
      </c>
      <c r="E40" t="s">
        <v>1</v>
      </c>
      <c r="F40" t="s">
        <v>2</v>
      </c>
      <c r="G40" t="s">
        <v>3</v>
      </c>
      <c r="H40" t="s">
        <v>46</v>
      </c>
      <c r="I40" t="s">
        <v>4</v>
      </c>
      <c r="J40" t="s">
        <v>5</v>
      </c>
      <c r="K40" t="s">
        <v>6</v>
      </c>
      <c r="L40" t="s">
        <v>39</v>
      </c>
      <c r="M40" t="s">
        <v>7</v>
      </c>
      <c r="N40" t="s">
        <v>8</v>
      </c>
      <c r="O40" t="s">
        <v>9</v>
      </c>
      <c r="P40" t="s">
        <v>10</v>
      </c>
      <c r="Q40" s="1" t="s">
        <v>11</v>
      </c>
      <c r="R40" t="s">
        <v>12</v>
      </c>
      <c r="S40" t="s">
        <v>13</v>
      </c>
      <c r="T40" t="s">
        <v>14</v>
      </c>
      <c r="U40" t="s">
        <v>15</v>
      </c>
      <c r="V40" t="s">
        <v>16</v>
      </c>
      <c r="W40" t="s">
        <v>17</v>
      </c>
      <c r="X40" t="s">
        <v>18</v>
      </c>
      <c r="Y40" t="s">
        <v>19</v>
      </c>
      <c r="Z40" t="s">
        <v>20</v>
      </c>
      <c r="AA40" t="s">
        <v>21</v>
      </c>
      <c r="AB40" t="s">
        <v>22</v>
      </c>
      <c r="AC40" t="s">
        <v>23</v>
      </c>
      <c r="AD40" t="s">
        <v>24</v>
      </c>
      <c r="AE40" t="s">
        <v>25</v>
      </c>
      <c r="AF40" t="s">
        <v>26</v>
      </c>
      <c r="AG40" t="s">
        <v>27</v>
      </c>
    </row>
    <row r="41" spans="1:33" x14ac:dyDescent="0.25">
      <c r="A41">
        <v>1</v>
      </c>
      <c r="B41">
        <v>795.077</v>
      </c>
      <c r="C41">
        <v>1.08697</v>
      </c>
      <c r="D41">
        <v>748.82100000000003</v>
      </c>
      <c r="E41">
        <v>44.6494</v>
      </c>
      <c r="F41">
        <v>350.13499999999999</v>
      </c>
      <c r="G41">
        <v>22.105899999999998</v>
      </c>
      <c r="H41">
        <v>0</v>
      </c>
      <c r="I41">
        <v>99.998400000000004</v>
      </c>
      <c r="J41">
        <v>0</v>
      </c>
      <c r="K41">
        <v>5.3921200000000002E-2</v>
      </c>
      <c r="L41" t="s">
        <v>28</v>
      </c>
      <c r="M41" s="1">
        <v>6321620</v>
      </c>
      <c r="N41">
        <v>11.824400000000001</v>
      </c>
      <c r="O41" s="1">
        <v>5607430</v>
      </c>
      <c r="P41">
        <v>19941.8</v>
      </c>
      <c r="Q41" s="1">
        <v>1225960</v>
      </c>
      <c r="R41">
        <v>4887.12</v>
      </c>
      <c r="S41" t="s">
        <v>29</v>
      </c>
    </row>
    <row r="42" spans="1:33" x14ac:dyDescent="0.25">
      <c r="A42">
        <v>2</v>
      </c>
      <c r="B42">
        <v>441.125</v>
      </c>
      <c r="C42">
        <v>6.5844699999999996</v>
      </c>
      <c r="D42">
        <v>398.13499999999999</v>
      </c>
      <c r="E42">
        <v>35.847700000000003</v>
      </c>
      <c r="F42">
        <v>348.40699999999998</v>
      </c>
      <c r="G42">
        <v>22.402999999999999</v>
      </c>
      <c r="H42">
        <v>0</v>
      </c>
      <c r="I42">
        <v>49.9985</v>
      </c>
      <c r="J42">
        <v>0</v>
      </c>
      <c r="K42">
        <v>3.1338199999999997E-2</v>
      </c>
      <c r="L42" t="s">
        <v>28</v>
      </c>
      <c r="M42" s="1">
        <v>1946110</v>
      </c>
      <c r="N42">
        <v>433.90699999999998</v>
      </c>
      <c r="O42" s="1">
        <v>1585270</v>
      </c>
      <c r="P42">
        <v>12855.3</v>
      </c>
      <c r="Q42" s="1">
        <v>1213990</v>
      </c>
      <c r="R42">
        <v>5020.93</v>
      </c>
      <c r="S42" t="s">
        <v>29</v>
      </c>
    </row>
    <row r="43" spans="1:33" x14ac:dyDescent="0.25">
      <c r="A43">
        <v>3</v>
      </c>
      <c r="B43">
        <v>335.47800000000001</v>
      </c>
      <c r="C43">
        <v>7.5588100000000003</v>
      </c>
      <c r="D43">
        <v>294.34899999999999</v>
      </c>
      <c r="E43">
        <v>33.006300000000003</v>
      </c>
      <c r="F43">
        <v>362.625</v>
      </c>
      <c r="G43">
        <v>23.496700000000001</v>
      </c>
      <c r="H43">
        <v>0</v>
      </c>
      <c r="I43">
        <v>33.332099999999997</v>
      </c>
      <c r="J43">
        <v>0</v>
      </c>
      <c r="K43">
        <v>2.9978899999999999E-2</v>
      </c>
      <c r="L43" t="s">
        <v>28</v>
      </c>
      <c r="M43" s="1">
        <v>1125750</v>
      </c>
      <c r="N43">
        <v>571.68499999999995</v>
      </c>
      <c r="O43">
        <v>866658</v>
      </c>
      <c r="P43">
        <v>10897.4</v>
      </c>
      <c r="Q43" s="1">
        <v>1314990</v>
      </c>
      <c r="R43">
        <v>5521.38</v>
      </c>
      <c r="S43" t="s">
        <v>29</v>
      </c>
    </row>
    <row r="44" spans="1:33" x14ac:dyDescent="0.25">
      <c r="A44">
        <v>4</v>
      </c>
      <c r="B44">
        <v>338.27100000000002</v>
      </c>
      <c r="C44">
        <v>8.1269200000000001</v>
      </c>
      <c r="D44">
        <v>296.31099999999998</v>
      </c>
      <c r="E44">
        <v>33.271999999999998</v>
      </c>
      <c r="F44">
        <v>364.786</v>
      </c>
      <c r="G44">
        <v>23.535799999999998</v>
      </c>
      <c r="H44">
        <v>0</v>
      </c>
      <c r="I44">
        <v>24.998999999999999</v>
      </c>
      <c r="J44">
        <v>0</v>
      </c>
      <c r="K44">
        <v>5.391E-2</v>
      </c>
      <c r="L44" t="s">
        <v>28</v>
      </c>
      <c r="M44" s="1">
        <v>1168410</v>
      </c>
      <c r="N44">
        <v>667.44600000000003</v>
      </c>
      <c r="O44">
        <v>900908</v>
      </c>
      <c r="P44">
        <v>11101.4</v>
      </c>
      <c r="Q44" s="1">
        <v>1330800</v>
      </c>
      <c r="R44">
        <v>5539.93</v>
      </c>
      <c r="S44" t="s">
        <v>29</v>
      </c>
    </row>
    <row r="45" spans="1:33" x14ac:dyDescent="0.25">
      <c r="A45">
        <v>5</v>
      </c>
      <c r="B45">
        <v>408.81</v>
      </c>
      <c r="C45">
        <v>8.2685600000000008</v>
      </c>
      <c r="D45">
        <v>362.286</v>
      </c>
      <c r="E45">
        <v>37.696100000000001</v>
      </c>
      <c r="F45">
        <v>370.44499999999999</v>
      </c>
      <c r="G45">
        <v>23.8004</v>
      </c>
      <c r="H45">
        <v>0</v>
      </c>
      <c r="I45">
        <v>19.999400000000001</v>
      </c>
      <c r="J45">
        <v>0</v>
      </c>
      <c r="K45">
        <v>5.39216E-2</v>
      </c>
      <c r="L45" t="s">
        <v>28</v>
      </c>
      <c r="M45" s="1">
        <v>1672690</v>
      </c>
      <c r="N45">
        <v>688.06200000000001</v>
      </c>
      <c r="O45" s="1">
        <v>1313940</v>
      </c>
      <c r="P45">
        <v>14216.8</v>
      </c>
      <c r="Q45" s="1">
        <v>1373320</v>
      </c>
      <c r="R45">
        <v>5669.67</v>
      </c>
      <c r="S45" t="s">
        <v>29</v>
      </c>
    </row>
    <row r="46" spans="1:33" x14ac:dyDescent="0.25">
      <c r="A46">
        <v>6</v>
      </c>
      <c r="B46">
        <v>348.197</v>
      </c>
      <c r="C46">
        <v>11.286799999999999</v>
      </c>
      <c r="D46">
        <v>290.30399999999997</v>
      </c>
      <c r="E46">
        <v>46.036200000000001</v>
      </c>
      <c r="F46">
        <v>408.51299999999998</v>
      </c>
      <c r="G46">
        <v>26.02</v>
      </c>
      <c r="H46">
        <v>0</v>
      </c>
      <c r="I46">
        <v>16.666</v>
      </c>
      <c r="J46">
        <v>0</v>
      </c>
      <c r="K46">
        <v>3.3136199999999998E-2</v>
      </c>
      <c r="L46" t="s">
        <v>28</v>
      </c>
      <c r="M46" s="1">
        <v>1212840</v>
      </c>
      <c r="N46">
        <v>1296.83</v>
      </c>
      <c r="O46">
        <v>843288</v>
      </c>
      <c r="P46">
        <v>21368.7</v>
      </c>
      <c r="Q46" s="1">
        <v>1679920</v>
      </c>
      <c r="R46">
        <v>6804.44</v>
      </c>
      <c r="S46" t="s">
        <v>29</v>
      </c>
    </row>
    <row r="47" spans="1:33" x14ac:dyDescent="0.25">
      <c r="A47">
        <v>7</v>
      </c>
      <c r="B47">
        <v>314.65699999999998</v>
      </c>
      <c r="C47">
        <v>11.696199999999999</v>
      </c>
      <c r="D47">
        <v>261.65600000000001</v>
      </c>
      <c r="E47">
        <v>40.72</v>
      </c>
      <c r="F47">
        <v>404.66199999999998</v>
      </c>
      <c r="G47">
        <v>25.6158</v>
      </c>
      <c r="H47">
        <v>0</v>
      </c>
      <c r="I47">
        <v>14.2851</v>
      </c>
      <c r="J47">
        <v>0</v>
      </c>
      <c r="K47">
        <v>5.4108499999999997E-2</v>
      </c>
      <c r="L47" t="s">
        <v>28</v>
      </c>
      <c r="M47">
        <v>990336</v>
      </c>
      <c r="N47">
        <v>1373.85</v>
      </c>
      <c r="O47">
        <v>684899</v>
      </c>
      <c r="P47">
        <v>16588.3</v>
      </c>
      <c r="Q47" s="1">
        <v>1640580</v>
      </c>
      <c r="R47">
        <v>6571.12</v>
      </c>
      <c r="S47" t="s">
        <v>29</v>
      </c>
    </row>
    <row r="48" spans="1:33" x14ac:dyDescent="0.25">
      <c r="A48">
        <v>8</v>
      </c>
      <c r="B48">
        <v>289.39699999999999</v>
      </c>
      <c r="C48">
        <v>11.93</v>
      </c>
      <c r="D48">
        <v>235.751</v>
      </c>
      <c r="E48">
        <v>41.155500000000004</v>
      </c>
      <c r="F48">
        <v>413.26100000000002</v>
      </c>
      <c r="G48">
        <v>26.309799999999999</v>
      </c>
      <c r="H48">
        <v>0</v>
      </c>
      <c r="I48">
        <v>12.4994</v>
      </c>
      <c r="J48">
        <v>0</v>
      </c>
      <c r="K48">
        <v>5.4241200000000003E-2</v>
      </c>
      <c r="L48" t="s">
        <v>28</v>
      </c>
      <c r="M48">
        <v>837821</v>
      </c>
      <c r="N48">
        <v>1424.33</v>
      </c>
      <c r="O48">
        <v>556043</v>
      </c>
      <c r="P48">
        <v>16954.5</v>
      </c>
      <c r="Q48" s="1">
        <v>1713590</v>
      </c>
      <c r="R48">
        <v>6945.01</v>
      </c>
      <c r="S48" t="s">
        <v>29</v>
      </c>
    </row>
    <row r="49" spans="1:33" x14ac:dyDescent="0.25">
      <c r="A49">
        <v>9</v>
      </c>
      <c r="B49">
        <v>277.90899999999999</v>
      </c>
      <c r="C49">
        <v>13.421200000000001</v>
      </c>
      <c r="D49">
        <v>221.73699999999999</v>
      </c>
      <c r="E49">
        <v>42.183799999999998</v>
      </c>
      <c r="F49">
        <v>428.00200000000001</v>
      </c>
      <c r="G49">
        <v>27.070799999999998</v>
      </c>
      <c r="H49">
        <v>0</v>
      </c>
      <c r="I49">
        <v>11.1106</v>
      </c>
      <c r="J49">
        <v>0</v>
      </c>
      <c r="K49">
        <v>4.7104399999999998E-2</v>
      </c>
      <c r="L49" t="s">
        <v>28</v>
      </c>
      <c r="M49">
        <v>772434</v>
      </c>
      <c r="N49">
        <v>1805.21</v>
      </c>
      <c r="O49">
        <v>491764</v>
      </c>
      <c r="P49">
        <v>17814.099999999999</v>
      </c>
      <c r="Q49" s="1">
        <v>1834090</v>
      </c>
      <c r="R49">
        <v>7335.74</v>
      </c>
      <c r="S49" t="s">
        <v>29</v>
      </c>
    </row>
    <row r="50" spans="1:33" x14ac:dyDescent="0.25">
      <c r="A50">
        <v>10</v>
      </c>
      <c r="B50">
        <v>271.39600000000002</v>
      </c>
      <c r="C50">
        <v>13.244199999999999</v>
      </c>
      <c r="D50">
        <v>214.035</v>
      </c>
      <c r="E50">
        <v>43.551299999999998</v>
      </c>
      <c r="F50">
        <v>445.42099999999999</v>
      </c>
      <c r="G50">
        <v>28.079799999999999</v>
      </c>
      <c r="H50">
        <v>0</v>
      </c>
      <c r="I50">
        <v>9.9994999999999994</v>
      </c>
      <c r="J50">
        <v>0</v>
      </c>
      <c r="K50">
        <v>3.7753700000000001E-2</v>
      </c>
      <c r="L50" t="s">
        <v>28</v>
      </c>
      <c r="M50">
        <v>736642</v>
      </c>
      <c r="N50">
        <v>1756.17</v>
      </c>
      <c r="O50">
        <v>458203</v>
      </c>
      <c r="P50">
        <v>18980</v>
      </c>
      <c r="Q50" s="1">
        <v>1984600</v>
      </c>
      <c r="R50">
        <v>7887.56</v>
      </c>
      <c r="S50" t="s">
        <v>29</v>
      </c>
    </row>
    <row r="51" spans="1:33" x14ac:dyDescent="0.25">
      <c r="A51">
        <v>11</v>
      </c>
      <c r="B51">
        <v>326.85899999999998</v>
      </c>
      <c r="C51">
        <v>13.6434</v>
      </c>
      <c r="D51">
        <v>265.64699999999999</v>
      </c>
      <c r="E51">
        <v>47.005299999999998</v>
      </c>
      <c r="F51">
        <v>438.10500000000002</v>
      </c>
      <c r="G51">
        <v>27.553999999999998</v>
      </c>
      <c r="H51">
        <v>0</v>
      </c>
      <c r="I51">
        <v>9.0905299999999993</v>
      </c>
      <c r="J51">
        <v>0</v>
      </c>
      <c r="K51">
        <v>5.39117E-2</v>
      </c>
      <c r="L51" t="s">
        <v>28</v>
      </c>
      <c r="M51" s="1">
        <v>1077960</v>
      </c>
      <c r="N51">
        <v>1862.52</v>
      </c>
      <c r="O51">
        <v>714150</v>
      </c>
      <c r="P51">
        <v>22134.9</v>
      </c>
      <c r="Q51" s="1">
        <v>1920170</v>
      </c>
      <c r="R51">
        <v>7596</v>
      </c>
      <c r="S51" t="s">
        <v>29</v>
      </c>
    </row>
    <row r="52" spans="1:33" x14ac:dyDescent="0.25">
      <c r="A52">
        <v>12</v>
      </c>
      <c r="B52">
        <v>322.762</v>
      </c>
      <c r="C52">
        <v>13.5967</v>
      </c>
      <c r="D52">
        <v>259.14699999999999</v>
      </c>
      <c r="E52">
        <v>49.450499999999998</v>
      </c>
      <c r="F52">
        <v>447.66</v>
      </c>
      <c r="G52">
        <v>28.218599999999999</v>
      </c>
      <c r="H52">
        <v>0</v>
      </c>
      <c r="I52">
        <v>8.3330099999999998</v>
      </c>
      <c r="J52">
        <v>0</v>
      </c>
      <c r="K52">
        <v>2.9145500000000001E-2</v>
      </c>
      <c r="L52" t="s">
        <v>28</v>
      </c>
      <c r="M52" s="1">
        <v>1044300</v>
      </c>
      <c r="N52">
        <v>1850.47</v>
      </c>
      <c r="O52">
        <v>674112</v>
      </c>
      <c r="P52">
        <v>24460.5</v>
      </c>
      <c r="Q52" s="1">
        <v>2004040</v>
      </c>
      <c r="R52">
        <v>7964.08</v>
      </c>
      <c r="S52" t="s">
        <v>29</v>
      </c>
    </row>
    <row r="53" spans="1:33" x14ac:dyDescent="0.25">
      <c r="A53" t="s">
        <v>40</v>
      </c>
      <c r="B53" t="s">
        <v>41</v>
      </c>
      <c r="C53" t="s">
        <v>33</v>
      </c>
      <c r="D53" t="s">
        <v>42</v>
      </c>
      <c r="E53" t="s">
        <v>1</v>
      </c>
      <c r="F53" t="s">
        <v>2</v>
      </c>
      <c r="G53" t="s">
        <v>3</v>
      </c>
      <c r="H53" t="s">
        <v>47</v>
      </c>
      <c r="I53" t="s">
        <v>4</v>
      </c>
      <c r="J53" t="s">
        <v>5</v>
      </c>
      <c r="K53" t="s">
        <v>6</v>
      </c>
      <c r="L53" t="s">
        <v>39</v>
      </c>
      <c r="M53" t="s">
        <v>7</v>
      </c>
      <c r="N53" t="s">
        <v>8</v>
      </c>
      <c r="O53" t="s">
        <v>9</v>
      </c>
      <c r="P53" t="s">
        <v>10</v>
      </c>
      <c r="Q53" s="1" t="s">
        <v>11</v>
      </c>
      <c r="R53" t="s">
        <v>12</v>
      </c>
      <c r="S53" t="s">
        <v>13</v>
      </c>
      <c r="T53" t="s">
        <v>14</v>
      </c>
      <c r="U53" t="s">
        <v>15</v>
      </c>
      <c r="V53" t="s">
        <v>16</v>
      </c>
      <c r="W53" t="s">
        <v>17</v>
      </c>
      <c r="X53" t="s">
        <v>18</v>
      </c>
      <c r="Y53" t="s">
        <v>19</v>
      </c>
      <c r="Z53" t="s">
        <v>20</v>
      </c>
      <c r="AA53" t="s">
        <v>21</v>
      </c>
      <c r="AB53" t="s">
        <v>22</v>
      </c>
      <c r="AC53" t="s">
        <v>23</v>
      </c>
      <c r="AD53" t="s">
        <v>24</v>
      </c>
      <c r="AE53" t="s">
        <v>25</v>
      </c>
      <c r="AF53" t="s">
        <v>26</v>
      </c>
      <c r="AG53" t="s">
        <v>27</v>
      </c>
    </row>
    <row r="54" spans="1:33" x14ac:dyDescent="0.25">
      <c r="A54">
        <v>1</v>
      </c>
      <c r="B54">
        <v>1549.54</v>
      </c>
      <c r="C54">
        <v>2.1335099999999998</v>
      </c>
      <c r="D54">
        <v>1453.1</v>
      </c>
      <c r="E54">
        <v>93.760900000000007</v>
      </c>
      <c r="F54">
        <v>670.23400000000004</v>
      </c>
      <c r="G54">
        <v>34.226999999999997</v>
      </c>
      <c r="H54">
        <v>0</v>
      </c>
      <c r="I54">
        <v>99.998800000000003</v>
      </c>
      <c r="J54">
        <v>0</v>
      </c>
      <c r="K54">
        <v>0.14754300000000001</v>
      </c>
      <c r="L54" t="s">
        <v>28</v>
      </c>
      <c r="M54" s="1">
        <v>24011100</v>
      </c>
      <c r="N54">
        <v>45.571899999999999</v>
      </c>
      <c r="O54" s="1">
        <v>21115300</v>
      </c>
      <c r="P54">
        <v>87922.9</v>
      </c>
      <c r="Q54" s="1">
        <v>4492240</v>
      </c>
      <c r="R54">
        <v>11716.8</v>
      </c>
      <c r="S54" t="s">
        <v>29</v>
      </c>
    </row>
    <row r="55" spans="1:33" x14ac:dyDescent="0.25">
      <c r="A55">
        <v>2</v>
      </c>
      <c r="B55">
        <v>827.55100000000004</v>
      </c>
      <c r="C55">
        <v>8.0375899999999998</v>
      </c>
      <c r="D55">
        <v>757.54200000000003</v>
      </c>
      <c r="E55">
        <v>61.419600000000003</v>
      </c>
      <c r="F55">
        <v>673.88099999999997</v>
      </c>
      <c r="G55">
        <v>34.584600000000002</v>
      </c>
      <c r="H55">
        <v>0</v>
      </c>
      <c r="I55">
        <v>49.999000000000002</v>
      </c>
      <c r="J55">
        <v>0</v>
      </c>
      <c r="K55">
        <v>0.151555</v>
      </c>
      <c r="L55" t="s">
        <v>28</v>
      </c>
      <c r="M55" s="1">
        <v>6849900</v>
      </c>
      <c r="N55">
        <v>652.101</v>
      </c>
      <c r="O55" s="1">
        <v>5739620</v>
      </c>
      <c r="P55">
        <v>37785.199999999997</v>
      </c>
      <c r="Q55" s="1">
        <v>4541620</v>
      </c>
      <c r="R55">
        <v>11961.7</v>
      </c>
      <c r="S55" t="s">
        <v>29</v>
      </c>
    </row>
    <row r="56" spans="1:33" x14ac:dyDescent="0.25">
      <c r="A56">
        <v>3</v>
      </c>
      <c r="B56">
        <v>614.08500000000004</v>
      </c>
      <c r="C56">
        <v>9.7691400000000002</v>
      </c>
      <c r="D56">
        <v>545.79999999999995</v>
      </c>
      <c r="E56">
        <v>57.923200000000001</v>
      </c>
      <c r="F56">
        <v>699.77800000000002</v>
      </c>
      <c r="G56">
        <v>36.183300000000003</v>
      </c>
      <c r="H56">
        <v>0</v>
      </c>
      <c r="I56">
        <v>33.332299999999996</v>
      </c>
      <c r="J56">
        <v>0</v>
      </c>
      <c r="K56">
        <v>0.15763099999999999</v>
      </c>
      <c r="L56" t="s">
        <v>28</v>
      </c>
      <c r="M56" s="1">
        <v>3772450</v>
      </c>
      <c r="N56">
        <v>982.94899999999996</v>
      </c>
      <c r="O56" s="1">
        <v>2979640</v>
      </c>
      <c r="P56">
        <v>33911.4</v>
      </c>
      <c r="Q56" s="1">
        <v>4896920</v>
      </c>
      <c r="R56">
        <v>13092.5</v>
      </c>
      <c r="S56" t="s">
        <v>29</v>
      </c>
    </row>
    <row r="57" spans="1:33" x14ac:dyDescent="0.25">
      <c r="A57">
        <v>4</v>
      </c>
      <c r="B57">
        <v>525.25699999999995</v>
      </c>
      <c r="C57">
        <v>9.2605900000000005</v>
      </c>
      <c r="D57">
        <v>466.67599999999999</v>
      </c>
      <c r="E57">
        <v>48.751800000000003</v>
      </c>
      <c r="F57">
        <v>700.49900000000002</v>
      </c>
      <c r="G57">
        <v>36.427500000000002</v>
      </c>
      <c r="H57">
        <v>0</v>
      </c>
      <c r="I57">
        <v>24.999199999999998</v>
      </c>
      <c r="J57">
        <v>0</v>
      </c>
      <c r="K57">
        <v>0.15052499999999999</v>
      </c>
      <c r="L57" t="s">
        <v>28</v>
      </c>
      <c r="M57" s="1">
        <v>2769220</v>
      </c>
      <c r="N57">
        <v>863.673</v>
      </c>
      <c r="O57" s="1">
        <v>2187010</v>
      </c>
      <c r="P57">
        <v>23809.5</v>
      </c>
      <c r="Q57" s="1">
        <v>4907070</v>
      </c>
      <c r="R57">
        <v>13270.4</v>
      </c>
      <c r="S57" t="s">
        <v>29</v>
      </c>
    </row>
    <row r="58" spans="1:33" x14ac:dyDescent="0.25">
      <c r="A58">
        <v>5</v>
      </c>
      <c r="B58">
        <v>706.04399999999998</v>
      </c>
      <c r="C58">
        <v>11.5318</v>
      </c>
      <c r="D58">
        <v>632.61400000000003</v>
      </c>
      <c r="E58">
        <v>61.329799999999999</v>
      </c>
      <c r="F58">
        <v>761.73199999999997</v>
      </c>
      <c r="G58">
        <v>39.395499999999998</v>
      </c>
      <c r="H58">
        <v>0</v>
      </c>
      <c r="I58">
        <v>19.999600000000001</v>
      </c>
      <c r="J58">
        <v>0</v>
      </c>
      <c r="K58">
        <v>0.15311900000000001</v>
      </c>
      <c r="L58" t="s">
        <v>28</v>
      </c>
      <c r="M58" s="1">
        <v>4991160</v>
      </c>
      <c r="N58">
        <v>1369.99</v>
      </c>
      <c r="O58" s="1">
        <v>4008510</v>
      </c>
      <c r="P58">
        <v>37636.300000000003</v>
      </c>
      <c r="Q58" s="1">
        <v>5811540</v>
      </c>
      <c r="R58">
        <v>15546</v>
      </c>
      <c r="S58" t="s">
        <v>29</v>
      </c>
    </row>
    <row r="59" spans="1:33" x14ac:dyDescent="0.25">
      <c r="A59">
        <v>6</v>
      </c>
      <c r="B59">
        <v>624.34199999999998</v>
      </c>
      <c r="C59">
        <v>13.7622</v>
      </c>
      <c r="D59">
        <v>544.03099999999995</v>
      </c>
      <c r="E59">
        <v>65.9803</v>
      </c>
      <c r="F59">
        <v>824.79600000000005</v>
      </c>
      <c r="G59">
        <v>42.560499999999998</v>
      </c>
      <c r="H59">
        <v>0</v>
      </c>
      <c r="I59">
        <v>16.6663</v>
      </c>
      <c r="J59">
        <v>0</v>
      </c>
      <c r="K59">
        <v>0.147233</v>
      </c>
      <c r="L59" t="s">
        <v>28</v>
      </c>
      <c r="M59" s="1">
        <v>3898490</v>
      </c>
      <c r="N59">
        <v>1930.11</v>
      </c>
      <c r="O59" s="1">
        <v>2961110</v>
      </c>
      <c r="P59">
        <v>43762.3</v>
      </c>
      <c r="Q59" s="1">
        <v>6821630</v>
      </c>
      <c r="R59">
        <v>18156.3</v>
      </c>
      <c r="S59" t="s">
        <v>29</v>
      </c>
    </row>
    <row r="60" spans="1:33" x14ac:dyDescent="0.25">
      <c r="A60">
        <v>7</v>
      </c>
      <c r="B60">
        <v>572.00800000000004</v>
      </c>
      <c r="C60">
        <v>13.395799999999999</v>
      </c>
      <c r="D60">
        <v>488.262</v>
      </c>
      <c r="E60">
        <v>69.789299999999997</v>
      </c>
      <c r="F60">
        <v>845.45500000000004</v>
      </c>
      <c r="G60">
        <v>43.527700000000003</v>
      </c>
      <c r="H60">
        <v>0</v>
      </c>
      <c r="I60">
        <v>14.285299999999999</v>
      </c>
      <c r="J60">
        <v>0</v>
      </c>
      <c r="K60">
        <v>0.149842</v>
      </c>
      <c r="L60" t="s">
        <v>28</v>
      </c>
      <c r="M60" s="1">
        <v>3272180</v>
      </c>
      <c r="N60">
        <v>1808.73</v>
      </c>
      <c r="O60" s="1">
        <v>2384550</v>
      </c>
      <c r="P60">
        <v>49463</v>
      </c>
      <c r="Q60" s="1">
        <v>7166920</v>
      </c>
      <c r="R60">
        <v>18991.900000000001</v>
      </c>
      <c r="S60" t="s">
        <v>29</v>
      </c>
    </row>
    <row r="61" spans="1:33" x14ac:dyDescent="0.25">
      <c r="A61">
        <v>8</v>
      </c>
      <c r="B61">
        <v>514.51499999999999</v>
      </c>
      <c r="C61">
        <v>13.2843</v>
      </c>
      <c r="D61">
        <v>421.88499999999999</v>
      </c>
      <c r="E61">
        <v>78.777299999999997</v>
      </c>
      <c r="F61">
        <v>873.36699999999996</v>
      </c>
      <c r="G61">
        <v>46.299199999999999</v>
      </c>
      <c r="H61">
        <v>0</v>
      </c>
      <c r="I61">
        <v>12.499599999999999</v>
      </c>
      <c r="J61">
        <v>0</v>
      </c>
      <c r="K61">
        <v>0.119987</v>
      </c>
      <c r="L61" t="s">
        <v>28</v>
      </c>
      <c r="M61" s="1">
        <v>2650000</v>
      </c>
      <c r="N61">
        <v>1768.84</v>
      </c>
      <c r="O61" s="1">
        <v>1783700</v>
      </c>
      <c r="P61">
        <v>63754.8</v>
      </c>
      <c r="Q61" s="1">
        <v>7666110</v>
      </c>
      <c r="R61">
        <v>21590.9</v>
      </c>
      <c r="S61" t="s">
        <v>29</v>
      </c>
    </row>
    <row r="62" spans="1:33" x14ac:dyDescent="0.25">
      <c r="A62">
        <v>9</v>
      </c>
      <c r="B62">
        <v>483.87299999999999</v>
      </c>
      <c r="C62">
        <v>14.0365</v>
      </c>
      <c r="D62">
        <v>398.279</v>
      </c>
      <c r="E62">
        <v>70.994399999999999</v>
      </c>
      <c r="F62">
        <v>854.37400000000002</v>
      </c>
      <c r="G62">
        <v>43.996699999999997</v>
      </c>
      <c r="H62">
        <v>0</v>
      </c>
      <c r="I62">
        <v>11.110799999999999</v>
      </c>
      <c r="J62">
        <v>0</v>
      </c>
      <c r="K62">
        <v>0.14738499999999999</v>
      </c>
      <c r="L62" t="s">
        <v>28</v>
      </c>
      <c r="M62" s="1">
        <v>2344630</v>
      </c>
      <c r="N62">
        <v>1977.65</v>
      </c>
      <c r="O62" s="1">
        <v>1587020</v>
      </c>
      <c r="P62">
        <v>51312</v>
      </c>
      <c r="Q62" s="1">
        <v>7313330</v>
      </c>
      <c r="R62">
        <v>19392.3</v>
      </c>
      <c r="S62" t="s">
        <v>29</v>
      </c>
    </row>
    <row r="63" spans="1:33" x14ac:dyDescent="0.25">
      <c r="A63">
        <v>10</v>
      </c>
      <c r="B63">
        <v>483.98899999999998</v>
      </c>
      <c r="C63">
        <v>13.5387</v>
      </c>
      <c r="D63">
        <v>391.08199999999999</v>
      </c>
      <c r="E63">
        <v>78.802800000000005</v>
      </c>
      <c r="F63">
        <v>870.76199999999994</v>
      </c>
      <c r="G63">
        <v>45.303899999999999</v>
      </c>
      <c r="H63">
        <v>0</v>
      </c>
      <c r="I63">
        <v>9.9997199999999999</v>
      </c>
      <c r="J63">
        <v>0</v>
      </c>
      <c r="K63">
        <v>0.14712</v>
      </c>
      <c r="L63" t="s">
        <v>28</v>
      </c>
      <c r="M63" s="1">
        <v>2345230</v>
      </c>
      <c r="N63">
        <v>1834.34</v>
      </c>
      <c r="O63" s="1">
        <v>1531810</v>
      </c>
      <c r="P63">
        <v>62323.8</v>
      </c>
      <c r="Q63" s="1">
        <v>7585630</v>
      </c>
      <c r="R63">
        <v>20545.400000000001</v>
      </c>
      <c r="S63" t="s">
        <v>29</v>
      </c>
    </row>
    <row r="64" spans="1:33" x14ac:dyDescent="0.25">
      <c r="A64">
        <v>11</v>
      </c>
      <c r="B64">
        <v>530.48299999999995</v>
      </c>
      <c r="C64">
        <v>15.061299999999999</v>
      </c>
      <c r="D64">
        <v>437.23700000000002</v>
      </c>
      <c r="E64">
        <v>77.616900000000001</v>
      </c>
      <c r="F64">
        <v>866.09100000000001</v>
      </c>
      <c r="G64">
        <v>45.908099999999997</v>
      </c>
      <c r="H64">
        <v>0</v>
      </c>
      <c r="I64">
        <v>9.0906699999999994</v>
      </c>
      <c r="J64">
        <v>0</v>
      </c>
      <c r="K64">
        <v>0.15406600000000001</v>
      </c>
      <c r="L64" t="s">
        <v>28</v>
      </c>
      <c r="M64" s="1">
        <v>2842810</v>
      </c>
      <c r="N64">
        <v>2269.19</v>
      </c>
      <c r="O64" s="1">
        <v>1944020</v>
      </c>
      <c r="P64">
        <v>60363.4</v>
      </c>
      <c r="Q64" s="1">
        <v>7502520</v>
      </c>
      <c r="R64">
        <v>21121.7</v>
      </c>
      <c r="S64" t="s">
        <v>29</v>
      </c>
    </row>
    <row r="65" spans="1:33" x14ac:dyDescent="0.25">
      <c r="A65">
        <v>12</v>
      </c>
      <c r="B65">
        <v>537.97299999999996</v>
      </c>
      <c r="C65">
        <v>14.5616</v>
      </c>
      <c r="D65">
        <v>445.88600000000002</v>
      </c>
      <c r="E65">
        <v>76.959800000000001</v>
      </c>
      <c r="F65">
        <v>871.92700000000002</v>
      </c>
      <c r="G65">
        <v>48.302700000000002</v>
      </c>
      <c r="H65">
        <v>0</v>
      </c>
      <c r="I65">
        <v>8.3331199999999992</v>
      </c>
      <c r="J65">
        <v>0</v>
      </c>
      <c r="K65">
        <v>0.117494</v>
      </c>
      <c r="L65" t="s">
        <v>28</v>
      </c>
      <c r="M65" s="1">
        <v>2957810</v>
      </c>
      <c r="N65">
        <v>2121.5300000000002</v>
      </c>
      <c r="O65" s="1">
        <v>2055060</v>
      </c>
      <c r="P65">
        <v>59276.2</v>
      </c>
      <c r="Q65" s="1">
        <v>7602680</v>
      </c>
      <c r="R65">
        <v>23462.400000000001</v>
      </c>
      <c r="S65" t="s">
        <v>29</v>
      </c>
    </row>
    <row r="66" spans="1:33" x14ac:dyDescent="0.25">
      <c r="A66" t="s">
        <v>40</v>
      </c>
      <c r="B66" t="s">
        <v>41</v>
      </c>
      <c r="C66" t="s">
        <v>34</v>
      </c>
      <c r="D66" t="s">
        <v>42</v>
      </c>
      <c r="E66" t="s">
        <v>1</v>
      </c>
      <c r="F66" t="s">
        <v>2</v>
      </c>
      <c r="G66" t="s">
        <v>3</v>
      </c>
      <c r="H66" t="s">
        <v>48</v>
      </c>
      <c r="I66" t="s">
        <v>4</v>
      </c>
      <c r="J66" t="s">
        <v>5</v>
      </c>
      <c r="K66" t="s">
        <v>6</v>
      </c>
      <c r="L66" t="s">
        <v>39</v>
      </c>
      <c r="M66" t="s">
        <v>7</v>
      </c>
      <c r="N66" t="s">
        <v>8</v>
      </c>
      <c r="O66" t="s">
        <v>9</v>
      </c>
      <c r="P66" t="s">
        <v>10</v>
      </c>
      <c r="Q66" s="1" t="s">
        <v>11</v>
      </c>
      <c r="R66" t="s">
        <v>12</v>
      </c>
      <c r="S66" t="s">
        <v>13</v>
      </c>
      <c r="T66" t="s">
        <v>14</v>
      </c>
      <c r="U66" t="s">
        <v>15</v>
      </c>
      <c r="V66" t="s">
        <v>16</v>
      </c>
      <c r="W66" t="s">
        <v>17</v>
      </c>
      <c r="X66" t="s">
        <v>18</v>
      </c>
      <c r="Y66" t="s">
        <v>19</v>
      </c>
      <c r="Z66" t="s">
        <v>20</v>
      </c>
      <c r="AA66" t="s">
        <v>21</v>
      </c>
      <c r="AB66" t="s">
        <v>22</v>
      </c>
      <c r="AC66" t="s">
        <v>23</v>
      </c>
      <c r="AD66" t="s">
        <v>24</v>
      </c>
      <c r="AE66" t="s">
        <v>25</v>
      </c>
      <c r="AF66" t="s">
        <v>26</v>
      </c>
      <c r="AG66" t="s">
        <v>27</v>
      </c>
    </row>
    <row r="67" spans="1:33" x14ac:dyDescent="0.25">
      <c r="A67">
        <v>1</v>
      </c>
      <c r="B67">
        <v>3082.79</v>
      </c>
      <c r="C67">
        <v>4.1320699999999997</v>
      </c>
      <c r="D67">
        <v>2825.81</v>
      </c>
      <c r="E67">
        <v>252.268</v>
      </c>
      <c r="F67">
        <v>1295</v>
      </c>
      <c r="G67">
        <v>59.019599999999997</v>
      </c>
      <c r="H67">
        <v>0</v>
      </c>
      <c r="I67">
        <v>99.999099999999999</v>
      </c>
      <c r="J67">
        <v>0</v>
      </c>
      <c r="K67">
        <v>0.28310400000000002</v>
      </c>
      <c r="L67" t="s">
        <v>28</v>
      </c>
      <c r="M67" s="1">
        <v>95037500</v>
      </c>
      <c r="N67">
        <v>170.828</v>
      </c>
      <c r="O67" s="1">
        <v>79852700</v>
      </c>
      <c r="P67">
        <v>636678</v>
      </c>
      <c r="Q67" s="1">
        <v>16770300</v>
      </c>
      <c r="R67">
        <v>34835.599999999999</v>
      </c>
      <c r="S67" t="s">
        <v>29</v>
      </c>
    </row>
    <row r="68" spans="1:33" x14ac:dyDescent="0.25">
      <c r="A68">
        <v>2</v>
      </c>
      <c r="B68">
        <v>1641.97</v>
      </c>
      <c r="C68">
        <v>12.801299999999999</v>
      </c>
      <c r="D68">
        <v>1478.03</v>
      </c>
      <c r="E68">
        <v>150.53800000000001</v>
      </c>
      <c r="F68">
        <v>1317.02</v>
      </c>
      <c r="G68">
        <v>59.968200000000003</v>
      </c>
      <c r="H68">
        <v>0</v>
      </c>
      <c r="I68">
        <v>49.999200000000002</v>
      </c>
      <c r="J68">
        <v>0</v>
      </c>
      <c r="K68">
        <v>0.28410400000000002</v>
      </c>
      <c r="L68" t="s">
        <v>28</v>
      </c>
      <c r="M68" s="1">
        <v>26970600</v>
      </c>
      <c r="N68">
        <v>1717.28</v>
      </c>
      <c r="O68" s="1">
        <v>21850600</v>
      </c>
      <c r="P68">
        <v>227231</v>
      </c>
      <c r="Q68" s="1">
        <v>17348200</v>
      </c>
      <c r="R68">
        <v>35970</v>
      </c>
      <c r="S68" t="s">
        <v>29</v>
      </c>
    </row>
    <row r="69" spans="1:33" x14ac:dyDescent="0.25">
      <c r="A69">
        <v>3</v>
      </c>
      <c r="B69">
        <v>1178.78</v>
      </c>
      <c r="C69">
        <v>12.360900000000001</v>
      </c>
      <c r="D69">
        <v>1048.1300000000001</v>
      </c>
      <c r="E69">
        <v>117.664</v>
      </c>
      <c r="F69">
        <v>1367.78</v>
      </c>
      <c r="G69">
        <v>62.403300000000002</v>
      </c>
      <c r="H69">
        <v>0</v>
      </c>
      <c r="I69">
        <v>33.332700000000003</v>
      </c>
      <c r="J69">
        <v>0</v>
      </c>
      <c r="K69">
        <v>0.283084</v>
      </c>
      <c r="L69" t="s">
        <v>28</v>
      </c>
      <c r="M69" s="1">
        <v>13896100</v>
      </c>
      <c r="N69">
        <v>1528.33</v>
      </c>
      <c r="O69" s="1">
        <v>10986300</v>
      </c>
      <c r="P69">
        <v>138581</v>
      </c>
      <c r="Q69" s="1">
        <v>18708200</v>
      </c>
      <c r="R69">
        <v>38948.800000000003</v>
      </c>
      <c r="S69" t="s">
        <v>29</v>
      </c>
    </row>
    <row r="70" spans="1:33" x14ac:dyDescent="0.25">
      <c r="A70">
        <v>4</v>
      </c>
      <c r="B70">
        <v>952.67200000000003</v>
      </c>
      <c r="C70">
        <v>12.3132</v>
      </c>
      <c r="D70">
        <v>842.14</v>
      </c>
      <c r="E70">
        <v>97.626400000000004</v>
      </c>
      <c r="F70">
        <v>1374.26</v>
      </c>
      <c r="G70">
        <v>62.552199999999999</v>
      </c>
      <c r="H70">
        <v>0</v>
      </c>
      <c r="I70">
        <v>24.999400000000001</v>
      </c>
      <c r="J70">
        <v>0</v>
      </c>
      <c r="K70">
        <v>0.283078</v>
      </c>
      <c r="L70" t="s">
        <v>28</v>
      </c>
      <c r="M70" s="1">
        <v>9101530</v>
      </c>
      <c r="N70">
        <v>1579.7</v>
      </c>
      <c r="O70" s="1">
        <v>7109520</v>
      </c>
      <c r="P70">
        <v>95748.6</v>
      </c>
      <c r="Q70" s="1">
        <v>18886000</v>
      </c>
      <c r="R70">
        <v>39135.599999999999</v>
      </c>
      <c r="S70" t="s">
        <v>29</v>
      </c>
    </row>
    <row r="71" spans="1:33" x14ac:dyDescent="0.25">
      <c r="A71">
        <v>5</v>
      </c>
      <c r="B71">
        <v>1284.9000000000001</v>
      </c>
      <c r="C71">
        <v>28.536100000000001</v>
      </c>
      <c r="D71">
        <v>1118.69</v>
      </c>
      <c r="E71">
        <v>137.053</v>
      </c>
      <c r="F71">
        <v>1555.11</v>
      </c>
      <c r="G71">
        <v>70.533299999999997</v>
      </c>
      <c r="H71">
        <v>0</v>
      </c>
      <c r="I71">
        <v>19.999600000000001</v>
      </c>
      <c r="J71">
        <v>0</v>
      </c>
      <c r="K71">
        <v>0.28349000000000002</v>
      </c>
      <c r="L71" t="s">
        <v>28</v>
      </c>
      <c r="M71" s="1">
        <v>16516800</v>
      </c>
      <c r="N71">
        <v>8381.7900000000009</v>
      </c>
      <c r="O71" s="1">
        <v>12521100</v>
      </c>
      <c r="P71">
        <v>188313</v>
      </c>
      <c r="Q71" s="1">
        <v>24191300</v>
      </c>
      <c r="R71">
        <v>49768.4</v>
      </c>
      <c r="S71" t="s">
        <v>29</v>
      </c>
    </row>
    <row r="72" spans="1:33" x14ac:dyDescent="0.25">
      <c r="A72">
        <v>6</v>
      </c>
      <c r="B72">
        <v>1146.95</v>
      </c>
      <c r="C72">
        <v>20.782599999999999</v>
      </c>
      <c r="D72">
        <v>985.524</v>
      </c>
      <c r="E72">
        <v>140.04400000000001</v>
      </c>
      <c r="F72">
        <v>1683.75</v>
      </c>
      <c r="G72">
        <v>75.861999999999995</v>
      </c>
      <c r="H72">
        <v>0</v>
      </c>
      <c r="I72">
        <v>16.6663</v>
      </c>
      <c r="J72">
        <v>0</v>
      </c>
      <c r="K72">
        <v>0.28308</v>
      </c>
      <c r="L72" t="s">
        <v>28</v>
      </c>
      <c r="M72" s="1">
        <v>13156000</v>
      </c>
      <c r="N72">
        <v>4340.17</v>
      </c>
      <c r="O72" s="1">
        <v>9713920</v>
      </c>
      <c r="P72">
        <v>196268</v>
      </c>
      <c r="Q72" s="1">
        <v>28364300</v>
      </c>
      <c r="R72">
        <v>57571.6</v>
      </c>
      <c r="S72" t="s">
        <v>29</v>
      </c>
    </row>
    <row r="73" spans="1:33" x14ac:dyDescent="0.25">
      <c r="A73">
        <v>7</v>
      </c>
      <c r="B73">
        <v>1046.8599999999999</v>
      </c>
      <c r="C73">
        <v>20.7592</v>
      </c>
      <c r="D73">
        <v>864.34</v>
      </c>
      <c r="E73">
        <v>160.876</v>
      </c>
      <c r="F73">
        <v>1756.94</v>
      </c>
      <c r="G73">
        <v>79.226900000000001</v>
      </c>
      <c r="H73">
        <v>0</v>
      </c>
      <c r="I73">
        <v>14.285299999999999</v>
      </c>
      <c r="J73">
        <v>0</v>
      </c>
      <c r="K73">
        <v>0.28312799999999999</v>
      </c>
      <c r="L73" t="s">
        <v>28</v>
      </c>
      <c r="M73" s="1">
        <v>10960100</v>
      </c>
      <c r="N73">
        <v>4325.63</v>
      </c>
      <c r="O73" s="1">
        <v>7472320</v>
      </c>
      <c r="P73">
        <v>259774</v>
      </c>
      <c r="Q73" s="1">
        <v>30876900</v>
      </c>
      <c r="R73">
        <v>62790.400000000001</v>
      </c>
      <c r="S73" t="s">
        <v>29</v>
      </c>
    </row>
    <row r="74" spans="1:33" x14ac:dyDescent="0.25">
      <c r="A74">
        <v>8</v>
      </c>
      <c r="B74">
        <v>949.89200000000005</v>
      </c>
      <c r="C74">
        <v>20.5669</v>
      </c>
      <c r="D74">
        <v>787.13400000000001</v>
      </c>
      <c r="E74">
        <v>141.465</v>
      </c>
      <c r="F74">
        <v>1781.21</v>
      </c>
      <c r="G74">
        <v>80.601900000000001</v>
      </c>
      <c r="H74">
        <v>0</v>
      </c>
      <c r="I74">
        <v>12.499599999999999</v>
      </c>
      <c r="J74">
        <v>0</v>
      </c>
      <c r="K74">
        <v>0.26188</v>
      </c>
      <c r="L74" t="s">
        <v>28</v>
      </c>
      <c r="M74" s="1">
        <v>9023570</v>
      </c>
      <c r="N74">
        <v>4264.45</v>
      </c>
      <c r="O74" s="1">
        <v>6198500</v>
      </c>
      <c r="P74">
        <v>202733</v>
      </c>
      <c r="Q74" s="1">
        <v>31755500</v>
      </c>
      <c r="R74">
        <v>65019.1</v>
      </c>
      <c r="S74" t="s">
        <v>29</v>
      </c>
    </row>
    <row r="75" spans="1:33" x14ac:dyDescent="0.25">
      <c r="A75">
        <v>9</v>
      </c>
      <c r="B75">
        <v>888.90499999999997</v>
      </c>
      <c r="C75">
        <v>23.014900000000001</v>
      </c>
      <c r="D75">
        <v>717.47500000000002</v>
      </c>
      <c r="E75">
        <v>147.756</v>
      </c>
      <c r="F75">
        <v>1773.65</v>
      </c>
      <c r="G75">
        <v>83.066999999999993</v>
      </c>
      <c r="H75">
        <v>0</v>
      </c>
      <c r="I75">
        <v>11.110799999999999</v>
      </c>
      <c r="J75">
        <v>0</v>
      </c>
      <c r="K75">
        <v>0.26210699999999998</v>
      </c>
      <c r="L75" t="s">
        <v>28</v>
      </c>
      <c r="M75" s="1">
        <v>7911560</v>
      </c>
      <c r="N75">
        <v>5396.86</v>
      </c>
      <c r="O75" s="1">
        <v>5151550</v>
      </c>
      <c r="P75">
        <v>222376</v>
      </c>
      <c r="Q75" s="1">
        <v>31481900</v>
      </c>
      <c r="R75">
        <v>69168.899999999994</v>
      </c>
      <c r="S75" t="s">
        <v>29</v>
      </c>
    </row>
    <row r="76" spans="1:33" x14ac:dyDescent="0.25">
      <c r="A76">
        <v>10</v>
      </c>
      <c r="B76">
        <v>866.91800000000001</v>
      </c>
      <c r="C76">
        <v>23.373100000000001</v>
      </c>
      <c r="D76">
        <v>673.63400000000001</v>
      </c>
      <c r="E76">
        <v>169.13800000000001</v>
      </c>
      <c r="F76">
        <v>1762.76</v>
      </c>
      <c r="G76">
        <v>84.521900000000002</v>
      </c>
      <c r="H76">
        <v>0</v>
      </c>
      <c r="I76">
        <v>9.9997699999999998</v>
      </c>
      <c r="J76">
        <v>0</v>
      </c>
      <c r="K76">
        <v>0.283082</v>
      </c>
      <c r="L76" t="s">
        <v>28</v>
      </c>
      <c r="M76" s="1">
        <v>7522880</v>
      </c>
      <c r="N76">
        <v>5497.5</v>
      </c>
      <c r="O76" s="1">
        <v>4541160</v>
      </c>
      <c r="P76">
        <v>287553</v>
      </c>
      <c r="Q76" s="1">
        <v>31075500</v>
      </c>
      <c r="R76">
        <v>71619.8</v>
      </c>
      <c r="S76" t="s">
        <v>29</v>
      </c>
    </row>
    <row r="77" spans="1:33" x14ac:dyDescent="0.25">
      <c r="A77">
        <v>11</v>
      </c>
      <c r="B77">
        <v>820.40700000000004</v>
      </c>
      <c r="C77">
        <v>22.347200000000001</v>
      </c>
      <c r="D77">
        <v>632.07899999999995</v>
      </c>
      <c r="E77">
        <v>165.37899999999999</v>
      </c>
      <c r="F77">
        <v>1744.83</v>
      </c>
      <c r="G77">
        <v>87.782200000000003</v>
      </c>
      <c r="H77">
        <v>0</v>
      </c>
      <c r="I77">
        <v>9.0906900000000004</v>
      </c>
      <c r="J77">
        <v>0</v>
      </c>
      <c r="K77">
        <v>0.28316200000000002</v>
      </c>
      <c r="L77" t="s">
        <v>28</v>
      </c>
      <c r="M77" s="1">
        <v>6735640</v>
      </c>
      <c r="N77">
        <v>4997.51</v>
      </c>
      <c r="O77" s="1">
        <v>4000040</v>
      </c>
      <c r="P77">
        <v>273699</v>
      </c>
      <c r="Q77" s="1">
        <v>30446000</v>
      </c>
      <c r="R77">
        <v>77267.199999999997</v>
      </c>
      <c r="S77" t="s">
        <v>29</v>
      </c>
    </row>
    <row r="78" spans="1:33" x14ac:dyDescent="0.25">
      <c r="A78">
        <v>12</v>
      </c>
      <c r="B78">
        <v>805.27800000000002</v>
      </c>
      <c r="C78">
        <v>21.011600000000001</v>
      </c>
      <c r="D78">
        <v>625.44399999999996</v>
      </c>
      <c r="E78">
        <v>158.23099999999999</v>
      </c>
      <c r="F78">
        <v>1720.55</v>
      </c>
      <c r="G78">
        <v>96.469499999999996</v>
      </c>
      <c r="H78">
        <v>0</v>
      </c>
      <c r="I78">
        <v>8.3331400000000002</v>
      </c>
      <c r="J78">
        <v>0</v>
      </c>
      <c r="K78">
        <v>0.28311900000000001</v>
      </c>
      <c r="L78" t="s">
        <v>28</v>
      </c>
      <c r="M78" s="1">
        <v>6498310</v>
      </c>
      <c r="N78">
        <v>4421.9799999999996</v>
      </c>
      <c r="O78" s="1">
        <v>3926480</v>
      </c>
      <c r="P78">
        <v>250716</v>
      </c>
      <c r="Q78" s="1">
        <v>29603100</v>
      </c>
      <c r="R78">
        <v>93108.4</v>
      </c>
      <c r="S78" t="s">
        <v>29</v>
      </c>
    </row>
    <row r="79" spans="1:33" x14ac:dyDescent="0.25">
      <c r="A79" t="s">
        <v>40</v>
      </c>
      <c r="B79" t="s">
        <v>41</v>
      </c>
      <c r="C79" t="s">
        <v>35</v>
      </c>
      <c r="D79" t="s">
        <v>42</v>
      </c>
      <c r="E79" t="s">
        <v>1</v>
      </c>
      <c r="F79" t="s">
        <v>2</v>
      </c>
      <c r="G79" t="s">
        <v>3</v>
      </c>
      <c r="H79" t="s">
        <v>49</v>
      </c>
      <c r="I79" t="s">
        <v>4</v>
      </c>
      <c r="J79" t="s">
        <v>5</v>
      </c>
      <c r="K79" t="s">
        <v>6</v>
      </c>
      <c r="L79" t="s">
        <v>39</v>
      </c>
      <c r="M79" t="s">
        <v>7</v>
      </c>
      <c r="N79" t="s">
        <v>8</v>
      </c>
      <c r="O79" t="s">
        <v>9</v>
      </c>
      <c r="P79" t="s">
        <v>10</v>
      </c>
      <c r="Q79" s="1" t="s">
        <v>11</v>
      </c>
      <c r="R79" t="s">
        <v>12</v>
      </c>
      <c r="S79" t="s">
        <v>13</v>
      </c>
      <c r="T79" t="s">
        <v>14</v>
      </c>
      <c r="U79" t="s">
        <v>15</v>
      </c>
      <c r="V79" t="s">
        <v>16</v>
      </c>
      <c r="W79" t="s">
        <v>17</v>
      </c>
      <c r="X79" t="s">
        <v>18</v>
      </c>
      <c r="Y79" t="s">
        <v>19</v>
      </c>
      <c r="Z79" t="s">
        <v>20</v>
      </c>
      <c r="AA79" t="s">
        <v>21</v>
      </c>
      <c r="AB79" t="s">
        <v>22</v>
      </c>
      <c r="AC79" t="s">
        <v>23</v>
      </c>
      <c r="AD79" t="s">
        <v>24</v>
      </c>
      <c r="AE79" t="s">
        <v>25</v>
      </c>
      <c r="AF79" t="s">
        <v>26</v>
      </c>
      <c r="AG79" t="s">
        <v>27</v>
      </c>
    </row>
    <row r="80" spans="1:33" x14ac:dyDescent="0.25">
      <c r="A80">
        <v>1</v>
      </c>
      <c r="B80">
        <v>6152.24</v>
      </c>
      <c r="C80">
        <v>8.2035400000000003</v>
      </c>
      <c r="D80">
        <v>5596.58</v>
      </c>
      <c r="E80">
        <v>546.79200000000003</v>
      </c>
      <c r="F80">
        <v>2553.79</v>
      </c>
      <c r="G80">
        <v>110.93899999999999</v>
      </c>
      <c r="H80">
        <v>0</v>
      </c>
      <c r="I80">
        <v>99.999099999999999</v>
      </c>
      <c r="J80">
        <v>0</v>
      </c>
      <c r="K80">
        <v>0.38051400000000002</v>
      </c>
      <c r="L80" t="s">
        <v>28</v>
      </c>
      <c r="M80" s="1">
        <v>378523000</v>
      </c>
      <c r="N80">
        <v>673.34199999999998</v>
      </c>
      <c r="O80" s="1">
        <v>313229000</v>
      </c>
      <c r="P80" s="1">
        <v>2991900</v>
      </c>
      <c r="Q80" s="1">
        <v>65220800</v>
      </c>
      <c r="R80">
        <v>123115</v>
      </c>
      <c r="S80" t="s">
        <v>29</v>
      </c>
    </row>
    <row r="81" spans="1:33" x14ac:dyDescent="0.25">
      <c r="A81">
        <v>2</v>
      </c>
      <c r="B81">
        <v>3227.23</v>
      </c>
      <c r="C81">
        <v>15.362399999999999</v>
      </c>
      <c r="D81">
        <v>2911.56</v>
      </c>
      <c r="E81">
        <v>299.649</v>
      </c>
      <c r="F81">
        <v>2603.21</v>
      </c>
      <c r="G81">
        <v>110.499</v>
      </c>
      <c r="H81">
        <v>0</v>
      </c>
      <c r="I81">
        <v>49.999499999999998</v>
      </c>
      <c r="J81">
        <v>0</v>
      </c>
      <c r="K81">
        <v>0.37739800000000001</v>
      </c>
      <c r="L81" t="s">
        <v>28</v>
      </c>
      <c r="M81" s="1">
        <v>104154000</v>
      </c>
      <c r="N81">
        <v>2386.59</v>
      </c>
      <c r="O81" s="1">
        <v>84774700</v>
      </c>
      <c r="P81">
        <v>898149</v>
      </c>
      <c r="Q81" s="1">
        <v>67768300</v>
      </c>
      <c r="R81">
        <v>122131</v>
      </c>
      <c r="S81" t="s">
        <v>29</v>
      </c>
    </row>
    <row r="82" spans="1:33" x14ac:dyDescent="0.25">
      <c r="A82">
        <v>3</v>
      </c>
      <c r="B82">
        <v>2296.0100000000002</v>
      </c>
      <c r="C82">
        <v>14.8064</v>
      </c>
      <c r="D82">
        <v>2052.17</v>
      </c>
      <c r="E82">
        <v>228.36699999999999</v>
      </c>
      <c r="F82">
        <v>2708.8</v>
      </c>
      <c r="G82">
        <v>111.749</v>
      </c>
      <c r="H82">
        <v>0</v>
      </c>
      <c r="I82">
        <v>33.332900000000002</v>
      </c>
      <c r="J82">
        <v>0</v>
      </c>
      <c r="K82">
        <v>0.37581900000000001</v>
      </c>
      <c r="L82" t="s">
        <v>28</v>
      </c>
      <c r="M82" s="1">
        <v>52724700</v>
      </c>
      <c r="N82">
        <v>2202.4899999999998</v>
      </c>
      <c r="O82" s="1">
        <v>42116900</v>
      </c>
      <c r="P82">
        <v>522780</v>
      </c>
      <c r="Q82" s="1">
        <v>73376700</v>
      </c>
      <c r="R82">
        <v>124887</v>
      </c>
      <c r="S82" t="s">
        <v>29</v>
      </c>
    </row>
    <row r="83" spans="1:33" x14ac:dyDescent="0.25">
      <c r="A83">
        <v>4</v>
      </c>
      <c r="B83">
        <v>1770.46</v>
      </c>
      <c r="C83">
        <v>14.2105</v>
      </c>
      <c r="D83">
        <v>1577.8</v>
      </c>
      <c r="E83">
        <v>177.78700000000001</v>
      </c>
      <c r="F83">
        <v>2715.29</v>
      </c>
      <c r="G83">
        <v>110.482</v>
      </c>
      <c r="H83">
        <v>0</v>
      </c>
      <c r="I83">
        <v>24.9998</v>
      </c>
      <c r="J83">
        <v>0</v>
      </c>
      <c r="K83">
        <v>0.38298399999999999</v>
      </c>
      <c r="L83" t="s">
        <v>28</v>
      </c>
      <c r="M83" s="1">
        <v>31345900</v>
      </c>
      <c r="N83">
        <v>2021.29</v>
      </c>
      <c r="O83" s="1">
        <v>24895100</v>
      </c>
      <c r="P83">
        <v>316105</v>
      </c>
      <c r="Q83" s="1">
        <v>73728200</v>
      </c>
      <c r="R83">
        <v>122085</v>
      </c>
      <c r="S83" t="s">
        <v>29</v>
      </c>
    </row>
    <row r="84" spans="1:33" x14ac:dyDescent="0.25">
      <c r="A84">
        <v>5</v>
      </c>
      <c r="B84">
        <v>2118.73</v>
      </c>
      <c r="C84">
        <v>37.194600000000001</v>
      </c>
      <c r="D84">
        <v>1849.18</v>
      </c>
      <c r="E84">
        <v>231.65899999999999</v>
      </c>
      <c r="F84">
        <v>2971.78</v>
      </c>
      <c r="G84">
        <v>121.874</v>
      </c>
      <c r="H84">
        <v>0</v>
      </c>
      <c r="I84">
        <v>19.9998</v>
      </c>
      <c r="J84">
        <v>0</v>
      </c>
      <c r="K84">
        <v>0.38578299999999999</v>
      </c>
      <c r="L84" t="s">
        <v>28</v>
      </c>
      <c r="M84" s="1">
        <v>44908700</v>
      </c>
      <c r="N84">
        <v>14263.8</v>
      </c>
      <c r="O84" s="1">
        <v>34212400</v>
      </c>
      <c r="P84">
        <v>536984</v>
      </c>
      <c r="Q84" s="1">
        <v>88317900</v>
      </c>
      <c r="R84">
        <v>148551</v>
      </c>
      <c r="S84" t="s">
        <v>29</v>
      </c>
    </row>
    <row r="85" spans="1:33" x14ac:dyDescent="0.25">
      <c r="A85">
        <v>6</v>
      </c>
      <c r="B85">
        <v>1995.63</v>
      </c>
      <c r="C85">
        <v>38.435499999999998</v>
      </c>
      <c r="D85">
        <v>1701.13</v>
      </c>
      <c r="E85">
        <v>255.24299999999999</v>
      </c>
      <c r="F85">
        <v>3194.62</v>
      </c>
      <c r="G85">
        <v>131.886</v>
      </c>
      <c r="H85">
        <v>0</v>
      </c>
      <c r="I85">
        <v>16.666399999999999</v>
      </c>
      <c r="J85">
        <v>0</v>
      </c>
      <c r="K85">
        <v>0.37776199999999999</v>
      </c>
      <c r="L85" t="s">
        <v>28</v>
      </c>
      <c r="M85" s="1">
        <v>39839200</v>
      </c>
      <c r="N85">
        <v>15104.1</v>
      </c>
      <c r="O85" s="1">
        <v>28949200</v>
      </c>
      <c r="P85">
        <v>652136</v>
      </c>
      <c r="Q85" s="1">
        <v>102066000</v>
      </c>
      <c r="R85">
        <v>173960</v>
      </c>
      <c r="S85" t="s">
        <v>29</v>
      </c>
    </row>
    <row r="86" spans="1:33" x14ac:dyDescent="0.25">
      <c r="A86">
        <v>7</v>
      </c>
      <c r="B86">
        <v>1878.01</v>
      </c>
      <c r="C86">
        <v>37.671999999999997</v>
      </c>
      <c r="D86">
        <v>1558.55</v>
      </c>
      <c r="E86">
        <v>280.84199999999998</v>
      </c>
      <c r="F86">
        <v>3365.62</v>
      </c>
      <c r="G86">
        <v>139.33199999999999</v>
      </c>
      <c r="H86">
        <v>0</v>
      </c>
      <c r="I86">
        <v>14.285399999999999</v>
      </c>
      <c r="J86">
        <v>0</v>
      </c>
      <c r="K86">
        <v>0.38578000000000001</v>
      </c>
      <c r="L86" t="s">
        <v>28</v>
      </c>
      <c r="M86" s="1">
        <v>35275200</v>
      </c>
      <c r="N86">
        <v>14262.6</v>
      </c>
      <c r="O86" s="1">
        <v>24295100</v>
      </c>
      <c r="P86">
        <v>789460</v>
      </c>
      <c r="Q86" s="1">
        <v>113282000</v>
      </c>
      <c r="R86">
        <v>194148</v>
      </c>
      <c r="S86" t="s">
        <v>29</v>
      </c>
    </row>
    <row r="87" spans="1:33" x14ac:dyDescent="0.25">
      <c r="A87">
        <v>8</v>
      </c>
      <c r="B87">
        <v>1633.94</v>
      </c>
      <c r="C87">
        <v>28.3733</v>
      </c>
      <c r="D87">
        <v>1361.08</v>
      </c>
      <c r="E87">
        <v>243.636</v>
      </c>
      <c r="F87">
        <v>3394.73</v>
      </c>
      <c r="G87">
        <v>149.41300000000001</v>
      </c>
      <c r="H87">
        <v>0</v>
      </c>
      <c r="I87">
        <v>12.499700000000001</v>
      </c>
      <c r="J87">
        <v>0</v>
      </c>
      <c r="K87">
        <v>0.37656899999999999</v>
      </c>
      <c r="L87" t="s">
        <v>28</v>
      </c>
      <c r="M87" s="1">
        <v>26739700</v>
      </c>
      <c r="N87">
        <v>8166.65</v>
      </c>
      <c r="O87" s="1">
        <v>18551200</v>
      </c>
      <c r="P87">
        <v>595015</v>
      </c>
      <c r="Q87" s="1">
        <v>115284000</v>
      </c>
      <c r="R87">
        <v>223630</v>
      </c>
      <c r="S87" t="s">
        <v>29</v>
      </c>
    </row>
    <row r="88" spans="1:33" x14ac:dyDescent="0.25">
      <c r="A88">
        <v>9</v>
      </c>
      <c r="B88">
        <v>1512.91</v>
      </c>
      <c r="C88">
        <v>22.841799999999999</v>
      </c>
      <c r="D88">
        <v>1270.56</v>
      </c>
      <c r="E88">
        <v>218.76300000000001</v>
      </c>
      <c r="F88">
        <v>3412.47</v>
      </c>
      <c r="G88">
        <v>193.43</v>
      </c>
      <c r="H88">
        <v>0</v>
      </c>
      <c r="I88">
        <v>11.110900000000001</v>
      </c>
      <c r="J88">
        <v>0</v>
      </c>
      <c r="K88">
        <v>0.37571300000000002</v>
      </c>
      <c r="L88" t="s">
        <v>28</v>
      </c>
      <c r="M88" s="1">
        <v>22916500</v>
      </c>
      <c r="N88">
        <v>5250.3</v>
      </c>
      <c r="O88" s="1">
        <v>16170200</v>
      </c>
      <c r="P88">
        <v>478670</v>
      </c>
      <c r="Q88" s="1">
        <v>116580000</v>
      </c>
      <c r="R88">
        <v>376248</v>
      </c>
      <c r="S88" t="s">
        <v>29</v>
      </c>
    </row>
    <row r="89" spans="1:33" x14ac:dyDescent="0.25">
      <c r="A89">
        <v>10</v>
      </c>
      <c r="B89">
        <v>1468.35</v>
      </c>
      <c r="C89">
        <v>23.759399999999999</v>
      </c>
      <c r="D89">
        <v>1212.74</v>
      </c>
      <c r="E89">
        <v>231.09100000000001</v>
      </c>
      <c r="F89">
        <v>3566.1</v>
      </c>
      <c r="G89">
        <v>208.381</v>
      </c>
      <c r="H89">
        <v>0</v>
      </c>
      <c r="I89">
        <v>9.9997799999999994</v>
      </c>
      <c r="J89">
        <v>0</v>
      </c>
      <c r="K89">
        <v>0.375975</v>
      </c>
      <c r="L89" t="s">
        <v>28</v>
      </c>
      <c r="M89" s="1">
        <v>21565900</v>
      </c>
      <c r="N89">
        <v>5662.68</v>
      </c>
      <c r="O89" s="1">
        <v>14712900</v>
      </c>
      <c r="P89">
        <v>534190</v>
      </c>
      <c r="Q89" s="1">
        <v>127189000</v>
      </c>
      <c r="R89">
        <v>434509</v>
      </c>
      <c r="S89" t="s">
        <v>29</v>
      </c>
    </row>
    <row r="90" spans="1:33" x14ac:dyDescent="0.25">
      <c r="A90">
        <v>11</v>
      </c>
      <c r="B90">
        <v>1674.09</v>
      </c>
      <c r="C90">
        <v>22.7485</v>
      </c>
      <c r="D90">
        <v>1412.09</v>
      </c>
      <c r="E90">
        <v>238.446</v>
      </c>
      <c r="F90">
        <v>3658.54</v>
      </c>
      <c r="G90">
        <v>220.39099999999999</v>
      </c>
      <c r="H90">
        <v>0</v>
      </c>
      <c r="I90">
        <v>9.0907300000000006</v>
      </c>
      <c r="J90">
        <v>0</v>
      </c>
      <c r="K90">
        <v>0.37626300000000001</v>
      </c>
      <c r="L90" t="s">
        <v>28</v>
      </c>
      <c r="M90" s="1">
        <v>28087600</v>
      </c>
      <c r="N90">
        <v>5189.21</v>
      </c>
      <c r="O90" s="1">
        <v>20002700</v>
      </c>
      <c r="P90">
        <v>568713</v>
      </c>
      <c r="Q90" s="1">
        <v>134052000</v>
      </c>
      <c r="R90">
        <v>485906</v>
      </c>
      <c r="S90" t="s">
        <v>29</v>
      </c>
    </row>
    <row r="91" spans="1:33" x14ac:dyDescent="0.25">
      <c r="A91">
        <v>12</v>
      </c>
      <c r="B91">
        <v>1546.39</v>
      </c>
      <c r="C91">
        <v>21.794899999999998</v>
      </c>
      <c r="D91">
        <v>1292.06</v>
      </c>
      <c r="E91">
        <v>231.77500000000001</v>
      </c>
      <c r="F91">
        <v>3599.01</v>
      </c>
      <c r="G91">
        <v>213.05099999999999</v>
      </c>
      <c r="H91">
        <v>0</v>
      </c>
      <c r="I91">
        <v>8.3331300000000006</v>
      </c>
      <c r="J91">
        <v>0</v>
      </c>
      <c r="K91">
        <v>0.37572699999999998</v>
      </c>
      <c r="L91" t="s">
        <v>28</v>
      </c>
      <c r="M91" s="1">
        <v>23984900</v>
      </c>
      <c r="N91">
        <v>4758.25</v>
      </c>
      <c r="O91" s="1">
        <v>16767500</v>
      </c>
      <c r="P91">
        <v>537267</v>
      </c>
      <c r="Q91" s="1">
        <v>129571000</v>
      </c>
      <c r="R91">
        <v>453918</v>
      </c>
      <c r="S91" t="s">
        <v>29</v>
      </c>
    </row>
    <row r="92" spans="1:33" x14ac:dyDescent="0.25">
      <c r="A92" t="s">
        <v>40</v>
      </c>
      <c r="B92" t="s">
        <v>41</v>
      </c>
      <c r="C92" t="s">
        <v>36</v>
      </c>
      <c r="D92" t="s">
        <v>42</v>
      </c>
      <c r="E92" t="s">
        <v>1</v>
      </c>
      <c r="F92" t="s">
        <v>2</v>
      </c>
      <c r="G92" t="s">
        <v>3</v>
      </c>
      <c r="H92" t="s">
        <v>50</v>
      </c>
      <c r="I92" t="s">
        <v>4</v>
      </c>
      <c r="J92" t="s">
        <v>5</v>
      </c>
      <c r="K92" t="s">
        <v>6</v>
      </c>
      <c r="L92" t="s">
        <v>39</v>
      </c>
      <c r="M92" t="s">
        <v>7</v>
      </c>
      <c r="N92" t="s">
        <v>8</v>
      </c>
      <c r="O92" t="s">
        <v>9</v>
      </c>
      <c r="P92" t="s">
        <v>10</v>
      </c>
      <c r="Q92" t="s">
        <v>11</v>
      </c>
      <c r="R92" t="s">
        <v>12</v>
      </c>
      <c r="S92" t="s">
        <v>13</v>
      </c>
      <c r="T92" t="s">
        <v>14</v>
      </c>
      <c r="U92" t="s">
        <v>15</v>
      </c>
      <c r="V92" t="s">
        <v>16</v>
      </c>
      <c r="W92" t="s">
        <v>17</v>
      </c>
      <c r="X92" t="s">
        <v>18</v>
      </c>
      <c r="Y92" t="s">
        <v>19</v>
      </c>
      <c r="Z92" t="s">
        <v>20</v>
      </c>
      <c r="AA92" t="s">
        <v>21</v>
      </c>
      <c r="AB92" t="s">
        <v>22</v>
      </c>
      <c r="AC92" t="s">
        <v>23</v>
      </c>
      <c r="AD92" t="s">
        <v>24</v>
      </c>
      <c r="AE92" t="s">
        <v>25</v>
      </c>
      <c r="AF92" t="s">
        <v>26</v>
      </c>
      <c r="AG92" t="s">
        <v>27</v>
      </c>
    </row>
    <row r="93" spans="1:33" x14ac:dyDescent="0.25">
      <c r="A93">
        <v>1</v>
      </c>
      <c r="B93">
        <v>12334.6</v>
      </c>
      <c r="C93">
        <v>16.737400000000001</v>
      </c>
      <c r="D93">
        <v>11230.9</v>
      </c>
      <c r="E93">
        <v>1086.33</v>
      </c>
      <c r="F93">
        <v>5139.25</v>
      </c>
      <c r="G93">
        <v>209.48699999999999</v>
      </c>
      <c r="H93">
        <v>0</v>
      </c>
      <c r="I93">
        <v>99.999499999999998</v>
      </c>
      <c r="J93">
        <v>0</v>
      </c>
      <c r="K93">
        <v>0.44092399999999998</v>
      </c>
      <c r="L93" t="s">
        <v>28</v>
      </c>
      <c r="M93" s="1">
        <v>1521480000</v>
      </c>
      <c r="N93">
        <v>2802.43</v>
      </c>
      <c r="O93" s="1">
        <v>1261340000</v>
      </c>
      <c r="P93" s="1">
        <v>11812900</v>
      </c>
      <c r="Q93" s="1">
        <v>264121000</v>
      </c>
      <c r="R93">
        <v>439529</v>
      </c>
      <c r="S93" t="s">
        <v>29</v>
      </c>
    </row>
    <row r="94" spans="1:33" x14ac:dyDescent="0.25">
      <c r="A94">
        <v>2</v>
      </c>
      <c r="B94">
        <v>6442.45</v>
      </c>
      <c r="C94">
        <v>21.221399999999999</v>
      </c>
      <c r="D94">
        <v>5824.15</v>
      </c>
      <c r="E94">
        <v>596.35199999999998</v>
      </c>
      <c r="F94">
        <v>5242.21</v>
      </c>
      <c r="G94">
        <v>215.13</v>
      </c>
      <c r="H94">
        <v>0</v>
      </c>
      <c r="I94">
        <v>49.999499999999998</v>
      </c>
      <c r="J94">
        <v>0</v>
      </c>
      <c r="K94">
        <v>0.44092300000000001</v>
      </c>
      <c r="L94" t="s">
        <v>28</v>
      </c>
      <c r="M94" s="1">
        <v>415058000</v>
      </c>
      <c r="N94">
        <v>4507.3599999999997</v>
      </c>
      <c r="O94" s="1">
        <v>339214000</v>
      </c>
      <c r="P94" s="1">
        <v>3556560</v>
      </c>
      <c r="Q94" s="1">
        <v>274812000</v>
      </c>
      <c r="R94">
        <v>462849</v>
      </c>
      <c r="S94" t="s">
        <v>29</v>
      </c>
    </row>
    <row r="95" spans="1:33" x14ac:dyDescent="0.25">
      <c r="A95">
        <v>3</v>
      </c>
      <c r="B95">
        <v>4517.1099999999997</v>
      </c>
      <c r="C95">
        <v>19.782</v>
      </c>
      <c r="D95">
        <v>4013.38</v>
      </c>
      <c r="E95">
        <v>483.17700000000002</v>
      </c>
      <c r="F95">
        <v>5381.78</v>
      </c>
      <c r="G95">
        <v>211.41900000000001</v>
      </c>
      <c r="H95">
        <v>0</v>
      </c>
      <c r="I95">
        <v>33.332999999999998</v>
      </c>
      <c r="J95">
        <v>0</v>
      </c>
      <c r="K95">
        <v>0.44092199999999998</v>
      </c>
      <c r="L95" t="s">
        <v>28</v>
      </c>
      <c r="M95" s="1">
        <v>204086000</v>
      </c>
      <c r="N95">
        <v>3960.69</v>
      </c>
      <c r="O95" s="1">
        <v>161080000</v>
      </c>
      <c r="P95" s="1">
        <v>2359650</v>
      </c>
      <c r="Q95" s="1">
        <v>289638000</v>
      </c>
      <c r="R95">
        <v>447046</v>
      </c>
      <c r="S95" t="s">
        <v>29</v>
      </c>
    </row>
    <row r="96" spans="1:33" x14ac:dyDescent="0.25">
      <c r="A96">
        <v>4</v>
      </c>
      <c r="B96">
        <v>3685.39</v>
      </c>
      <c r="C96">
        <v>16.4985</v>
      </c>
      <c r="D96">
        <v>3295.96</v>
      </c>
      <c r="E96">
        <v>372.18200000000002</v>
      </c>
      <c r="F96">
        <v>5733.85</v>
      </c>
      <c r="G96">
        <v>229.02</v>
      </c>
      <c r="H96">
        <v>0</v>
      </c>
      <c r="I96">
        <v>24.9998</v>
      </c>
      <c r="J96">
        <v>0</v>
      </c>
      <c r="K96">
        <v>0.440946</v>
      </c>
      <c r="L96" t="s">
        <v>28</v>
      </c>
      <c r="M96" s="1">
        <v>136228000</v>
      </c>
      <c r="N96">
        <v>2745.38</v>
      </c>
      <c r="O96" s="1">
        <v>108932000</v>
      </c>
      <c r="P96" s="1">
        <v>1401480</v>
      </c>
      <c r="Q96" s="1">
        <v>329458000</v>
      </c>
      <c r="R96">
        <v>527250</v>
      </c>
      <c r="S96" t="s">
        <v>29</v>
      </c>
    </row>
    <row r="97" spans="1:33" x14ac:dyDescent="0.25">
      <c r="A97">
        <v>5</v>
      </c>
      <c r="B97">
        <v>3992.87</v>
      </c>
      <c r="C97">
        <v>23.8628</v>
      </c>
      <c r="D97">
        <v>3519.8</v>
      </c>
      <c r="E97">
        <v>448.39499999999998</v>
      </c>
      <c r="F97">
        <v>6318.19</v>
      </c>
      <c r="G97">
        <v>270.286</v>
      </c>
      <c r="H97">
        <v>0</v>
      </c>
      <c r="I97">
        <v>19.9998</v>
      </c>
      <c r="J97">
        <v>0</v>
      </c>
      <c r="K97">
        <v>0.44092500000000001</v>
      </c>
      <c r="L97" t="s">
        <v>28</v>
      </c>
      <c r="M97" s="1">
        <v>159485000</v>
      </c>
      <c r="N97">
        <v>5710.68</v>
      </c>
      <c r="O97" s="1">
        <v>123914000</v>
      </c>
      <c r="P97" s="1">
        <v>2032930</v>
      </c>
      <c r="Q97" s="1">
        <v>399225000</v>
      </c>
      <c r="R97">
        <v>732248</v>
      </c>
      <c r="S97" t="s">
        <v>29</v>
      </c>
    </row>
    <row r="98" spans="1:33" x14ac:dyDescent="0.25">
      <c r="A98">
        <v>6</v>
      </c>
      <c r="B98">
        <v>3693.85</v>
      </c>
      <c r="C98">
        <v>29.329599999999999</v>
      </c>
      <c r="D98">
        <v>3172.35</v>
      </c>
      <c r="E98">
        <v>491.09699999999998</v>
      </c>
      <c r="F98">
        <v>6652.55</v>
      </c>
      <c r="G98">
        <v>280.86700000000002</v>
      </c>
      <c r="H98">
        <v>0</v>
      </c>
      <c r="I98">
        <v>16.666499999999999</v>
      </c>
      <c r="J98">
        <v>0</v>
      </c>
      <c r="K98">
        <v>0.44093100000000002</v>
      </c>
      <c r="L98" t="s">
        <v>28</v>
      </c>
      <c r="M98" s="1">
        <v>136553000</v>
      </c>
      <c r="N98">
        <v>8632.5400000000009</v>
      </c>
      <c r="O98" s="1">
        <v>100653000</v>
      </c>
      <c r="P98" s="1">
        <v>2537820</v>
      </c>
      <c r="Q98" s="1">
        <v>442622000</v>
      </c>
      <c r="R98">
        <v>790535</v>
      </c>
      <c r="S98" t="s">
        <v>29</v>
      </c>
    </row>
    <row r="99" spans="1:33" x14ac:dyDescent="0.25">
      <c r="A99">
        <v>7</v>
      </c>
      <c r="B99">
        <v>3380.73</v>
      </c>
      <c r="C99">
        <v>36.685400000000001</v>
      </c>
      <c r="D99">
        <v>2832.72</v>
      </c>
      <c r="E99">
        <v>510.154</v>
      </c>
      <c r="F99">
        <v>6863.06</v>
      </c>
      <c r="G99">
        <v>282.38</v>
      </c>
      <c r="H99">
        <v>0</v>
      </c>
      <c r="I99">
        <v>14.285500000000001</v>
      </c>
      <c r="J99">
        <v>0</v>
      </c>
      <c r="K99">
        <v>0.44094699999999998</v>
      </c>
      <c r="L99" t="s">
        <v>28</v>
      </c>
      <c r="M99" s="1">
        <v>114339000</v>
      </c>
      <c r="N99">
        <v>13926.1</v>
      </c>
      <c r="O99" s="1">
        <v>80248600</v>
      </c>
      <c r="P99" s="1">
        <v>2651320</v>
      </c>
      <c r="Q99" s="1">
        <v>471057000</v>
      </c>
      <c r="R99">
        <v>797892</v>
      </c>
      <c r="S99" t="s">
        <v>29</v>
      </c>
    </row>
    <row r="100" spans="1:33" x14ac:dyDescent="0.25">
      <c r="A100">
        <v>8</v>
      </c>
      <c r="B100">
        <v>3048.34</v>
      </c>
      <c r="C100">
        <v>41.399700000000003</v>
      </c>
      <c r="D100">
        <v>2566.29</v>
      </c>
      <c r="E100">
        <v>439.75400000000002</v>
      </c>
      <c r="F100">
        <v>7013.34</v>
      </c>
      <c r="G100">
        <v>286.024</v>
      </c>
      <c r="H100">
        <v>0</v>
      </c>
      <c r="I100">
        <v>12.4998</v>
      </c>
      <c r="J100">
        <v>0</v>
      </c>
      <c r="K100">
        <v>0.43770799999999999</v>
      </c>
      <c r="L100" t="s">
        <v>28</v>
      </c>
      <c r="M100" s="1">
        <v>92930100</v>
      </c>
      <c r="N100">
        <v>17544.900000000001</v>
      </c>
      <c r="O100" s="1">
        <v>65862400</v>
      </c>
      <c r="P100" s="1">
        <v>1935340</v>
      </c>
      <c r="Q100" s="1">
        <v>491881000</v>
      </c>
      <c r="R100">
        <v>818816</v>
      </c>
      <c r="S100" t="s">
        <v>29</v>
      </c>
    </row>
    <row r="101" spans="1:33" x14ac:dyDescent="0.25">
      <c r="A101">
        <v>9</v>
      </c>
      <c r="B101">
        <v>3097.13</v>
      </c>
      <c r="C101">
        <v>42.889699999999998</v>
      </c>
      <c r="D101">
        <v>2446.83</v>
      </c>
      <c r="E101">
        <v>605.745</v>
      </c>
      <c r="F101">
        <v>6958.05</v>
      </c>
      <c r="G101">
        <v>318.62</v>
      </c>
      <c r="H101">
        <v>0</v>
      </c>
      <c r="I101">
        <v>11.110900000000001</v>
      </c>
      <c r="J101">
        <v>0</v>
      </c>
      <c r="K101">
        <v>0.44092700000000001</v>
      </c>
      <c r="L101" t="s">
        <v>28</v>
      </c>
      <c r="M101" s="1">
        <v>95930100</v>
      </c>
      <c r="N101">
        <v>18429.3</v>
      </c>
      <c r="O101" s="1">
        <v>59872900</v>
      </c>
      <c r="P101" s="1">
        <v>3676840</v>
      </c>
      <c r="Q101" s="1">
        <v>484152000</v>
      </c>
      <c r="R101" s="1">
        <v>1015300</v>
      </c>
      <c r="S101" t="s">
        <v>29</v>
      </c>
    </row>
    <row r="102" spans="1:33" x14ac:dyDescent="0.25">
      <c r="A102">
        <v>10</v>
      </c>
      <c r="B102">
        <v>2768.35</v>
      </c>
      <c r="C102">
        <v>37.526499999999999</v>
      </c>
      <c r="D102">
        <v>2284.91</v>
      </c>
      <c r="E102">
        <v>445.04199999999997</v>
      </c>
      <c r="F102">
        <v>7052.8</v>
      </c>
      <c r="G102">
        <v>351.84399999999999</v>
      </c>
      <c r="H102">
        <v>0</v>
      </c>
      <c r="I102">
        <v>9.9998100000000001</v>
      </c>
      <c r="J102">
        <v>0</v>
      </c>
      <c r="K102">
        <v>0.44092300000000001</v>
      </c>
      <c r="L102" t="s">
        <v>28</v>
      </c>
      <c r="M102" s="1">
        <v>76646500</v>
      </c>
      <c r="N102">
        <v>14205.5</v>
      </c>
      <c r="O102" s="1">
        <v>52214500</v>
      </c>
      <c r="P102" s="1">
        <v>1981250</v>
      </c>
      <c r="Q102" s="1">
        <v>497423000</v>
      </c>
      <c r="R102" s="1">
        <v>1238180</v>
      </c>
      <c r="S102" t="s">
        <v>29</v>
      </c>
    </row>
    <row r="103" spans="1:33" x14ac:dyDescent="0.25">
      <c r="A103">
        <v>11</v>
      </c>
      <c r="B103">
        <v>2777.01</v>
      </c>
      <c r="C103">
        <v>41.5974</v>
      </c>
      <c r="D103">
        <v>2110.38</v>
      </c>
      <c r="E103">
        <v>623.92100000000005</v>
      </c>
      <c r="F103">
        <v>7070.83</v>
      </c>
      <c r="G103">
        <v>375.55099999999999</v>
      </c>
      <c r="H103">
        <v>0</v>
      </c>
      <c r="I103">
        <v>9.0907400000000003</v>
      </c>
      <c r="J103">
        <v>0</v>
      </c>
      <c r="K103">
        <v>0.43708200000000003</v>
      </c>
      <c r="L103" t="s">
        <v>28</v>
      </c>
      <c r="M103" s="1">
        <v>77133100</v>
      </c>
      <c r="N103">
        <v>17310.2</v>
      </c>
      <c r="O103" s="1">
        <v>44543500</v>
      </c>
      <c r="P103" s="1">
        <v>3913700</v>
      </c>
      <c r="Q103" s="1">
        <v>499970000</v>
      </c>
      <c r="R103" s="1">
        <v>1410560</v>
      </c>
      <c r="S103" t="s">
        <v>29</v>
      </c>
    </row>
    <row r="104" spans="1:33" x14ac:dyDescent="0.25">
      <c r="A104">
        <v>12</v>
      </c>
      <c r="B104">
        <v>2599.94</v>
      </c>
      <c r="C104">
        <v>40.742400000000004</v>
      </c>
      <c r="D104">
        <v>1966.01</v>
      </c>
      <c r="E104">
        <v>592.14400000000001</v>
      </c>
      <c r="F104">
        <v>7092.88</v>
      </c>
      <c r="G104">
        <v>399.42200000000003</v>
      </c>
      <c r="H104">
        <v>0</v>
      </c>
      <c r="I104">
        <v>8.3331700000000009</v>
      </c>
      <c r="J104">
        <v>0</v>
      </c>
      <c r="K104">
        <v>0.44092500000000001</v>
      </c>
      <c r="L104" t="s">
        <v>28</v>
      </c>
      <c r="M104" s="1">
        <v>67602100</v>
      </c>
      <c r="N104">
        <v>16618.099999999999</v>
      </c>
      <c r="O104" s="1">
        <v>38657100</v>
      </c>
      <c r="P104" s="1">
        <v>3506810</v>
      </c>
      <c r="Q104" s="1">
        <v>503092000</v>
      </c>
      <c r="R104" s="1">
        <v>1595400</v>
      </c>
      <c r="S104" t="s">
        <v>29</v>
      </c>
    </row>
    <row r="105" spans="1:33" x14ac:dyDescent="0.25">
      <c r="A105" t="s">
        <v>40</v>
      </c>
      <c r="B105" t="s">
        <v>41</v>
      </c>
      <c r="C105" t="s">
        <v>37</v>
      </c>
      <c r="D105" t="s">
        <v>42</v>
      </c>
      <c r="E105" t="s">
        <v>1</v>
      </c>
      <c r="F105" t="s">
        <v>2</v>
      </c>
      <c r="G105" t="s">
        <v>3</v>
      </c>
      <c r="H105" t="s">
        <v>51</v>
      </c>
      <c r="I105" t="s">
        <v>4</v>
      </c>
      <c r="J105" t="s">
        <v>5</v>
      </c>
      <c r="K105" t="s">
        <v>6</v>
      </c>
      <c r="L105" t="s">
        <v>39</v>
      </c>
      <c r="M105" s="1" t="s">
        <v>7</v>
      </c>
      <c r="N105" t="s">
        <v>8</v>
      </c>
      <c r="O105" s="1" t="s">
        <v>9</v>
      </c>
      <c r="P105" t="s">
        <v>10</v>
      </c>
      <c r="Q105" s="1" t="s">
        <v>11</v>
      </c>
      <c r="R105" t="s">
        <v>12</v>
      </c>
      <c r="S105" t="s">
        <v>13</v>
      </c>
      <c r="T105" t="s">
        <v>14</v>
      </c>
      <c r="U105" t="s">
        <v>15</v>
      </c>
      <c r="V105" t="s">
        <v>16</v>
      </c>
      <c r="W105" t="s">
        <v>17</v>
      </c>
      <c r="X105" t="s">
        <v>18</v>
      </c>
      <c r="Y105" t="s">
        <v>19</v>
      </c>
      <c r="Z105" t="s">
        <v>20</v>
      </c>
      <c r="AA105" t="s">
        <v>21</v>
      </c>
      <c r="AB105" t="s">
        <v>22</v>
      </c>
      <c r="AC105" t="s">
        <v>23</v>
      </c>
      <c r="AD105" t="s">
        <v>24</v>
      </c>
      <c r="AE105" t="s">
        <v>25</v>
      </c>
      <c r="AF105" t="s">
        <v>26</v>
      </c>
      <c r="AG105" t="s">
        <v>27</v>
      </c>
    </row>
    <row r="106" spans="1:33" x14ac:dyDescent="0.25">
      <c r="A106">
        <v>1</v>
      </c>
      <c r="B106">
        <v>24929.4</v>
      </c>
      <c r="C106">
        <v>38.469099999999997</v>
      </c>
      <c r="D106">
        <v>22575.8</v>
      </c>
      <c r="E106">
        <v>2314.42</v>
      </c>
      <c r="F106">
        <v>10304.4</v>
      </c>
      <c r="G106">
        <v>453.23500000000001</v>
      </c>
      <c r="H106">
        <v>0</v>
      </c>
      <c r="I106">
        <v>99.999700000000004</v>
      </c>
      <c r="J106">
        <v>0</v>
      </c>
      <c r="K106">
        <v>0.47091</v>
      </c>
      <c r="L106" t="s">
        <v>28</v>
      </c>
      <c r="M106" s="1">
        <v>6215490000</v>
      </c>
      <c r="N106">
        <v>14814.7</v>
      </c>
      <c r="O106" s="1">
        <v>5096770000</v>
      </c>
      <c r="P106" s="1">
        <v>54083000</v>
      </c>
      <c r="Q106" s="1">
        <v>1061820000</v>
      </c>
      <c r="R106" s="1">
        <v>2095970</v>
      </c>
      <c r="S106" t="s">
        <v>29</v>
      </c>
    </row>
    <row r="107" spans="1:33" x14ac:dyDescent="0.25">
      <c r="A107">
        <v>2</v>
      </c>
      <c r="B107">
        <v>13075.9</v>
      </c>
      <c r="C107">
        <v>49.144300000000001</v>
      </c>
      <c r="D107">
        <v>11767.8</v>
      </c>
      <c r="E107">
        <v>1257.81</v>
      </c>
      <c r="F107">
        <v>10582.9</v>
      </c>
      <c r="G107">
        <v>450.43799999999999</v>
      </c>
      <c r="H107">
        <v>0</v>
      </c>
      <c r="I107">
        <v>49.999699999999997</v>
      </c>
      <c r="J107">
        <v>0</v>
      </c>
      <c r="K107">
        <v>0.470914</v>
      </c>
      <c r="L107" t="s">
        <v>28</v>
      </c>
      <c r="M107" s="1">
        <v>1709990000</v>
      </c>
      <c r="N107">
        <v>24379</v>
      </c>
      <c r="O107" s="1">
        <v>1384950000</v>
      </c>
      <c r="P107" s="1">
        <v>15828200</v>
      </c>
      <c r="Q107" s="1">
        <v>1120080000</v>
      </c>
      <c r="R107" s="1">
        <v>2030420</v>
      </c>
      <c r="S107" t="s">
        <v>29</v>
      </c>
    </row>
    <row r="108" spans="1:33" x14ac:dyDescent="0.25">
      <c r="A108">
        <v>3</v>
      </c>
      <c r="B108">
        <v>8928.42</v>
      </c>
      <c r="C108">
        <v>30.476099999999999</v>
      </c>
      <c r="D108">
        <v>8038.2</v>
      </c>
      <c r="E108">
        <v>858.94200000000001</v>
      </c>
      <c r="F108">
        <v>10764</v>
      </c>
      <c r="G108">
        <v>427.827</v>
      </c>
      <c r="H108">
        <v>0</v>
      </c>
      <c r="I108">
        <v>33.333199999999998</v>
      </c>
      <c r="J108">
        <v>0</v>
      </c>
      <c r="K108">
        <v>0.470914</v>
      </c>
      <c r="L108" t="s">
        <v>28</v>
      </c>
      <c r="M108" s="1">
        <v>797178000</v>
      </c>
      <c r="N108">
        <v>9359.06</v>
      </c>
      <c r="O108" s="1">
        <v>646139000</v>
      </c>
      <c r="P108" s="1">
        <v>7378400</v>
      </c>
      <c r="Q108" s="1">
        <v>1158640000</v>
      </c>
      <c r="R108" s="1">
        <v>1830840</v>
      </c>
      <c r="S108" t="s">
        <v>29</v>
      </c>
    </row>
    <row r="109" spans="1:33" x14ac:dyDescent="0.25">
      <c r="A109">
        <v>4</v>
      </c>
      <c r="B109">
        <v>6999.72</v>
      </c>
      <c r="C109">
        <v>32.827199999999998</v>
      </c>
      <c r="D109">
        <v>6165.63</v>
      </c>
      <c r="E109">
        <v>800.34299999999996</v>
      </c>
      <c r="F109">
        <v>10855.1</v>
      </c>
      <c r="G109">
        <v>419.435</v>
      </c>
      <c r="H109">
        <v>0</v>
      </c>
      <c r="I109">
        <v>24.9998</v>
      </c>
      <c r="J109">
        <v>0</v>
      </c>
      <c r="K109">
        <v>0.470918</v>
      </c>
      <c r="L109" t="s">
        <v>28</v>
      </c>
      <c r="M109" s="1">
        <v>490009000</v>
      </c>
      <c r="N109">
        <v>10815.8</v>
      </c>
      <c r="O109" s="1">
        <v>380195000</v>
      </c>
      <c r="P109" s="1">
        <v>6406190</v>
      </c>
      <c r="Q109" s="1">
        <v>1178420000</v>
      </c>
      <c r="R109" s="1">
        <v>1759340</v>
      </c>
      <c r="S109" t="s">
        <v>29</v>
      </c>
    </row>
    <row r="110" spans="1:33" x14ac:dyDescent="0.25">
      <c r="A110">
        <v>5</v>
      </c>
      <c r="B110">
        <v>7661.68</v>
      </c>
      <c r="C110">
        <v>74.278099999999995</v>
      </c>
      <c r="D110">
        <v>6679.62</v>
      </c>
      <c r="E110">
        <v>906.875</v>
      </c>
      <c r="F110">
        <v>11701.7</v>
      </c>
      <c r="G110">
        <v>452.923</v>
      </c>
      <c r="H110">
        <v>0</v>
      </c>
      <c r="I110">
        <v>19.9999</v>
      </c>
      <c r="J110">
        <v>0</v>
      </c>
      <c r="K110">
        <v>0.47091899999999998</v>
      </c>
      <c r="L110" t="s">
        <v>28</v>
      </c>
      <c r="M110" s="1">
        <v>587019000</v>
      </c>
      <c r="N110">
        <v>56543.7</v>
      </c>
      <c r="O110" s="1">
        <v>446185000</v>
      </c>
      <c r="P110" s="1">
        <v>8224670</v>
      </c>
      <c r="Q110" s="1">
        <v>1369300000</v>
      </c>
      <c r="R110" s="1">
        <v>2051740</v>
      </c>
      <c r="S110" t="s">
        <v>29</v>
      </c>
    </row>
    <row r="111" spans="1:33" x14ac:dyDescent="0.25">
      <c r="A111">
        <v>6</v>
      </c>
      <c r="B111">
        <v>6953.18</v>
      </c>
      <c r="C111">
        <v>60.956499999999998</v>
      </c>
      <c r="D111">
        <v>5877.81</v>
      </c>
      <c r="E111">
        <v>1013.23</v>
      </c>
      <c r="F111">
        <v>12604.2</v>
      </c>
      <c r="G111">
        <v>492.88200000000001</v>
      </c>
      <c r="H111">
        <v>0</v>
      </c>
      <c r="I111">
        <v>16.666499999999999</v>
      </c>
      <c r="J111">
        <v>0</v>
      </c>
      <c r="K111">
        <v>0.47091100000000002</v>
      </c>
      <c r="L111" t="s">
        <v>28</v>
      </c>
      <c r="M111" s="1">
        <v>483533000</v>
      </c>
      <c r="N111">
        <v>37264.699999999997</v>
      </c>
      <c r="O111" s="1">
        <v>345518000</v>
      </c>
      <c r="P111" s="1">
        <v>10274600</v>
      </c>
      <c r="Q111" s="1">
        <v>1588850000</v>
      </c>
      <c r="R111" s="1">
        <v>2429440</v>
      </c>
      <c r="S111" t="s">
        <v>29</v>
      </c>
    </row>
    <row r="112" spans="1:33" x14ac:dyDescent="0.25">
      <c r="A112">
        <v>7</v>
      </c>
      <c r="B112">
        <v>6373.75</v>
      </c>
      <c r="C112">
        <v>59.747199999999999</v>
      </c>
      <c r="D112">
        <v>5367.46</v>
      </c>
      <c r="E112">
        <v>945.18600000000004</v>
      </c>
      <c r="F112">
        <v>13535.1</v>
      </c>
      <c r="G112">
        <v>534.68799999999999</v>
      </c>
      <c r="H112">
        <v>0</v>
      </c>
      <c r="I112">
        <v>14.285600000000001</v>
      </c>
      <c r="J112">
        <v>0</v>
      </c>
      <c r="K112">
        <v>0.470912</v>
      </c>
      <c r="L112" t="s">
        <v>28</v>
      </c>
      <c r="M112" s="1">
        <v>406259000</v>
      </c>
      <c r="N112">
        <v>35849.599999999999</v>
      </c>
      <c r="O112" s="1">
        <v>288104000</v>
      </c>
      <c r="P112" s="1">
        <v>8940750</v>
      </c>
      <c r="Q112" s="1">
        <v>1832010000</v>
      </c>
      <c r="R112" s="1">
        <v>2859160</v>
      </c>
      <c r="S112" t="s">
        <v>29</v>
      </c>
    </row>
    <row r="113" spans="1:33" x14ac:dyDescent="0.25">
      <c r="A113">
        <v>8</v>
      </c>
      <c r="B113">
        <v>6028.8</v>
      </c>
      <c r="C113">
        <v>55.887599999999999</v>
      </c>
      <c r="D113">
        <v>4916.3599999999997</v>
      </c>
      <c r="E113">
        <v>1055.29</v>
      </c>
      <c r="F113">
        <v>14048.2</v>
      </c>
      <c r="G113">
        <v>581.27800000000002</v>
      </c>
      <c r="H113">
        <v>0</v>
      </c>
      <c r="I113">
        <v>12.4999</v>
      </c>
      <c r="J113">
        <v>0</v>
      </c>
      <c r="K113">
        <v>0.47091100000000002</v>
      </c>
      <c r="L113" t="s">
        <v>28</v>
      </c>
      <c r="M113" s="1">
        <v>363500000</v>
      </c>
      <c r="N113">
        <v>31527.3</v>
      </c>
      <c r="O113" s="1">
        <v>241722000</v>
      </c>
      <c r="P113" s="1">
        <v>11147800</v>
      </c>
      <c r="Q113" s="1">
        <v>1973550000</v>
      </c>
      <c r="R113" s="1">
        <v>3380220</v>
      </c>
      <c r="S113" t="s">
        <v>29</v>
      </c>
    </row>
    <row r="114" spans="1:33" x14ac:dyDescent="0.25">
      <c r="A114">
        <v>9</v>
      </c>
      <c r="B114">
        <v>5798.75</v>
      </c>
      <c r="C114">
        <v>51.734499999999997</v>
      </c>
      <c r="D114">
        <v>4697.4799999999996</v>
      </c>
      <c r="E114">
        <v>1048.3</v>
      </c>
      <c r="F114">
        <v>14095.7</v>
      </c>
      <c r="G114">
        <v>661.46299999999997</v>
      </c>
      <c r="H114">
        <v>0</v>
      </c>
      <c r="I114">
        <v>11.111000000000001</v>
      </c>
      <c r="J114">
        <v>0</v>
      </c>
      <c r="K114">
        <v>0.470912</v>
      </c>
      <c r="L114" t="s">
        <v>28</v>
      </c>
      <c r="M114" s="1">
        <v>336264000</v>
      </c>
      <c r="N114">
        <v>26837.8</v>
      </c>
      <c r="O114" s="1">
        <v>220677000</v>
      </c>
      <c r="P114" s="1">
        <v>10991500</v>
      </c>
      <c r="Q114" s="1">
        <v>1986940000</v>
      </c>
      <c r="R114" s="1">
        <v>4376390</v>
      </c>
      <c r="S114" t="s">
        <v>29</v>
      </c>
    </row>
    <row r="115" spans="1:33" x14ac:dyDescent="0.25">
      <c r="A115">
        <v>10</v>
      </c>
      <c r="B115">
        <v>5301.22</v>
      </c>
      <c r="C115">
        <v>49.523800000000001</v>
      </c>
      <c r="D115">
        <v>4353.93</v>
      </c>
      <c r="E115">
        <v>896.745</v>
      </c>
      <c r="F115">
        <v>14217.9</v>
      </c>
      <c r="G115">
        <v>733.87599999999998</v>
      </c>
      <c r="H115">
        <v>0</v>
      </c>
      <c r="I115">
        <v>9.9998400000000007</v>
      </c>
      <c r="J115">
        <v>0</v>
      </c>
      <c r="K115">
        <v>0.47091100000000002</v>
      </c>
      <c r="L115" t="s">
        <v>28</v>
      </c>
      <c r="M115" s="1">
        <v>281079000</v>
      </c>
      <c r="N115">
        <v>24554.6</v>
      </c>
      <c r="O115" s="1">
        <v>189570000</v>
      </c>
      <c r="P115" s="1">
        <v>8099840</v>
      </c>
      <c r="Q115" s="1">
        <v>2021530000</v>
      </c>
      <c r="R115" s="1">
        <v>5387220</v>
      </c>
      <c r="S115" t="s">
        <v>29</v>
      </c>
    </row>
    <row r="116" spans="1:33" x14ac:dyDescent="0.25">
      <c r="A116">
        <v>11</v>
      </c>
      <c r="B116">
        <v>5128.3</v>
      </c>
      <c r="C116">
        <v>49.132899999999999</v>
      </c>
      <c r="D116">
        <v>4046.2</v>
      </c>
      <c r="E116">
        <v>1031.9000000000001</v>
      </c>
      <c r="F116">
        <v>14360.7</v>
      </c>
      <c r="G116">
        <v>788.1</v>
      </c>
      <c r="H116">
        <v>0</v>
      </c>
      <c r="I116">
        <v>9.0908099999999994</v>
      </c>
      <c r="J116">
        <v>0</v>
      </c>
      <c r="K116">
        <v>0.47091100000000002</v>
      </c>
      <c r="L116" t="s">
        <v>28</v>
      </c>
      <c r="M116" s="1">
        <v>262999000</v>
      </c>
      <c r="N116">
        <v>24158.6</v>
      </c>
      <c r="O116" s="1">
        <v>163722000</v>
      </c>
      <c r="P116" s="1">
        <v>10649100</v>
      </c>
      <c r="Q116" s="1">
        <v>2062330000</v>
      </c>
      <c r="R116" s="1">
        <v>6211760</v>
      </c>
      <c r="S116" t="s">
        <v>29</v>
      </c>
    </row>
    <row r="117" spans="1:33" x14ac:dyDescent="0.25">
      <c r="A117">
        <v>12</v>
      </c>
      <c r="B117">
        <v>4880.88</v>
      </c>
      <c r="C117">
        <v>43.531700000000001</v>
      </c>
      <c r="D117">
        <v>3888.83</v>
      </c>
      <c r="E117">
        <v>947.50599999999997</v>
      </c>
      <c r="F117">
        <v>14567.6</v>
      </c>
      <c r="G117">
        <v>848.23800000000006</v>
      </c>
      <c r="H117">
        <v>0</v>
      </c>
      <c r="I117">
        <v>8.33324</v>
      </c>
      <c r="J117">
        <v>0</v>
      </c>
      <c r="K117">
        <v>0.47091699999999997</v>
      </c>
      <c r="L117" t="s">
        <v>28</v>
      </c>
      <c r="M117" s="1">
        <v>238269000</v>
      </c>
      <c r="N117">
        <v>18955.7</v>
      </c>
      <c r="O117" s="1">
        <v>151267000</v>
      </c>
      <c r="P117" s="1">
        <v>8977830</v>
      </c>
      <c r="Q117" s="1">
        <v>2122180000</v>
      </c>
      <c r="R117" s="1">
        <v>7195300</v>
      </c>
      <c r="S117" t="s">
        <v>29</v>
      </c>
    </row>
    <row r="118" spans="1:33" x14ac:dyDescent="0.25">
      <c r="A118" t="s">
        <v>40</v>
      </c>
      <c r="B118" t="s">
        <v>41</v>
      </c>
      <c r="C118" t="s">
        <v>38</v>
      </c>
      <c r="D118" t="s">
        <v>42</v>
      </c>
      <c r="E118" t="s">
        <v>1</v>
      </c>
      <c r="F118" t="s">
        <v>2</v>
      </c>
      <c r="G118" t="s">
        <v>3</v>
      </c>
      <c r="H118" t="s">
        <v>52</v>
      </c>
      <c r="I118" t="s">
        <v>4</v>
      </c>
      <c r="J118" t="s">
        <v>5</v>
      </c>
      <c r="K118" t="s">
        <v>6</v>
      </c>
      <c r="L118" t="s">
        <v>39</v>
      </c>
      <c r="M118" s="1" t="s">
        <v>7</v>
      </c>
      <c r="N118" t="s">
        <v>8</v>
      </c>
      <c r="O118" s="1" t="s">
        <v>9</v>
      </c>
      <c r="P118" t="s">
        <v>10</v>
      </c>
      <c r="Q118" s="1" t="s">
        <v>11</v>
      </c>
      <c r="R118" t="s">
        <v>12</v>
      </c>
      <c r="S118" t="s">
        <v>13</v>
      </c>
      <c r="T118" t="s">
        <v>14</v>
      </c>
      <c r="U118" t="s">
        <v>15</v>
      </c>
      <c r="V118" t="s">
        <v>16</v>
      </c>
      <c r="W118" t="s">
        <v>17</v>
      </c>
      <c r="X118" t="s">
        <v>18</v>
      </c>
      <c r="Y118" t="s">
        <v>19</v>
      </c>
      <c r="Z118" t="s">
        <v>20</v>
      </c>
      <c r="AA118" t="s">
        <v>21</v>
      </c>
      <c r="AB118" t="s">
        <v>22</v>
      </c>
      <c r="AC118" t="s">
        <v>23</v>
      </c>
      <c r="AD118" t="s">
        <v>24</v>
      </c>
      <c r="AE118" t="s">
        <v>25</v>
      </c>
      <c r="AF118" t="s">
        <v>26</v>
      </c>
      <c r="AG118" t="s">
        <v>27</v>
      </c>
    </row>
    <row r="119" spans="1:33" x14ac:dyDescent="0.25">
      <c r="A119">
        <v>1</v>
      </c>
      <c r="B119">
        <v>50560.9</v>
      </c>
      <c r="C119">
        <v>79.041600000000003</v>
      </c>
      <c r="D119">
        <v>45947</v>
      </c>
      <c r="E119">
        <v>4534.09</v>
      </c>
      <c r="F119">
        <v>20753.2</v>
      </c>
      <c r="G119">
        <v>1356.65</v>
      </c>
      <c r="H119">
        <v>0</v>
      </c>
      <c r="I119">
        <v>99.999799999999993</v>
      </c>
      <c r="J119">
        <v>0</v>
      </c>
      <c r="K119">
        <v>0.485624</v>
      </c>
      <c r="L119" t="s">
        <v>28</v>
      </c>
      <c r="M119" s="1">
        <v>25565200000</v>
      </c>
      <c r="N119">
        <v>62490.1</v>
      </c>
      <c r="O119" s="1">
        <v>21111700000</v>
      </c>
      <c r="P119" s="1">
        <v>205788000</v>
      </c>
      <c r="Q119" s="1">
        <v>4307000000</v>
      </c>
      <c r="R119" s="1">
        <v>18445000</v>
      </c>
      <c r="S119" t="s">
        <v>29</v>
      </c>
    </row>
    <row r="120" spans="1:33" x14ac:dyDescent="0.25">
      <c r="A120">
        <v>2</v>
      </c>
      <c r="B120">
        <v>26497.4</v>
      </c>
      <c r="C120">
        <v>77.622799999999998</v>
      </c>
      <c r="D120">
        <v>23518.3</v>
      </c>
      <c r="E120">
        <v>2900.48</v>
      </c>
      <c r="F120">
        <v>21041</v>
      </c>
      <c r="G120">
        <v>1405.88</v>
      </c>
      <c r="H120">
        <v>0</v>
      </c>
      <c r="I120">
        <v>49.999899999999997</v>
      </c>
      <c r="J120">
        <v>0</v>
      </c>
      <c r="K120">
        <v>0.485684</v>
      </c>
      <c r="L120" t="s">
        <v>28</v>
      </c>
      <c r="M120" s="1">
        <v>7021250000</v>
      </c>
      <c r="N120">
        <v>60459.1</v>
      </c>
      <c r="O120" s="1">
        <v>5531200000</v>
      </c>
      <c r="P120" s="1">
        <v>84142400</v>
      </c>
      <c r="Q120" s="1">
        <v>4427260000</v>
      </c>
      <c r="R120" s="1">
        <v>19772300</v>
      </c>
      <c r="S120" t="s">
        <v>29</v>
      </c>
    </row>
    <row r="121" spans="1:33" x14ac:dyDescent="0.25">
      <c r="A121">
        <v>3</v>
      </c>
      <c r="B121">
        <v>19193.5</v>
      </c>
      <c r="C121">
        <v>60.07</v>
      </c>
      <c r="D121">
        <v>16714.3</v>
      </c>
      <c r="E121">
        <v>2418.1999999999998</v>
      </c>
      <c r="F121">
        <v>21827.200000000001</v>
      </c>
      <c r="G121">
        <v>1394.93</v>
      </c>
      <c r="H121">
        <v>0</v>
      </c>
      <c r="I121">
        <v>33.333199999999998</v>
      </c>
      <c r="J121">
        <v>0</v>
      </c>
      <c r="K121">
        <v>0.48564099999999999</v>
      </c>
      <c r="L121" t="s">
        <v>28</v>
      </c>
      <c r="M121" s="1">
        <v>3684250000</v>
      </c>
      <c r="N121">
        <v>36104.5</v>
      </c>
      <c r="O121" s="1">
        <v>2793740000</v>
      </c>
      <c r="P121" s="1">
        <v>58787000</v>
      </c>
      <c r="Q121" s="1">
        <v>4764290000</v>
      </c>
      <c r="R121" s="1">
        <v>19459700</v>
      </c>
      <c r="S121" t="s">
        <v>29</v>
      </c>
    </row>
    <row r="122" spans="1:33" x14ac:dyDescent="0.25">
      <c r="A122">
        <v>4</v>
      </c>
      <c r="B122">
        <v>15003.4</v>
      </c>
      <c r="C122">
        <v>50.745899999999999</v>
      </c>
      <c r="D122">
        <v>13244.6</v>
      </c>
      <c r="E122">
        <v>1707.1</v>
      </c>
      <c r="F122">
        <v>22269.1</v>
      </c>
      <c r="G122">
        <v>1375.43</v>
      </c>
      <c r="H122">
        <v>0</v>
      </c>
      <c r="I122">
        <v>24.9999</v>
      </c>
      <c r="J122">
        <v>0</v>
      </c>
      <c r="K122">
        <v>0.48563600000000001</v>
      </c>
      <c r="L122" t="s">
        <v>28</v>
      </c>
      <c r="M122" s="1">
        <v>2251400000</v>
      </c>
      <c r="N122">
        <v>25791</v>
      </c>
      <c r="O122" s="1">
        <v>1754410000</v>
      </c>
      <c r="P122" s="1">
        <v>29209200</v>
      </c>
      <c r="Q122" s="1">
        <v>4959650000</v>
      </c>
      <c r="R122" s="1">
        <v>18919300</v>
      </c>
      <c r="S122" t="s">
        <v>29</v>
      </c>
    </row>
    <row r="123" spans="1:33" x14ac:dyDescent="0.25">
      <c r="A123">
        <v>5</v>
      </c>
      <c r="B123">
        <v>15008.5</v>
      </c>
      <c r="C123">
        <v>107.077</v>
      </c>
      <c r="D123">
        <v>13009.7</v>
      </c>
      <c r="E123">
        <v>1890.77</v>
      </c>
      <c r="F123">
        <v>23932.400000000001</v>
      </c>
      <c r="G123">
        <v>1403.72</v>
      </c>
      <c r="H123">
        <v>0</v>
      </c>
      <c r="I123">
        <v>19.9999</v>
      </c>
      <c r="J123">
        <v>0</v>
      </c>
      <c r="K123">
        <v>0.48568699999999998</v>
      </c>
      <c r="L123" t="s">
        <v>28</v>
      </c>
      <c r="M123" s="1">
        <v>2252630000</v>
      </c>
      <c r="N123">
        <v>114749</v>
      </c>
      <c r="O123" s="1">
        <v>1692570000</v>
      </c>
      <c r="P123" s="1">
        <v>35777200</v>
      </c>
      <c r="Q123" s="1">
        <v>5727810000</v>
      </c>
      <c r="R123" s="1">
        <v>19815500</v>
      </c>
      <c r="S123" t="s">
        <v>29</v>
      </c>
    </row>
    <row r="124" spans="1:33" x14ac:dyDescent="0.25">
      <c r="A124">
        <v>6</v>
      </c>
      <c r="B124">
        <v>13958.8</v>
      </c>
      <c r="C124">
        <v>92.075900000000004</v>
      </c>
      <c r="D124">
        <v>11911.5</v>
      </c>
      <c r="E124">
        <v>1954.15</v>
      </c>
      <c r="F124">
        <v>25849.5</v>
      </c>
      <c r="G124">
        <v>1477.5</v>
      </c>
      <c r="H124">
        <v>0</v>
      </c>
      <c r="I124">
        <v>16.666599999999999</v>
      </c>
      <c r="J124">
        <v>0</v>
      </c>
      <c r="K124">
        <v>0.48572100000000001</v>
      </c>
      <c r="L124" t="s">
        <v>28</v>
      </c>
      <c r="M124" s="1">
        <v>1948490000</v>
      </c>
      <c r="N124">
        <v>85173.9</v>
      </c>
      <c r="O124" s="1">
        <v>1418850000</v>
      </c>
      <c r="P124" s="1">
        <v>38194500</v>
      </c>
      <c r="Q124" s="1">
        <v>6682030000</v>
      </c>
      <c r="R124" s="1">
        <v>21832900</v>
      </c>
      <c r="S124" t="s">
        <v>29</v>
      </c>
    </row>
    <row r="125" spans="1:33" x14ac:dyDescent="0.25">
      <c r="A125">
        <v>7</v>
      </c>
      <c r="B125">
        <v>12786.5</v>
      </c>
      <c r="C125">
        <v>81.3018</v>
      </c>
      <c r="D125">
        <v>10687.5</v>
      </c>
      <c r="E125">
        <v>2016.6</v>
      </c>
      <c r="F125">
        <v>27154.9</v>
      </c>
      <c r="G125">
        <v>1592.26</v>
      </c>
      <c r="H125">
        <v>0</v>
      </c>
      <c r="I125">
        <v>14.285600000000001</v>
      </c>
      <c r="J125">
        <v>0</v>
      </c>
      <c r="K125">
        <v>0.48566700000000002</v>
      </c>
      <c r="L125" t="s">
        <v>28</v>
      </c>
      <c r="M125" s="1">
        <v>1634980000</v>
      </c>
      <c r="N125">
        <v>66277.2</v>
      </c>
      <c r="O125" s="1">
        <v>1142220000</v>
      </c>
      <c r="P125" s="1">
        <v>40679300</v>
      </c>
      <c r="Q125" s="1">
        <v>7374190000</v>
      </c>
      <c r="R125" s="1">
        <v>25365500</v>
      </c>
      <c r="S125" t="s">
        <v>29</v>
      </c>
    </row>
    <row r="126" spans="1:33" x14ac:dyDescent="0.25">
      <c r="A126">
        <v>8</v>
      </c>
      <c r="B126">
        <v>11867.5</v>
      </c>
      <c r="C126">
        <v>72.816599999999994</v>
      </c>
      <c r="D126">
        <v>9796.8700000000008</v>
      </c>
      <c r="E126">
        <v>1996.67</v>
      </c>
      <c r="F126">
        <v>28145.599999999999</v>
      </c>
      <c r="G126">
        <v>1699.26</v>
      </c>
      <c r="H126">
        <v>0</v>
      </c>
      <c r="I126">
        <v>12.4999</v>
      </c>
      <c r="J126">
        <v>0</v>
      </c>
      <c r="K126">
        <v>0.48562499999999997</v>
      </c>
      <c r="L126" t="s">
        <v>28</v>
      </c>
      <c r="M126" s="1">
        <v>1408480000</v>
      </c>
      <c r="N126">
        <v>53153.8</v>
      </c>
      <c r="O126" s="1">
        <v>959836000</v>
      </c>
      <c r="P126" s="1">
        <v>39877000</v>
      </c>
      <c r="Q126" s="1">
        <v>7922060000</v>
      </c>
      <c r="R126" s="1">
        <v>28893600</v>
      </c>
      <c r="S126" t="s">
        <v>29</v>
      </c>
    </row>
    <row r="127" spans="1:33" x14ac:dyDescent="0.25">
      <c r="A127">
        <v>9</v>
      </c>
      <c r="B127">
        <v>11393.6</v>
      </c>
      <c r="C127">
        <v>71.840500000000006</v>
      </c>
      <c r="D127">
        <v>9269.86</v>
      </c>
      <c r="E127">
        <v>2050.8200000000002</v>
      </c>
      <c r="F127">
        <v>28379.9</v>
      </c>
      <c r="G127">
        <v>1888.72</v>
      </c>
      <c r="H127">
        <v>0</v>
      </c>
      <c r="I127">
        <v>11.1111</v>
      </c>
      <c r="J127">
        <v>0</v>
      </c>
      <c r="K127">
        <v>0.485626</v>
      </c>
      <c r="L127" t="s">
        <v>28</v>
      </c>
      <c r="M127" s="1">
        <v>1298160000</v>
      </c>
      <c r="N127">
        <v>51666.8</v>
      </c>
      <c r="O127" s="1">
        <v>859315000</v>
      </c>
      <c r="P127" s="1">
        <v>42061900</v>
      </c>
      <c r="Q127" s="1">
        <v>8054330000</v>
      </c>
      <c r="R127" s="1">
        <v>35688000</v>
      </c>
      <c r="S127" t="s">
        <v>29</v>
      </c>
    </row>
    <row r="128" spans="1:33" x14ac:dyDescent="0.25">
      <c r="A128">
        <v>10</v>
      </c>
      <c r="B128">
        <v>10881</v>
      </c>
      <c r="C128">
        <v>67.152100000000004</v>
      </c>
      <c r="D128">
        <v>8688.75</v>
      </c>
      <c r="E128">
        <v>2124.0500000000002</v>
      </c>
      <c r="F128">
        <v>28949</v>
      </c>
      <c r="G128">
        <v>2055.8200000000002</v>
      </c>
      <c r="H128">
        <v>0</v>
      </c>
      <c r="I128">
        <v>9.9999400000000005</v>
      </c>
      <c r="J128">
        <v>0</v>
      </c>
      <c r="K128">
        <v>0.485682</v>
      </c>
      <c r="L128" t="s">
        <v>28</v>
      </c>
      <c r="M128" s="1">
        <v>1184010000</v>
      </c>
      <c r="N128">
        <v>45106.1</v>
      </c>
      <c r="O128" s="1">
        <v>754964000</v>
      </c>
      <c r="P128" s="1">
        <v>45123700</v>
      </c>
      <c r="Q128" s="1">
        <v>8380490000</v>
      </c>
      <c r="R128" s="1">
        <v>42270700</v>
      </c>
      <c r="S128" t="s">
        <v>29</v>
      </c>
    </row>
    <row r="129" spans="1:19" x14ac:dyDescent="0.25">
      <c r="A129">
        <v>11</v>
      </c>
      <c r="B129">
        <v>10489</v>
      </c>
      <c r="C129">
        <v>59.765900000000002</v>
      </c>
      <c r="D129">
        <v>8130.54</v>
      </c>
      <c r="E129">
        <v>2297.59</v>
      </c>
      <c r="F129">
        <v>29498.1</v>
      </c>
      <c r="G129">
        <v>2202.81</v>
      </c>
      <c r="H129">
        <v>0</v>
      </c>
      <c r="I129">
        <v>9.0908599999999993</v>
      </c>
      <c r="J129">
        <v>0</v>
      </c>
      <c r="K129">
        <v>0.48563499999999998</v>
      </c>
      <c r="L129" t="s">
        <v>28</v>
      </c>
      <c r="M129" s="1">
        <v>1100220000</v>
      </c>
      <c r="N129">
        <v>35729.4</v>
      </c>
      <c r="O129" s="1">
        <v>661069000</v>
      </c>
      <c r="P129" s="1">
        <v>52795100</v>
      </c>
      <c r="Q129" s="1">
        <v>8701400000</v>
      </c>
      <c r="R129" s="1">
        <v>48528700</v>
      </c>
      <c r="S129" t="s">
        <v>29</v>
      </c>
    </row>
    <row r="130" spans="1:19" x14ac:dyDescent="0.25">
      <c r="A130">
        <v>12</v>
      </c>
      <c r="B130">
        <v>10404.299999999999</v>
      </c>
      <c r="C130">
        <v>56.557099999999998</v>
      </c>
      <c r="D130">
        <v>7955.39</v>
      </c>
      <c r="E130">
        <v>2391.3000000000002</v>
      </c>
      <c r="F130">
        <v>29864.5</v>
      </c>
      <c r="G130">
        <v>2417.06</v>
      </c>
      <c r="H130">
        <v>0</v>
      </c>
      <c r="I130">
        <v>8.3332899999999999</v>
      </c>
      <c r="J130">
        <v>0</v>
      </c>
      <c r="K130">
        <v>0.48593799999999998</v>
      </c>
      <c r="L130" t="s">
        <v>28</v>
      </c>
      <c r="M130" s="1">
        <v>1082970000</v>
      </c>
      <c r="N130">
        <v>32002.799999999999</v>
      </c>
      <c r="O130" s="1">
        <v>633367000</v>
      </c>
      <c r="P130" s="1">
        <v>57186600</v>
      </c>
      <c r="Q130" s="1">
        <v>8919820000</v>
      </c>
      <c r="R130" s="1">
        <v>58517800</v>
      </c>
      <c r="S130" t="s">
        <v>29</v>
      </c>
    </row>
    <row r="131" spans="1:19" x14ac:dyDescent="0.25">
      <c r="M131" s="1"/>
      <c r="Q131" s="1"/>
    </row>
    <row r="132" spans="1:19" x14ac:dyDescent="0.25">
      <c r="M132" s="1"/>
      <c r="Q132" s="1"/>
    </row>
    <row r="134" spans="1:19" x14ac:dyDescent="0.25">
      <c r="M134" s="1"/>
      <c r="O134" s="1"/>
      <c r="Q134" s="1"/>
    </row>
    <row r="135" spans="1:19" x14ac:dyDescent="0.25">
      <c r="M135" s="1"/>
      <c r="O135" s="1"/>
      <c r="Q135" s="1"/>
    </row>
    <row r="136" spans="1:19" x14ac:dyDescent="0.25">
      <c r="M136" s="1"/>
      <c r="O136" s="1"/>
      <c r="Q136" s="1"/>
    </row>
    <row r="137" spans="1:19" x14ac:dyDescent="0.25">
      <c r="M137" s="1"/>
      <c r="O137" s="1"/>
      <c r="Q137" s="1"/>
    </row>
    <row r="138" spans="1:19" x14ac:dyDescent="0.25">
      <c r="M138" s="1"/>
      <c r="O138" s="1"/>
      <c r="Q138" s="1"/>
    </row>
    <row r="139" spans="1:19" x14ac:dyDescent="0.25">
      <c r="M139" s="1"/>
      <c r="O139" s="1"/>
      <c r="Q139" s="1"/>
    </row>
    <row r="140" spans="1:19" x14ac:dyDescent="0.25">
      <c r="M140" s="1"/>
      <c r="O140" s="1"/>
      <c r="Q140" s="1"/>
    </row>
    <row r="141" spans="1:19" x14ac:dyDescent="0.25">
      <c r="M141" s="1"/>
      <c r="O141" s="1"/>
      <c r="Q141" s="1"/>
    </row>
    <row r="142" spans="1:19" x14ac:dyDescent="0.25">
      <c r="M142" s="1"/>
      <c r="O142" s="1"/>
      <c r="Q142" s="1"/>
    </row>
    <row r="143" spans="1:19" x14ac:dyDescent="0.25">
      <c r="M143" s="1"/>
      <c r="O143" s="1"/>
      <c r="Q143" s="1"/>
    </row>
    <row r="144" spans="1:19" x14ac:dyDescent="0.25">
      <c r="M144" s="1"/>
      <c r="O144" s="1"/>
      <c r="Q144" s="1"/>
    </row>
    <row r="145" spans="13:17" x14ac:dyDescent="0.25">
      <c r="M145" s="1"/>
      <c r="O145" s="1"/>
      <c r="Q145" s="1"/>
    </row>
    <row r="146" spans="13:17" x14ac:dyDescent="0.25">
      <c r="M146" s="1"/>
      <c r="O146" s="1"/>
      <c r="Q146" s="1"/>
    </row>
    <row r="147" spans="13:17" x14ac:dyDescent="0.25">
      <c r="M147" s="1"/>
      <c r="O147" s="1"/>
      <c r="Q147" s="1"/>
    </row>
    <row r="148" spans="13:17" x14ac:dyDescent="0.25">
      <c r="M148" s="1"/>
      <c r="O148" s="1"/>
      <c r="Q148" s="1"/>
    </row>
    <row r="149" spans="13:17" x14ac:dyDescent="0.25">
      <c r="M149" s="1"/>
      <c r="O149" s="1"/>
      <c r="Q149" s="1"/>
    </row>
    <row r="150" spans="13:17" x14ac:dyDescent="0.25">
      <c r="M150" s="1"/>
      <c r="O150" s="1"/>
      <c r="Q150" s="1"/>
    </row>
    <row r="151" spans="13:17" x14ac:dyDescent="0.25">
      <c r="M151" s="1"/>
      <c r="O151" s="1"/>
      <c r="Q151" s="1"/>
    </row>
    <row r="152" spans="13:17" x14ac:dyDescent="0.25">
      <c r="M152" s="1"/>
      <c r="O152" s="1"/>
      <c r="Q152" s="1"/>
    </row>
    <row r="153" spans="13:17" x14ac:dyDescent="0.25">
      <c r="M153" s="1"/>
      <c r="O153" s="1"/>
      <c r="Q153" s="1"/>
    </row>
    <row r="154" spans="13:17" x14ac:dyDescent="0.25">
      <c r="M154" s="1"/>
      <c r="O154" s="1"/>
      <c r="Q154" s="1"/>
    </row>
    <row r="155" spans="13:17" x14ac:dyDescent="0.25">
      <c r="M155" s="1"/>
      <c r="O155" s="1"/>
      <c r="Q155" s="1"/>
    </row>
    <row r="156" spans="13:17" x14ac:dyDescent="0.25">
      <c r="M156" s="1"/>
      <c r="O156" s="1"/>
      <c r="Q156" s="1"/>
    </row>
    <row r="157" spans="13:17" x14ac:dyDescent="0.25">
      <c r="M157" s="1"/>
      <c r="O157" s="1"/>
      <c r="Q157" s="1"/>
    </row>
    <row r="158" spans="13:17" x14ac:dyDescent="0.25">
      <c r="M158" s="1"/>
      <c r="O158" s="1"/>
      <c r="Q158" s="1"/>
    </row>
    <row r="159" spans="13:17" x14ac:dyDescent="0.25">
      <c r="M159" s="1"/>
      <c r="O159" s="1"/>
      <c r="Q159" s="1"/>
    </row>
    <row r="160" spans="13:17" x14ac:dyDescent="0.25">
      <c r="M160" s="1"/>
      <c r="O160" s="1"/>
      <c r="Q160" s="1"/>
    </row>
    <row r="161" spans="13:17" x14ac:dyDescent="0.25">
      <c r="M161" s="1"/>
      <c r="O161" s="1"/>
      <c r="Q161" s="1"/>
    </row>
    <row r="162" spans="13:17" x14ac:dyDescent="0.25">
      <c r="M162" s="1"/>
      <c r="O162" s="1"/>
      <c r="Q162" s="1"/>
    </row>
    <row r="163" spans="13:17" x14ac:dyDescent="0.25">
      <c r="M163" s="1"/>
      <c r="O163" s="1"/>
      <c r="Q163" s="1"/>
    </row>
    <row r="164" spans="13:17" x14ac:dyDescent="0.25">
      <c r="M164" s="1"/>
      <c r="O164" s="1"/>
      <c r="Q164" s="1"/>
    </row>
    <row r="165" spans="13:17" x14ac:dyDescent="0.25">
      <c r="M165" s="1"/>
      <c r="O165" s="1"/>
      <c r="Q165" s="1"/>
    </row>
    <row r="167" spans="13:17" x14ac:dyDescent="0.25">
      <c r="M167" s="1"/>
      <c r="O167" s="1"/>
      <c r="P167" s="1"/>
      <c r="Q167" s="1"/>
    </row>
    <row r="168" spans="13:17" x14ac:dyDescent="0.25">
      <c r="M168" s="1"/>
      <c r="O168" s="1"/>
      <c r="Q168" s="1"/>
    </row>
    <row r="169" spans="13:17" x14ac:dyDescent="0.25">
      <c r="M169" s="1"/>
      <c r="O169" s="1"/>
      <c r="Q169" s="1"/>
    </row>
    <row r="170" spans="13:17" x14ac:dyDescent="0.25">
      <c r="M170" s="1"/>
      <c r="O170" s="1"/>
      <c r="Q170" s="1"/>
    </row>
    <row r="171" spans="13:17" x14ac:dyDescent="0.25">
      <c r="M171" s="1"/>
      <c r="O171" s="1"/>
      <c r="Q171" s="1"/>
    </row>
    <row r="172" spans="13:17" x14ac:dyDescent="0.25">
      <c r="M172" s="1"/>
      <c r="O172" s="1"/>
      <c r="Q172" s="1"/>
    </row>
    <row r="173" spans="13:17" x14ac:dyDescent="0.25">
      <c r="M173" s="1"/>
      <c r="O173" s="1"/>
      <c r="Q173" s="1"/>
    </row>
    <row r="174" spans="13:17" x14ac:dyDescent="0.25">
      <c r="M174" s="1"/>
      <c r="O174" s="1"/>
      <c r="Q174" s="1"/>
    </row>
    <row r="175" spans="13:17" x14ac:dyDescent="0.25">
      <c r="M175" s="1"/>
      <c r="O175" s="1"/>
      <c r="Q175" s="1"/>
    </row>
    <row r="176" spans="13:17" x14ac:dyDescent="0.25">
      <c r="M176" s="1"/>
      <c r="O176" s="1"/>
      <c r="Q176" s="1"/>
    </row>
    <row r="177" spans="13:17" x14ac:dyDescent="0.25">
      <c r="M177" s="1"/>
      <c r="O177" s="1"/>
      <c r="Q177" s="1"/>
    </row>
    <row r="178" spans="13:17" x14ac:dyDescent="0.25">
      <c r="M178" s="1"/>
      <c r="O178" s="1"/>
      <c r="Q178" s="1"/>
    </row>
    <row r="179" spans="13:17" x14ac:dyDescent="0.25">
      <c r="M179" s="1"/>
      <c r="O179" s="1"/>
      <c r="Q179" s="1"/>
    </row>
    <row r="180" spans="13:17" x14ac:dyDescent="0.25">
      <c r="M180" s="1"/>
      <c r="O180" s="1"/>
      <c r="Q180" s="1"/>
    </row>
    <row r="181" spans="13:17" x14ac:dyDescent="0.25">
      <c r="M181" s="1"/>
      <c r="O181" s="1"/>
      <c r="Q181" s="1"/>
    </row>
    <row r="182" spans="13:17" x14ac:dyDescent="0.25">
      <c r="M182" s="1"/>
      <c r="O182" s="1"/>
      <c r="Q182" s="1"/>
    </row>
    <row r="183" spans="13:17" x14ac:dyDescent="0.25">
      <c r="M183" s="1"/>
      <c r="O183" s="1"/>
      <c r="Q183" s="1"/>
    </row>
    <row r="184" spans="13:17" x14ac:dyDescent="0.25">
      <c r="M184" s="1"/>
      <c r="O184" s="1"/>
      <c r="Q184" s="1"/>
    </row>
    <row r="185" spans="13:17" x14ac:dyDescent="0.25">
      <c r="M185" s="1"/>
      <c r="O185" s="1"/>
      <c r="Q185" s="1"/>
    </row>
    <row r="186" spans="13:17" x14ac:dyDescent="0.25">
      <c r="M186" s="1"/>
      <c r="O186" s="1"/>
      <c r="Q186" s="1"/>
    </row>
    <row r="187" spans="13:17" x14ac:dyDescent="0.25">
      <c r="M187" s="1"/>
      <c r="O187" s="1"/>
      <c r="Q187" s="1"/>
    </row>
    <row r="188" spans="13:17" x14ac:dyDescent="0.25">
      <c r="M188" s="1"/>
      <c r="O188" s="1"/>
      <c r="Q188" s="1"/>
    </row>
    <row r="189" spans="13:17" x14ac:dyDescent="0.25">
      <c r="M189" s="1"/>
      <c r="O189" s="1"/>
      <c r="Q189" s="1"/>
    </row>
    <row r="190" spans="13:17" x14ac:dyDescent="0.25">
      <c r="M190" s="1"/>
      <c r="O190" s="1"/>
      <c r="Q190" s="1"/>
    </row>
    <row r="191" spans="13:17" x14ac:dyDescent="0.25">
      <c r="M191" s="1"/>
      <c r="O191" s="1"/>
      <c r="Q191" s="1"/>
    </row>
    <row r="192" spans="13:17" x14ac:dyDescent="0.25">
      <c r="M192" s="1"/>
      <c r="O192" s="1"/>
      <c r="Q192" s="1"/>
    </row>
    <row r="193" spans="13:17" x14ac:dyDescent="0.25">
      <c r="M193" s="1"/>
      <c r="O193" s="1"/>
      <c r="Q193" s="1"/>
    </row>
    <row r="194" spans="13:17" x14ac:dyDescent="0.25">
      <c r="M194" s="1"/>
      <c r="O194" s="1"/>
      <c r="Q194" s="1"/>
    </row>
    <row r="195" spans="13:17" x14ac:dyDescent="0.25">
      <c r="M195" s="1"/>
      <c r="O195" s="1"/>
      <c r="Q195" s="1"/>
    </row>
    <row r="196" spans="13:17" x14ac:dyDescent="0.25">
      <c r="M196" s="1"/>
      <c r="O196" s="1"/>
      <c r="Q196" s="1"/>
    </row>
    <row r="197" spans="13:17" x14ac:dyDescent="0.25">
      <c r="M197" s="1"/>
      <c r="O197" s="1"/>
      <c r="Q197" s="1"/>
    </row>
    <row r="198" spans="13:17" x14ac:dyDescent="0.25">
      <c r="M198" s="1"/>
      <c r="O198" s="1"/>
      <c r="Q198" s="1"/>
    </row>
    <row r="200" spans="13:17" x14ac:dyDescent="0.25">
      <c r="M200" s="1"/>
      <c r="O200" s="1"/>
      <c r="P200" s="1"/>
      <c r="Q200" s="1"/>
    </row>
    <row r="201" spans="13:17" x14ac:dyDescent="0.25">
      <c r="M201" s="1"/>
      <c r="O201" s="1"/>
      <c r="P201" s="1"/>
      <c r="Q201" s="1"/>
    </row>
    <row r="202" spans="13:17" x14ac:dyDescent="0.25">
      <c r="M202" s="1"/>
      <c r="O202" s="1"/>
      <c r="P202" s="1"/>
      <c r="Q202" s="1"/>
    </row>
    <row r="203" spans="13:17" x14ac:dyDescent="0.25">
      <c r="M203" s="1"/>
      <c r="O203" s="1"/>
      <c r="Q203" s="1"/>
    </row>
    <row r="204" spans="13:17" x14ac:dyDescent="0.25">
      <c r="M204" s="1"/>
      <c r="O204" s="1"/>
      <c r="Q204" s="1"/>
    </row>
    <row r="205" spans="13:17" x14ac:dyDescent="0.25">
      <c r="M205" s="1"/>
      <c r="O205" s="1"/>
      <c r="Q205" s="1"/>
    </row>
    <row r="206" spans="13:17" x14ac:dyDescent="0.25">
      <c r="M206" s="1"/>
      <c r="O206" s="1"/>
      <c r="Q206" s="1"/>
    </row>
    <row r="207" spans="13:17" x14ac:dyDescent="0.25">
      <c r="M207" s="1"/>
      <c r="O207" s="1"/>
      <c r="Q207" s="1"/>
    </row>
    <row r="208" spans="13:17" x14ac:dyDescent="0.25">
      <c r="M208" s="1"/>
      <c r="O208" s="1"/>
      <c r="Q208" s="1"/>
    </row>
    <row r="209" spans="13:17" x14ac:dyDescent="0.25">
      <c r="M209" s="1"/>
      <c r="O209" s="1"/>
      <c r="Q209" s="1"/>
    </row>
    <row r="210" spans="13:17" x14ac:dyDescent="0.25">
      <c r="M210" s="1"/>
      <c r="O210" s="1"/>
      <c r="Q210" s="1"/>
    </row>
    <row r="211" spans="13:17" x14ac:dyDescent="0.25">
      <c r="M211" s="1"/>
      <c r="O211" s="1"/>
      <c r="Q211" s="1"/>
    </row>
    <row r="212" spans="13:17" x14ac:dyDescent="0.25">
      <c r="M212" s="1"/>
      <c r="O212" s="1"/>
      <c r="Q212" s="1"/>
    </row>
    <row r="213" spans="13:17" x14ac:dyDescent="0.25">
      <c r="M213" s="1"/>
      <c r="O213" s="1"/>
      <c r="Q213" s="1"/>
    </row>
    <row r="214" spans="13:17" x14ac:dyDescent="0.25">
      <c r="M214" s="1"/>
      <c r="O214" s="1"/>
      <c r="Q214" s="1"/>
    </row>
    <row r="215" spans="13:17" x14ac:dyDescent="0.25">
      <c r="M215" s="1"/>
      <c r="O215" s="1"/>
      <c r="Q215" s="1"/>
    </row>
    <row r="216" spans="13:17" x14ac:dyDescent="0.25">
      <c r="M216" s="1"/>
      <c r="O216" s="1"/>
      <c r="P216" s="1"/>
      <c r="Q216" s="1"/>
    </row>
    <row r="217" spans="13:17" x14ac:dyDescent="0.25">
      <c r="M217" s="1"/>
      <c r="O217" s="1"/>
      <c r="P217" s="1"/>
      <c r="Q217" s="1"/>
    </row>
    <row r="218" spans="13:17" x14ac:dyDescent="0.25">
      <c r="M218" s="1"/>
      <c r="O218" s="1"/>
      <c r="P218" s="1"/>
      <c r="Q218" s="1"/>
    </row>
    <row r="219" spans="13:17" x14ac:dyDescent="0.25">
      <c r="M219" s="1"/>
      <c r="O219" s="1"/>
      <c r="P219" s="1"/>
      <c r="Q219" s="1"/>
    </row>
    <row r="220" spans="13:17" x14ac:dyDescent="0.25">
      <c r="M220" s="1"/>
      <c r="O220" s="1"/>
      <c r="P220" s="1"/>
      <c r="Q220" s="1"/>
    </row>
    <row r="221" spans="13:17" x14ac:dyDescent="0.25">
      <c r="M221" s="1"/>
      <c r="O221" s="1"/>
      <c r="P221" s="1"/>
      <c r="Q221" s="1"/>
    </row>
    <row r="222" spans="13:17" x14ac:dyDescent="0.25">
      <c r="M222" s="1"/>
      <c r="O222" s="1"/>
      <c r="P222" s="1"/>
      <c r="Q222" s="1"/>
    </row>
    <row r="223" spans="13:17" x14ac:dyDescent="0.25">
      <c r="M223" s="1"/>
      <c r="O223" s="1"/>
      <c r="P223" s="1"/>
      <c r="Q223" s="1"/>
    </row>
    <row r="224" spans="13:17" x14ac:dyDescent="0.25">
      <c r="M224" s="1"/>
      <c r="O224" s="1"/>
      <c r="P224" s="1"/>
      <c r="Q224" s="1"/>
    </row>
    <row r="225" spans="13:18" x14ac:dyDescent="0.25">
      <c r="M225" s="1"/>
      <c r="O225" s="1"/>
      <c r="P225" s="1"/>
      <c r="Q225" s="1"/>
    </row>
    <row r="226" spans="13:18" x14ac:dyDescent="0.25">
      <c r="M226" s="1"/>
      <c r="O226" s="1"/>
      <c r="P226" s="1"/>
      <c r="Q226" s="1"/>
    </row>
    <row r="227" spans="13:18" x14ac:dyDescent="0.25">
      <c r="M227" s="1"/>
      <c r="O227" s="1"/>
      <c r="P227" s="1"/>
      <c r="Q227" s="1"/>
    </row>
    <row r="228" spans="13:18" x14ac:dyDescent="0.25">
      <c r="M228" s="1"/>
      <c r="O228" s="1"/>
      <c r="P228" s="1"/>
      <c r="Q228" s="1"/>
    </row>
    <row r="229" spans="13:18" x14ac:dyDescent="0.25">
      <c r="M229" s="1"/>
      <c r="O229" s="1"/>
      <c r="P229" s="1"/>
      <c r="Q229" s="1"/>
    </row>
    <row r="230" spans="13:18" x14ac:dyDescent="0.25">
      <c r="M230" s="1"/>
      <c r="O230" s="1"/>
      <c r="P230" s="1"/>
      <c r="Q230" s="1"/>
    </row>
    <row r="231" spans="13:18" x14ac:dyDescent="0.25">
      <c r="M231" s="1"/>
      <c r="O231" s="1"/>
      <c r="P231" s="1"/>
      <c r="Q231" s="1"/>
    </row>
    <row r="233" spans="13:18" x14ac:dyDescent="0.25">
      <c r="M233" s="1"/>
      <c r="O233" s="1"/>
      <c r="P233" s="1"/>
      <c r="Q233" s="1"/>
      <c r="R233" s="1"/>
    </row>
    <row r="234" spans="13:18" x14ac:dyDescent="0.25">
      <c r="M234" s="1"/>
      <c r="O234" s="1"/>
      <c r="P234" s="1"/>
      <c r="Q234" s="1"/>
      <c r="R234" s="1"/>
    </row>
    <row r="235" spans="13:18" x14ac:dyDescent="0.25">
      <c r="M235" s="1"/>
      <c r="O235" s="1"/>
      <c r="P235" s="1"/>
      <c r="Q235" s="1"/>
      <c r="R235" s="1"/>
    </row>
    <row r="236" spans="13:18" x14ac:dyDescent="0.25">
      <c r="M236" s="1"/>
      <c r="O236" s="1"/>
      <c r="P236" s="1"/>
      <c r="Q236" s="1"/>
      <c r="R236" s="1"/>
    </row>
    <row r="237" spans="13:18" x14ac:dyDescent="0.25">
      <c r="M237" s="1"/>
      <c r="O237" s="1"/>
      <c r="P237" s="1"/>
      <c r="Q237" s="1"/>
      <c r="R237" s="1"/>
    </row>
    <row r="238" spans="13:18" x14ac:dyDescent="0.25">
      <c r="M238" s="1"/>
      <c r="O238" s="1"/>
      <c r="P238" s="1"/>
      <c r="Q238" s="1"/>
      <c r="R238" s="1"/>
    </row>
    <row r="239" spans="13:18" x14ac:dyDescent="0.25">
      <c r="M239" s="1"/>
      <c r="O239" s="1"/>
      <c r="P239" s="1"/>
      <c r="Q239" s="1"/>
      <c r="R239" s="1"/>
    </row>
    <row r="240" spans="13:18" x14ac:dyDescent="0.25">
      <c r="M240" s="1"/>
      <c r="O240" s="1"/>
      <c r="P240" s="1"/>
      <c r="Q240" s="1"/>
      <c r="R240" s="1"/>
    </row>
    <row r="241" spans="13:18" x14ac:dyDescent="0.25">
      <c r="M241" s="1"/>
      <c r="O241" s="1"/>
      <c r="P241" s="1"/>
      <c r="Q241" s="1"/>
      <c r="R241" s="1"/>
    </row>
    <row r="242" spans="13:18" x14ac:dyDescent="0.25">
      <c r="M242" s="1"/>
      <c r="O242" s="1"/>
      <c r="P242" s="1"/>
      <c r="Q242" s="1"/>
      <c r="R242" s="1"/>
    </row>
    <row r="243" spans="13:18" x14ac:dyDescent="0.25">
      <c r="M243" s="1"/>
      <c r="O243" s="1"/>
      <c r="P243" s="1"/>
      <c r="Q243" s="1"/>
      <c r="R243" s="1"/>
    </row>
    <row r="244" spans="13:18" x14ac:dyDescent="0.25">
      <c r="M244" s="1"/>
      <c r="O244" s="1"/>
      <c r="P244" s="1"/>
      <c r="Q244" s="1"/>
      <c r="R244" s="1"/>
    </row>
    <row r="245" spans="13:18" x14ac:dyDescent="0.25">
      <c r="M245" s="1"/>
      <c r="O245" s="1"/>
      <c r="P245" s="1"/>
      <c r="Q245" s="1"/>
      <c r="R245" s="1"/>
    </row>
    <row r="246" spans="13:18" x14ac:dyDescent="0.25">
      <c r="M246" s="1"/>
      <c r="O246" s="1"/>
      <c r="P246" s="1"/>
      <c r="Q246" s="1"/>
      <c r="R246" s="1"/>
    </row>
    <row r="247" spans="13:18" x14ac:dyDescent="0.25">
      <c r="M247" s="1"/>
      <c r="O247" s="1"/>
      <c r="P247" s="1"/>
      <c r="Q247" s="1"/>
      <c r="R247" s="1"/>
    </row>
    <row r="248" spans="13:18" x14ac:dyDescent="0.25">
      <c r="M248" s="1"/>
      <c r="O248" s="1"/>
      <c r="P248" s="1"/>
      <c r="Q248" s="1"/>
      <c r="R248" s="1"/>
    </row>
    <row r="249" spans="13:18" x14ac:dyDescent="0.25">
      <c r="M249" s="1"/>
      <c r="O249" s="1"/>
      <c r="P249" s="1"/>
      <c r="Q249" s="1"/>
      <c r="R249" s="1"/>
    </row>
    <row r="250" spans="13:18" x14ac:dyDescent="0.25">
      <c r="M250" s="1"/>
      <c r="O250" s="1"/>
      <c r="P250" s="1"/>
      <c r="Q250" s="1"/>
      <c r="R250" s="1"/>
    </row>
    <row r="251" spans="13:18" x14ac:dyDescent="0.25">
      <c r="M251" s="1"/>
      <c r="O251" s="1"/>
      <c r="P251" s="1"/>
      <c r="Q251" s="1"/>
      <c r="R251" s="1"/>
    </row>
    <row r="252" spans="13:18" x14ac:dyDescent="0.25">
      <c r="M252" s="1"/>
      <c r="O252" s="1"/>
      <c r="P252" s="1"/>
      <c r="Q252" s="1"/>
      <c r="R252" s="1"/>
    </row>
    <row r="253" spans="13:18" x14ac:dyDescent="0.25">
      <c r="M253" s="1"/>
      <c r="O253" s="1"/>
      <c r="P253" s="1"/>
      <c r="Q253" s="1"/>
      <c r="R253" s="1"/>
    </row>
    <row r="254" spans="13:18" x14ac:dyDescent="0.25">
      <c r="M254" s="1"/>
      <c r="O254" s="1"/>
      <c r="P254" s="1"/>
      <c r="Q254" s="1"/>
      <c r="R254" s="1"/>
    </row>
    <row r="255" spans="13:18" x14ac:dyDescent="0.25">
      <c r="M255" s="1"/>
      <c r="O255" s="1"/>
      <c r="P255" s="1"/>
      <c r="Q255" s="1"/>
      <c r="R255" s="1"/>
    </row>
    <row r="256" spans="13:18" x14ac:dyDescent="0.25">
      <c r="M256" s="1"/>
      <c r="O256" s="1"/>
      <c r="P256" s="1"/>
      <c r="Q256" s="1"/>
      <c r="R256" s="1"/>
    </row>
    <row r="257" spans="13:18" x14ac:dyDescent="0.25">
      <c r="M257" s="1"/>
      <c r="O257" s="1"/>
      <c r="P257" s="1"/>
      <c r="Q257" s="1"/>
      <c r="R257" s="1"/>
    </row>
    <row r="258" spans="13:18" x14ac:dyDescent="0.25">
      <c r="M258" s="1"/>
      <c r="O258" s="1"/>
      <c r="P258" s="1"/>
      <c r="Q258" s="1"/>
      <c r="R258" s="1"/>
    </row>
    <row r="259" spans="13:18" x14ac:dyDescent="0.25">
      <c r="M259" s="1"/>
      <c r="O259" s="1"/>
      <c r="P259" s="1"/>
      <c r="Q259" s="1"/>
      <c r="R259" s="1"/>
    </row>
    <row r="260" spans="13:18" x14ac:dyDescent="0.25">
      <c r="M260" s="1"/>
      <c r="O260" s="1"/>
      <c r="P260" s="1"/>
      <c r="Q260" s="1"/>
      <c r="R260" s="1"/>
    </row>
    <row r="261" spans="13:18" x14ac:dyDescent="0.25">
      <c r="M261" s="1"/>
      <c r="O261" s="1"/>
      <c r="P261" s="1"/>
      <c r="Q261" s="1"/>
      <c r="R261" s="1"/>
    </row>
    <row r="262" spans="13:18" x14ac:dyDescent="0.25">
      <c r="M262" s="1"/>
      <c r="O262" s="1"/>
      <c r="P262" s="1"/>
      <c r="Q262" s="1"/>
      <c r="R262" s="1"/>
    </row>
    <row r="263" spans="13:18" x14ac:dyDescent="0.25">
      <c r="M263" s="1"/>
      <c r="O263" s="1"/>
      <c r="P263" s="1"/>
      <c r="Q263" s="1"/>
      <c r="R263" s="1"/>
    </row>
    <row r="264" spans="13:18" x14ac:dyDescent="0.25">
      <c r="M264" s="1"/>
      <c r="O264" s="1"/>
      <c r="P264" s="1"/>
      <c r="Q264" s="1"/>
      <c r="R264" s="1"/>
    </row>
    <row r="266" spans="13:18" x14ac:dyDescent="0.25">
      <c r="M266" s="1"/>
      <c r="O266" s="1"/>
      <c r="P266" s="1"/>
      <c r="Q266" s="1"/>
      <c r="R266" s="1"/>
    </row>
    <row r="267" spans="13:18" x14ac:dyDescent="0.25">
      <c r="M267" s="1"/>
      <c r="O267" s="1"/>
      <c r="P267" s="1"/>
      <c r="Q267" s="1"/>
      <c r="R267" s="1"/>
    </row>
    <row r="268" spans="13:18" x14ac:dyDescent="0.25">
      <c r="M268" s="1"/>
      <c r="O268" s="1"/>
      <c r="P268" s="1"/>
      <c r="Q268" s="1"/>
      <c r="R268" s="1"/>
    </row>
    <row r="269" spans="13:18" x14ac:dyDescent="0.25">
      <c r="M269" s="1"/>
      <c r="O269" s="1"/>
      <c r="P269" s="1"/>
      <c r="Q269" s="1"/>
      <c r="R269" s="1"/>
    </row>
    <row r="270" spans="13:18" x14ac:dyDescent="0.25">
      <c r="M270" s="1"/>
      <c r="O270" s="1"/>
      <c r="P270" s="1"/>
      <c r="Q270" s="1"/>
      <c r="R270" s="1"/>
    </row>
    <row r="271" spans="13:18" x14ac:dyDescent="0.25">
      <c r="M271" s="1"/>
      <c r="O271" s="1"/>
      <c r="P271" s="1"/>
      <c r="Q271" s="1"/>
      <c r="R271" s="1"/>
    </row>
    <row r="272" spans="13:18" x14ac:dyDescent="0.25">
      <c r="M272" s="1"/>
      <c r="O272" s="1"/>
      <c r="P272" s="1"/>
      <c r="Q272" s="1"/>
      <c r="R272" s="1"/>
    </row>
    <row r="273" spans="13:18" x14ac:dyDescent="0.25">
      <c r="M273" s="1"/>
      <c r="O273" s="1"/>
      <c r="P273" s="1"/>
      <c r="Q273" s="1"/>
      <c r="R273" s="1"/>
    </row>
    <row r="274" spans="13:18" x14ac:dyDescent="0.25">
      <c r="M274" s="1"/>
      <c r="O274" s="1"/>
      <c r="P274" s="1"/>
      <c r="Q274" s="1"/>
      <c r="R274" s="1"/>
    </row>
    <row r="275" spans="13:18" x14ac:dyDescent="0.25">
      <c r="M275" s="1"/>
      <c r="O275" s="1"/>
      <c r="P275" s="1"/>
      <c r="Q275" s="1"/>
      <c r="R275" s="1"/>
    </row>
    <row r="276" spans="13:18" x14ac:dyDescent="0.25">
      <c r="M276" s="1"/>
      <c r="O276" s="1"/>
      <c r="P276" s="1"/>
      <c r="Q276" s="1"/>
      <c r="R276" s="1"/>
    </row>
    <row r="277" spans="13:18" x14ac:dyDescent="0.25">
      <c r="M277" s="1"/>
      <c r="O277" s="1"/>
      <c r="P277" s="1"/>
      <c r="Q277" s="1"/>
      <c r="R277" s="1"/>
    </row>
    <row r="278" spans="13:18" x14ac:dyDescent="0.25">
      <c r="M278" s="1"/>
      <c r="O278" s="1"/>
      <c r="P278" s="1"/>
      <c r="Q278" s="1"/>
      <c r="R278" s="1"/>
    </row>
    <row r="279" spans="13:18" x14ac:dyDescent="0.25">
      <c r="M279" s="1"/>
      <c r="O279" s="1"/>
      <c r="P279" s="1"/>
      <c r="Q279" s="1"/>
      <c r="R279" s="1"/>
    </row>
    <row r="280" spans="13:18" x14ac:dyDescent="0.25">
      <c r="M280" s="1"/>
      <c r="O280" s="1"/>
      <c r="P280" s="1"/>
      <c r="Q280" s="1"/>
      <c r="R280" s="1"/>
    </row>
    <row r="281" spans="13:18" x14ac:dyDescent="0.25">
      <c r="M281" s="1"/>
      <c r="O281" s="1"/>
      <c r="P281" s="1"/>
      <c r="Q281" s="1"/>
      <c r="R281" s="1"/>
    </row>
    <row r="282" spans="13:18" x14ac:dyDescent="0.25">
      <c r="M282" s="1"/>
      <c r="O282" s="1"/>
      <c r="P282" s="1"/>
      <c r="Q282" s="1"/>
      <c r="R282" s="1"/>
    </row>
    <row r="283" spans="13:18" x14ac:dyDescent="0.25">
      <c r="M283" s="1"/>
      <c r="O283" s="1"/>
      <c r="P283" s="1"/>
      <c r="Q283" s="1"/>
      <c r="R283" s="1"/>
    </row>
    <row r="284" spans="13:18" x14ac:dyDescent="0.25">
      <c r="M284" s="1"/>
      <c r="O284" s="1"/>
      <c r="P284" s="1"/>
      <c r="Q284" s="1"/>
      <c r="R284" s="1"/>
    </row>
    <row r="285" spans="13:18" x14ac:dyDescent="0.25">
      <c r="M285" s="1"/>
      <c r="O285" s="1"/>
      <c r="P285" s="1"/>
      <c r="Q285" s="1"/>
      <c r="R285" s="1"/>
    </row>
    <row r="286" spans="13:18" x14ac:dyDescent="0.25">
      <c r="M286" s="1"/>
      <c r="O286" s="1"/>
      <c r="P286" s="1"/>
      <c r="Q286" s="1"/>
      <c r="R286" s="1"/>
    </row>
    <row r="287" spans="13:18" x14ac:dyDescent="0.25">
      <c r="M287" s="1"/>
      <c r="O287" s="1"/>
      <c r="P287" s="1"/>
      <c r="Q287" s="1"/>
      <c r="R287" s="1"/>
    </row>
    <row r="288" spans="13:18" x14ac:dyDescent="0.25">
      <c r="M288" s="1"/>
      <c r="O288" s="1"/>
      <c r="P288" s="1"/>
      <c r="Q288" s="1"/>
      <c r="R288" s="1"/>
    </row>
    <row r="289" spans="13:18" x14ac:dyDescent="0.25">
      <c r="M289" s="1"/>
      <c r="O289" s="1"/>
      <c r="P289" s="1"/>
      <c r="Q289" s="1"/>
      <c r="R289" s="1"/>
    </row>
    <row r="290" spans="13:18" x14ac:dyDescent="0.25">
      <c r="M290" s="1"/>
      <c r="O290" s="1"/>
      <c r="P290" s="1"/>
      <c r="Q290" s="1"/>
      <c r="R290" s="1"/>
    </row>
    <row r="291" spans="13:18" x14ac:dyDescent="0.25">
      <c r="M291" s="1"/>
      <c r="O291" s="1"/>
      <c r="P291" s="1"/>
      <c r="Q291" s="1"/>
      <c r="R291" s="1"/>
    </row>
    <row r="292" spans="13:18" x14ac:dyDescent="0.25">
      <c r="M292" s="1"/>
      <c r="O292" s="1"/>
      <c r="P292" s="1"/>
      <c r="Q292" s="1"/>
      <c r="R292" s="1"/>
    </row>
    <row r="293" spans="13:18" x14ac:dyDescent="0.25">
      <c r="M293" s="1"/>
      <c r="O293" s="1"/>
      <c r="P293" s="1"/>
      <c r="Q293" s="1"/>
      <c r="R293" s="1"/>
    </row>
    <row r="294" spans="13:18" x14ac:dyDescent="0.25">
      <c r="M294" s="1"/>
      <c r="O294" s="1"/>
      <c r="P294" s="1"/>
      <c r="Q294" s="1"/>
      <c r="R294" s="1"/>
    </row>
    <row r="295" spans="13:18" x14ac:dyDescent="0.25">
      <c r="M295" s="1"/>
      <c r="O295" s="1"/>
      <c r="P295" s="1"/>
      <c r="Q295" s="1"/>
      <c r="R295" s="1"/>
    </row>
    <row r="296" spans="13:18" x14ac:dyDescent="0.25">
      <c r="M296" s="1"/>
      <c r="O296" s="1"/>
      <c r="P296" s="1"/>
      <c r="Q296" s="1"/>
      <c r="R296" s="1"/>
    </row>
    <row r="297" spans="13:18" x14ac:dyDescent="0.25">
      <c r="M297" s="1"/>
      <c r="O297" s="1"/>
      <c r="P297" s="1"/>
      <c r="Q297" s="1"/>
      <c r="R297" s="1"/>
    </row>
    <row r="299" spans="13:18" x14ac:dyDescent="0.25">
      <c r="M299" s="1"/>
      <c r="O299" s="1"/>
      <c r="P299" s="1"/>
      <c r="Q299" s="1"/>
      <c r="R299" s="1"/>
    </row>
    <row r="300" spans="13:18" x14ac:dyDescent="0.25">
      <c r="M300" s="1"/>
      <c r="O300" s="1"/>
      <c r="P300" s="1"/>
      <c r="Q300" s="1"/>
      <c r="R300" s="1"/>
    </row>
    <row r="301" spans="13:18" x14ac:dyDescent="0.25">
      <c r="M301" s="1"/>
      <c r="O301" s="1"/>
      <c r="P301" s="1"/>
      <c r="Q301" s="1"/>
      <c r="R301" s="1"/>
    </row>
    <row r="302" spans="13:18" x14ac:dyDescent="0.25">
      <c r="M302" s="1"/>
      <c r="O302" s="1"/>
      <c r="P302" s="1"/>
      <c r="Q302" s="1"/>
      <c r="R302" s="1"/>
    </row>
    <row r="303" spans="13:18" x14ac:dyDescent="0.25">
      <c r="M303" s="1"/>
      <c r="O303" s="1"/>
      <c r="P303" s="1"/>
      <c r="Q303" s="1"/>
      <c r="R303" s="1"/>
    </row>
    <row r="304" spans="13:18" x14ac:dyDescent="0.25">
      <c r="M304" s="1"/>
      <c r="O304" s="1"/>
      <c r="P304" s="1"/>
      <c r="Q304" s="1"/>
      <c r="R304" s="1"/>
    </row>
    <row r="305" spans="13:18" x14ac:dyDescent="0.25">
      <c r="M305" s="1"/>
      <c r="O305" s="1"/>
      <c r="P305" s="1"/>
      <c r="Q305" s="1"/>
      <c r="R305" s="1"/>
    </row>
    <row r="306" spans="13:18" x14ac:dyDescent="0.25">
      <c r="M306" s="1"/>
      <c r="O306" s="1"/>
      <c r="P306" s="1"/>
      <c r="Q306" s="1"/>
      <c r="R306" s="1"/>
    </row>
    <row r="307" spans="13:18" x14ac:dyDescent="0.25">
      <c r="M307" s="1"/>
      <c r="O307" s="1"/>
      <c r="P307" s="1"/>
      <c r="Q307" s="1"/>
      <c r="R307" s="1"/>
    </row>
    <row r="308" spans="13:18" x14ac:dyDescent="0.25">
      <c r="M308" s="1"/>
      <c r="O308" s="1"/>
      <c r="P308" s="1"/>
      <c r="Q308" s="1"/>
      <c r="R308" s="1"/>
    </row>
    <row r="309" spans="13:18" x14ac:dyDescent="0.25">
      <c r="M309" s="1"/>
      <c r="O309" s="1"/>
      <c r="P309" s="1"/>
      <c r="Q309" s="1"/>
      <c r="R309" s="1"/>
    </row>
    <row r="310" spans="13:18" x14ac:dyDescent="0.25">
      <c r="M310" s="1"/>
      <c r="O310" s="1"/>
      <c r="P310" s="1"/>
      <c r="Q310" s="1"/>
      <c r="R310" s="1"/>
    </row>
    <row r="311" spans="13:18" x14ac:dyDescent="0.25">
      <c r="M311" s="1"/>
      <c r="O311" s="1"/>
      <c r="P311" s="1"/>
      <c r="Q311" s="1"/>
      <c r="R311" s="1"/>
    </row>
    <row r="312" spans="13:18" x14ac:dyDescent="0.25">
      <c r="M312" s="1"/>
      <c r="O312" s="1"/>
      <c r="P312" s="1"/>
      <c r="Q312" s="1"/>
      <c r="R312" s="1"/>
    </row>
    <row r="313" spans="13:18" x14ac:dyDescent="0.25">
      <c r="M313" s="1"/>
      <c r="O313" s="1"/>
      <c r="P313" s="1"/>
      <c r="Q313" s="1"/>
      <c r="R313" s="1"/>
    </row>
    <row r="314" spans="13:18" x14ac:dyDescent="0.25">
      <c r="M314" s="1"/>
      <c r="O314" s="1"/>
      <c r="P314" s="1"/>
      <c r="Q314" s="1"/>
      <c r="R314" s="1"/>
    </row>
    <row r="315" spans="13:18" x14ac:dyDescent="0.25">
      <c r="M315" s="1"/>
      <c r="O315" s="1"/>
      <c r="P315" s="1"/>
      <c r="Q315" s="1"/>
      <c r="R315" s="1"/>
    </row>
    <row r="316" spans="13:18" x14ac:dyDescent="0.25">
      <c r="M316" s="1"/>
      <c r="O316" s="1"/>
      <c r="P316" s="1"/>
      <c r="Q316" s="1"/>
      <c r="R316" s="1"/>
    </row>
    <row r="317" spans="13:18" x14ac:dyDescent="0.25">
      <c r="M317" s="1"/>
      <c r="O317" s="1"/>
      <c r="P317" s="1"/>
      <c r="Q317" s="1"/>
      <c r="R317" s="1"/>
    </row>
    <row r="318" spans="13:18" x14ac:dyDescent="0.25">
      <c r="M318" s="1"/>
      <c r="O318" s="1"/>
      <c r="P318" s="1"/>
      <c r="Q318" s="1"/>
      <c r="R318" s="1"/>
    </row>
    <row r="319" spans="13:18" x14ac:dyDescent="0.25">
      <c r="M319" s="1"/>
      <c r="O319" s="1"/>
      <c r="P319" s="1"/>
      <c r="Q319" s="1"/>
      <c r="R319" s="1"/>
    </row>
    <row r="320" spans="13:18" x14ac:dyDescent="0.25">
      <c r="M320" s="1"/>
      <c r="O320" s="1"/>
      <c r="P320" s="1"/>
      <c r="Q320" s="1"/>
      <c r="R320" s="1"/>
    </row>
    <row r="321" spans="13:18" x14ac:dyDescent="0.25">
      <c r="M321" s="1"/>
      <c r="O321" s="1"/>
      <c r="P321" s="1"/>
      <c r="Q321" s="1"/>
      <c r="R321" s="1"/>
    </row>
    <row r="322" spans="13:18" x14ac:dyDescent="0.25">
      <c r="M322" s="1"/>
      <c r="O322" s="1"/>
      <c r="P322" s="1"/>
      <c r="Q322" s="1"/>
      <c r="R322" s="1"/>
    </row>
    <row r="323" spans="13:18" x14ac:dyDescent="0.25">
      <c r="M323" s="1"/>
      <c r="O323" s="1"/>
      <c r="P323" s="1"/>
      <c r="Q323" s="1"/>
      <c r="R323" s="1"/>
    </row>
    <row r="324" spans="13:18" x14ac:dyDescent="0.25">
      <c r="M324" s="1"/>
      <c r="O324" s="1"/>
      <c r="P324" s="1"/>
      <c r="Q324" s="1"/>
      <c r="R324" s="1"/>
    </row>
    <row r="325" spans="13:18" x14ac:dyDescent="0.25">
      <c r="M325" s="1"/>
      <c r="O325" s="1"/>
      <c r="P325" s="1"/>
      <c r="Q325" s="1"/>
      <c r="R325" s="1"/>
    </row>
    <row r="326" spans="13:18" x14ac:dyDescent="0.25">
      <c r="M326" s="1"/>
      <c r="O326" s="1"/>
      <c r="P326" s="1"/>
      <c r="Q326" s="1"/>
      <c r="R326" s="1"/>
    </row>
    <row r="327" spans="13:18" x14ac:dyDescent="0.25">
      <c r="M327" s="1"/>
      <c r="O327" s="1"/>
      <c r="P327" s="1"/>
      <c r="Q327" s="1"/>
      <c r="R327" s="1"/>
    </row>
    <row r="328" spans="13:18" x14ac:dyDescent="0.25">
      <c r="M328" s="1"/>
      <c r="O328" s="1"/>
      <c r="P328" s="1"/>
      <c r="Q328" s="1"/>
      <c r="R328" s="1"/>
    </row>
    <row r="329" spans="13:18" x14ac:dyDescent="0.25">
      <c r="M329" s="1"/>
      <c r="O329" s="1"/>
      <c r="P329" s="1"/>
      <c r="Q329" s="1"/>
      <c r="R329" s="1"/>
    </row>
    <row r="330" spans="13:18" x14ac:dyDescent="0.25">
      <c r="M330" s="1"/>
      <c r="O330" s="1"/>
      <c r="P330" s="1"/>
      <c r="Q330" s="1"/>
      <c r="R3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abSelected="1" workbookViewId="0">
      <selection activeCell="F35" sqref="F35"/>
    </sheetView>
  </sheetViews>
  <sheetFormatPr defaultRowHeight="15" x14ac:dyDescent="0.25"/>
  <sheetData>
    <row r="1" spans="1:17" x14ac:dyDescent="0.25">
      <c r="B1">
        <v>13</v>
      </c>
    </row>
    <row r="3" spans="1:17" x14ac:dyDescent="0.25">
      <c r="B3">
        <v>1</v>
      </c>
    </row>
    <row r="4" spans="1:17" x14ac:dyDescent="0.25"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</row>
    <row r="5" spans="1:17" x14ac:dyDescent="0.25">
      <c r="B5">
        <v>42</v>
      </c>
      <c r="C5">
        <f>B5*2</f>
        <v>84</v>
      </c>
      <c r="D5">
        <f t="shared" ref="D5:Q5" si="0">C5*2</f>
        <v>168</v>
      </c>
      <c r="E5">
        <f t="shared" si="0"/>
        <v>336</v>
      </c>
      <c r="F5">
        <f t="shared" si="0"/>
        <v>672</v>
      </c>
      <c r="G5">
        <f t="shared" si="0"/>
        <v>1344</v>
      </c>
      <c r="H5">
        <f t="shared" si="0"/>
        <v>2688</v>
      </c>
      <c r="I5">
        <f t="shared" si="0"/>
        <v>5376</v>
      </c>
      <c r="J5">
        <f t="shared" si="0"/>
        <v>10752</v>
      </c>
      <c r="K5">
        <f t="shared" si="0"/>
        <v>21504</v>
      </c>
      <c r="L5">
        <f t="shared" si="0"/>
        <v>43008</v>
      </c>
      <c r="M5">
        <f t="shared" si="0"/>
        <v>86016</v>
      </c>
      <c r="N5">
        <f t="shared" si="0"/>
        <v>172032</v>
      </c>
      <c r="O5">
        <f t="shared" si="0"/>
        <v>344064</v>
      </c>
      <c r="P5">
        <f t="shared" si="0"/>
        <v>688128</v>
      </c>
      <c r="Q5">
        <f t="shared" si="0"/>
        <v>1376256</v>
      </c>
    </row>
    <row r="6" spans="1:17" x14ac:dyDescent="0.25">
      <c r="A6">
        <v>1</v>
      </c>
      <c r="B6">
        <f ca="1">OFFSET(Лист1!$A$1,B$4*$B$1+$A6,$B$3)</f>
        <v>164.12700000000001</v>
      </c>
      <c r="C6">
        <f ca="1">OFFSET(Лист1!$A$1,C$4*$B$1+$A6,$B$3)</f>
        <v>249.15299999999999</v>
      </c>
      <c r="D6">
        <f ca="1">OFFSET(Лист1!$A$1,D$4*$B$1+$A6,$B$3)</f>
        <v>427.77300000000002</v>
      </c>
      <c r="E6">
        <f ca="1">OFFSET(Лист1!$A$1,E$4*$B$1+$A6,$B$3)</f>
        <v>795.077</v>
      </c>
      <c r="F6">
        <f ca="1">OFFSET(Лист1!$A$1,F$4*$B$1+$A6,$B$3)</f>
        <v>1549.54</v>
      </c>
      <c r="G6">
        <f ca="1">OFFSET(Лист1!$A$1,G$4*$B$1+$A6,$B$3)</f>
        <v>3082.79</v>
      </c>
      <c r="H6">
        <f ca="1">OFFSET(Лист1!$A$1,H$4*$B$1+$A6,$B$3)</f>
        <v>6152.24</v>
      </c>
      <c r="I6">
        <f ca="1">OFFSET(Лист1!$A$1,I$4*$B$1+$A6,$B$3)</f>
        <v>12334.6</v>
      </c>
      <c r="J6">
        <f ca="1">OFFSET(Лист1!$A$1,J$4*$B$1+$A6,$B$3)</f>
        <v>24929.4</v>
      </c>
      <c r="K6">
        <f ca="1">OFFSET(Лист1!$A$1,K$4*$B$1+$A6,$B$3)</f>
        <v>50560.9</v>
      </c>
      <c r="L6">
        <f ca="1">OFFSET(Лист1!$A$1,L$4*$B$1+$A6,$B$3)</f>
        <v>0</v>
      </c>
      <c r="M6">
        <f ca="1">OFFSET(Лист1!$A$1,M$4*$B$1+$A6,$B$3)</f>
        <v>0</v>
      </c>
      <c r="N6">
        <f ca="1">OFFSET(Лист1!$A$1,N$4*$B$1+$A6,$B$3)</f>
        <v>0</v>
      </c>
      <c r="O6">
        <f ca="1">OFFSET(Лист1!$A$1,O$4*$B$1+$A6,$B$3)</f>
        <v>0</v>
      </c>
      <c r="P6">
        <f ca="1">OFFSET(Лист1!$A$1,P$4*$B$1+$A6,$B$3)</f>
        <v>0</v>
      </c>
      <c r="Q6">
        <f ca="1">OFFSET(Лист1!$A$1,Q$4*$B$1+$A6,$B$3)</f>
        <v>0</v>
      </c>
    </row>
    <row r="7" spans="1:17" x14ac:dyDescent="0.25">
      <c r="A7">
        <v>2</v>
      </c>
      <c r="B7">
        <f ca="1">OFFSET(Лист1!$A$1,B$4*$B$1+$A7,$B$3)</f>
        <v>113.962</v>
      </c>
      <c r="C7">
        <f ca="1">OFFSET(Лист1!$A$1,C$4*$B$1+$A7,$B$3)</f>
        <v>159.387</v>
      </c>
      <c r="D7">
        <f ca="1">OFFSET(Лист1!$A$1,D$4*$B$1+$A7,$B$3)</f>
        <v>255.03200000000001</v>
      </c>
      <c r="E7">
        <f ca="1">OFFSET(Лист1!$A$1,E$4*$B$1+$A7,$B$3)</f>
        <v>441.125</v>
      </c>
      <c r="F7">
        <f ca="1">OFFSET(Лист1!$A$1,F$4*$B$1+$A7,$B$3)</f>
        <v>827.55100000000004</v>
      </c>
      <c r="G7">
        <f ca="1">OFFSET(Лист1!$A$1,G$4*$B$1+$A7,$B$3)</f>
        <v>1641.97</v>
      </c>
      <c r="H7">
        <f ca="1">OFFSET(Лист1!$A$1,H$4*$B$1+$A7,$B$3)</f>
        <v>3227.23</v>
      </c>
      <c r="I7">
        <f ca="1">OFFSET(Лист1!$A$1,I$4*$B$1+$A7,$B$3)</f>
        <v>6442.45</v>
      </c>
      <c r="J7">
        <f ca="1">OFFSET(Лист1!$A$1,J$4*$B$1+$A7,$B$3)</f>
        <v>13075.9</v>
      </c>
      <c r="K7">
        <f ca="1">OFFSET(Лист1!$A$1,K$4*$B$1+$A7,$B$3)</f>
        <v>26497.4</v>
      </c>
      <c r="L7">
        <f ca="1">OFFSET(Лист1!$A$1,L$4*$B$1+$A7,$B$3)</f>
        <v>0</v>
      </c>
      <c r="M7">
        <f ca="1">OFFSET(Лист1!$A$1,M$4*$B$1+$A7,$B$3)</f>
        <v>0</v>
      </c>
      <c r="N7">
        <f ca="1">OFFSET(Лист1!$A$1,N$4*$B$1+$A7,$B$3)</f>
        <v>0</v>
      </c>
      <c r="O7">
        <f ca="1">OFFSET(Лист1!$A$1,O$4*$B$1+$A7,$B$3)</f>
        <v>0</v>
      </c>
      <c r="P7">
        <f ca="1">OFFSET(Лист1!$A$1,P$4*$B$1+$A7,$B$3)</f>
        <v>0</v>
      </c>
      <c r="Q7">
        <f ca="1">OFFSET(Лист1!$A$1,Q$4*$B$1+$A7,$B$3)</f>
        <v>0</v>
      </c>
    </row>
    <row r="8" spans="1:17" x14ac:dyDescent="0.25">
      <c r="A8">
        <v>3</v>
      </c>
      <c r="B8">
        <f ca="1">OFFSET(Лист1!$A$1,B$4*$B$1+$A8,$B$3)</f>
        <v>105.005</v>
      </c>
      <c r="C8">
        <f ca="1">OFFSET(Лист1!$A$1,C$4*$B$1+$A8,$B$3)</f>
        <v>136.035</v>
      </c>
      <c r="D8">
        <f ca="1">OFFSET(Лист1!$A$1,D$4*$B$1+$A8,$B$3)</f>
        <v>203.559</v>
      </c>
      <c r="E8">
        <f ca="1">OFFSET(Лист1!$A$1,E$4*$B$1+$A8,$B$3)</f>
        <v>335.47800000000001</v>
      </c>
      <c r="F8">
        <f ca="1">OFFSET(Лист1!$A$1,F$4*$B$1+$A8,$B$3)</f>
        <v>614.08500000000004</v>
      </c>
      <c r="G8">
        <f ca="1">OFFSET(Лист1!$A$1,G$4*$B$1+$A8,$B$3)</f>
        <v>1178.78</v>
      </c>
      <c r="H8">
        <f ca="1">OFFSET(Лист1!$A$1,H$4*$B$1+$A8,$B$3)</f>
        <v>2296.0100000000002</v>
      </c>
      <c r="I8">
        <f ca="1">OFFSET(Лист1!$A$1,I$4*$B$1+$A8,$B$3)</f>
        <v>4517.1099999999997</v>
      </c>
      <c r="J8">
        <f ca="1">OFFSET(Лист1!$A$1,J$4*$B$1+$A8,$B$3)</f>
        <v>8928.42</v>
      </c>
      <c r="K8">
        <f ca="1">OFFSET(Лист1!$A$1,K$4*$B$1+$A8,$B$3)</f>
        <v>19193.5</v>
      </c>
      <c r="L8">
        <f ca="1">OFFSET(Лист1!$A$1,L$4*$B$1+$A8,$B$3)</f>
        <v>0</v>
      </c>
      <c r="M8">
        <f ca="1">OFFSET(Лист1!$A$1,M$4*$B$1+$A8,$B$3)</f>
        <v>0</v>
      </c>
      <c r="N8">
        <f ca="1">OFFSET(Лист1!$A$1,N$4*$B$1+$A8,$B$3)</f>
        <v>0</v>
      </c>
      <c r="O8">
        <f ca="1">OFFSET(Лист1!$A$1,O$4*$B$1+$A8,$B$3)</f>
        <v>0</v>
      </c>
      <c r="P8">
        <f ca="1">OFFSET(Лист1!$A$1,P$4*$B$1+$A8,$B$3)</f>
        <v>0</v>
      </c>
      <c r="Q8">
        <f ca="1">OFFSET(Лист1!$A$1,Q$4*$B$1+$A8,$B$3)</f>
        <v>0</v>
      </c>
    </row>
    <row r="9" spans="1:17" x14ac:dyDescent="0.25">
      <c r="A9">
        <v>4</v>
      </c>
      <c r="B9">
        <f ca="1">OFFSET(Лист1!$A$1,B$4*$B$1+$A9,$B$3)</f>
        <v>105.102</v>
      </c>
      <c r="C9">
        <f ca="1">OFFSET(Лист1!$A$1,C$4*$B$1+$A9,$B$3)</f>
        <v>135.07400000000001</v>
      </c>
      <c r="D9">
        <f ca="1">OFFSET(Лист1!$A$1,D$4*$B$1+$A9,$B$3)</f>
        <v>183.655</v>
      </c>
      <c r="E9">
        <f ca="1">OFFSET(Лист1!$A$1,E$4*$B$1+$A9,$B$3)</f>
        <v>338.27100000000002</v>
      </c>
      <c r="F9">
        <f ca="1">OFFSET(Лист1!$A$1,F$4*$B$1+$A9,$B$3)</f>
        <v>525.25699999999995</v>
      </c>
      <c r="G9">
        <f ca="1">OFFSET(Лист1!$A$1,G$4*$B$1+$A9,$B$3)</f>
        <v>952.67200000000003</v>
      </c>
      <c r="H9">
        <f ca="1">OFFSET(Лист1!$A$1,H$4*$B$1+$A9,$B$3)</f>
        <v>1770.46</v>
      </c>
      <c r="I9">
        <f ca="1">OFFSET(Лист1!$A$1,I$4*$B$1+$A9,$B$3)</f>
        <v>3685.39</v>
      </c>
      <c r="J9">
        <f ca="1">OFFSET(Лист1!$A$1,J$4*$B$1+$A9,$B$3)</f>
        <v>6999.72</v>
      </c>
      <c r="K9">
        <f ca="1">OFFSET(Лист1!$A$1,K$4*$B$1+$A9,$B$3)</f>
        <v>15003.4</v>
      </c>
      <c r="L9">
        <f ca="1">OFFSET(Лист1!$A$1,L$4*$B$1+$A9,$B$3)</f>
        <v>0</v>
      </c>
      <c r="M9">
        <f ca="1">OFFSET(Лист1!$A$1,M$4*$B$1+$A9,$B$3)</f>
        <v>0</v>
      </c>
      <c r="N9">
        <f ca="1">OFFSET(Лист1!$A$1,N$4*$B$1+$A9,$B$3)</f>
        <v>0</v>
      </c>
      <c r="O9">
        <f ca="1">OFFSET(Лист1!$A$1,O$4*$B$1+$A9,$B$3)</f>
        <v>0</v>
      </c>
      <c r="P9">
        <f ca="1">OFFSET(Лист1!$A$1,P$4*$B$1+$A9,$B$3)</f>
        <v>0</v>
      </c>
      <c r="Q9">
        <f ca="1">OFFSET(Лист1!$A$1,Q$4*$B$1+$A9,$B$3)</f>
        <v>0</v>
      </c>
    </row>
    <row r="10" spans="1:17" x14ac:dyDescent="0.25">
      <c r="A10">
        <v>5</v>
      </c>
      <c r="B10">
        <f ca="1">OFFSET(Лист1!$A$1,B$4*$B$1+$A10,$B$3)</f>
        <v>113.309</v>
      </c>
      <c r="C10">
        <f ca="1">OFFSET(Лист1!$A$1,C$4*$B$1+$A10,$B$3)</f>
        <v>149.93</v>
      </c>
      <c r="D10">
        <f ca="1">OFFSET(Лист1!$A$1,D$4*$B$1+$A10,$B$3)</f>
        <v>225.75700000000001</v>
      </c>
      <c r="E10">
        <f ca="1">OFFSET(Лист1!$A$1,E$4*$B$1+$A10,$B$3)</f>
        <v>408.81</v>
      </c>
      <c r="F10">
        <f ca="1">OFFSET(Лист1!$A$1,F$4*$B$1+$A10,$B$3)</f>
        <v>706.04399999999998</v>
      </c>
      <c r="G10">
        <f ca="1">OFFSET(Лист1!$A$1,G$4*$B$1+$A10,$B$3)</f>
        <v>1284.9000000000001</v>
      </c>
      <c r="H10">
        <f ca="1">OFFSET(Лист1!$A$1,H$4*$B$1+$A10,$B$3)</f>
        <v>2118.73</v>
      </c>
      <c r="I10">
        <f ca="1">OFFSET(Лист1!$A$1,I$4*$B$1+$A10,$B$3)</f>
        <v>3992.87</v>
      </c>
      <c r="J10">
        <f ca="1">OFFSET(Лист1!$A$1,J$4*$B$1+$A10,$B$3)</f>
        <v>7661.68</v>
      </c>
      <c r="K10">
        <f ca="1">OFFSET(Лист1!$A$1,K$4*$B$1+$A10,$B$3)</f>
        <v>15008.5</v>
      </c>
      <c r="L10">
        <f ca="1">OFFSET(Лист1!$A$1,L$4*$B$1+$A10,$B$3)</f>
        <v>0</v>
      </c>
      <c r="M10">
        <f ca="1">OFFSET(Лист1!$A$1,M$4*$B$1+$A10,$B$3)</f>
        <v>0</v>
      </c>
      <c r="N10">
        <f ca="1">OFFSET(Лист1!$A$1,N$4*$B$1+$A10,$B$3)</f>
        <v>0</v>
      </c>
      <c r="O10">
        <f ca="1">OFFSET(Лист1!$A$1,O$4*$B$1+$A10,$B$3)</f>
        <v>0</v>
      </c>
      <c r="P10">
        <f ca="1">OFFSET(Лист1!$A$1,P$4*$B$1+$A10,$B$3)</f>
        <v>0</v>
      </c>
      <c r="Q10">
        <f ca="1">OFFSET(Лист1!$A$1,Q$4*$B$1+$A10,$B$3)</f>
        <v>0</v>
      </c>
    </row>
    <row r="11" spans="1:17" x14ac:dyDescent="0.25">
      <c r="A11">
        <v>6</v>
      </c>
      <c r="B11">
        <f ca="1">OFFSET(Лист1!$A$1,B$4*$B$1+$A11,$B$3)</f>
        <v>112.434</v>
      </c>
      <c r="C11">
        <f ca="1">OFFSET(Лист1!$A$1,C$4*$B$1+$A11,$B$3)</f>
        <v>142.059</v>
      </c>
      <c r="D11">
        <f ca="1">OFFSET(Лист1!$A$1,D$4*$B$1+$A11,$B$3)</f>
        <v>206.923</v>
      </c>
      <c r="E11">
        <f ca="1">OFFSET(Лист1!$A$1,E$4*$B$1+$A11,$B$3)</f>
        <v>348.197</v>
      </c>
      <c r="F11">
        <f ca="1">OFFSET(Лист1!$A$1,F$4*$B$1+$A11,$B$3)</f>
        <v>624.34199999999998</v>
      </c>
      <c r="G11">
        <f ca="1">OFFSET(Лист1!$A$1,G$4*$B$1+$A11,$B$3)</f>
        <v>1146.95</v>
      </c>
      <c r="H11">
        <f ca="1">OFFSET(Лист1!$A$1,H$4*$B$1+$A11,$B$3)</f>
        <v>1995.63</v>
      </c>
      <c r="I11">
        <f ca="1">OFFSET(Лист1!$A$1,I$4*$B$1+$A11,$B$3)</f>
        <v>3693.85</v>
      </c>
      <c r="J11">
        <f ca="1">OFFSET(Лист1!$A$1,J$4*$B$1+$A11,$B$3)</f>
        <v>6953.18</v>
      </c>
      <c r="K11">
        <f ca="1">OFFSET(Лист1!$A$1,K$4*$B$1+$A11,$B$3)</f>
        <v>13958.8</v>
      </c>
      <c r="L11">
        <f ca="1">OFFSET(Лист1!$A$1,L$4*$B$1+$A11,$B$3)</f>
        <v>0</v>
      </c>
      <c r="M11">
        <f ca="1">OFFSET(Лист1!$A$1,M$4*$B$1+$A11,$B$3)</f>
        <v>0</v>
      </c>
      <c r="N11">
        <f ca="1">OFFSET(Лист1!$A$1,N$4*$B$1+$A11,$B$3)</f>
        <v>0</v>
      </c>
      <c r="O11">
        <f ca="1">OFFSET(Лист1!$A$1,O$4*$B$1+$A11,$B$3)</f>
        <v>0</v>
      </c>
      <c r="P11">
        <f ca="1">OFFSET(Лист1!$A$1,P$4*$B$1+$A11,$B$3)</f>
        <v>0</v>
      </c>
      <c r="Q11">
        <f ca="1">OFFSET(Лист1!$A$1,Q$4*$B$1+$A11,$B$3)</f>
        <v>0</v>
      </c>
    </row>
    <row r="12" spans="1:17" x14ac:dyDescent="0.25">
      <c r="A12">
        <v>7</v>
      </c>
      <c r="B12">
        <f ca="1">OFFSET(Лист1!$A$1,B$4*$B$1+$A12,$B$3)</f>
        <v>116.217</v>
      </c>
      <c r="C12">
        <f ca="1">OFFSET(Лист1!$A$1,C$4*$B$1+$A12,$B$3)</f>
        <v>138.50200000000001</v>
      </c>
      <c r="D12">
        <f ca="1">OFFSET(Лист1!$A$1,D$4*$B$1+$A12,$B$3)</f>
        <v>197.952</v>
      </c>
      <c r="E12">
        <f ca="1">OFFSET(Лист1!$A$1,E$4*$B$1+$A12,$B$3)</f>
        <v>314.65699999999998</v>
      </c>
      <c r="F12">
        <f ca="1">OFFSET(Лист1!$A$1,F$4*$B$1+$A12,$B$3)</f>
        <v>572.00800000000004</v>
      </c>
      <c r="G12">
        <f ca="1">OFFSET(Лист1!$A$1,G$4*$B$1+$A12,$B$3)</f>
        <v>1046.8599999999999</v>
      </c>
      <c r="H12">
        <f ca="1">OFFSET(Лист1!$A$1,H$4*$B$1+$A12,$B$3)</f>
        <v>1878.01</v>
      </c>
      <c r="I12">
        <f ca="1">OFFSET(Лист1!$A$1,I$4*$B$1+$A12,$B$3)</f>
        <v>3380.73</v>
      </c>
      <c r="J12">
        <f ca="1">OFFSET(Лист1!$A$1,J$4*$B$1+$A12,$B$3)</f>
        <v>6373.75</v>
      </c>
      <c r="K12">
        <f ca="1">OFFSET(Лист1!$A$1,K$4*$B$1+$A12,$B$3)</f>
        <v>12786.5</v>
      </c>
      <c r="L12">
        <f ca="1">OFFSET(Лист1!$A$1,L$4*$B$1+$A12,$B$3)</f>
        <v>0</v>
      </c>
      <c r="M12">
        <f ca="1">OFFSET(Лист1!$A$1,M$4*$B$1+$A12,$B$3)</f>
        <v>0</v>
      </c>
      <c r="N12">
        <f ca="1">OFFSET(Лист1!$A$1,N$4*$B$1+$A12,$B$3)</f>
        <v>0</v>
      </c>
      <c r="O12">
        <f ca="1">OFFSET(Лист1!$A$1,O$4*$B$1+$A12,$B$3)</f>
        <v>0</v>
      </c>
      <c r="P12">
        <f ca="1">OFFSET(Лист1!$A$1,P$4*$B$1+$A12,$B$3)</f>
        <v>0</v>
      </c>
      <c r="Q12">
        <f ca="1">OFFSET(Лист1!$A$1,Q$4*$B$1+$A12,$B$3)</f>
        <v>0</v>
      </c>
    </row>
    <row r="13" spans="1:17" x14ac:dyDescent="0.25">
      <c r="A13">
        <v>8</v>
      </c>
      <c r="B13">
        <f ca="1">OFFSET(Лист1!$A$1,B$4*$B$1+$A13,$B$3)</f>
        <v>112.53700000000001</v>
      </c>
      <c r="C13">
        <f ca="1">OFFSET(Лист1!$A$1,C$4*$B$1+$A13,$B$3)</f>
        <v>133.75200000000001</v>
      </c>
      <c r="D13">
        <f ca="1">OFFSET(Лист1!$A$1,D$4*$B$1+$A13,$B$3)</f>
        <v>185.69300000000001</v>
      </c>
      <c r="E13">
        <f ca="1">OFFSET(Лист1!$A$1,E$4*$B$1+$A13,$B$3)</f>
        <v>289.39699999999999</v>
      </c>
      <c r="F13">
        <f ca="1">OFFSET(Лист1!$A$1,F$4*$B$1+$A13,$B$3)</f>
        <v>514.51499999999999</v>
      </c>
      <c r="G13">
        <f ca="1">OFFSET(Лист1!$A$1,G$4*$B$1+$A13,$B$3)</f>
        <v>949.89200000000005</v>
      </c>
      <c r="H13">
        <f ca="1">OFFSET(Лист1!$A$1,H$4*$B$1+$A13,$B$3)</f>
        <v>1633.94</v>
      </c>
      <c r="I13">
        <f ca="1">OFFSET(Лист1!$A$1,I$4*$B$1+$A13,$B$3)</f>
        <v>3048.34</v>
      </c>
      <c r="J13">
        <f ca="1">OFFSET(Лист1!$A$1,J$4*$B$1+$A13,$B$3)</f>
        <v>6028.8</v>
      </c>
      <c r="K13">
        <f ca="1">OFFSET(Лист1!$A$1,K$4*$B$1+$A13,$B$3)</f>
        <v>11867.5</v>
      </c>
      <c r="L13">
        <f ca="1">OFFSET(Лист1!$A$1,L$4*$B$1+$A13,$B$3)</f>
        <v>0</v>
      </c>
      <c r="M13">
        <f ca="1">OFFSET(Лист1!$A$1,M$4*$B$1+$A13,$B$3)</f>
        <v>0</v>
      </c>
      <c r="N13">
        <f ca="1">OFFSET(Лист1!$A$1,N$4*$B$1+$A13,$B$3)</f>
        <v>0</v>
      </c>
      <c r="O13">
        <f ca="1">OFFSET(Лист1!$A$1,O$4*$B$1+$A13,$B$3)</f>
        <v>0</v>
      </c>
      <c r="P13">
        <f ca="1">OFFSET(Лист1!$A$1,P$4*$B$1+$A13,$B$3)</f>
        <v>0</v>
      </c>
      <c r="Q13">
        <f ca="1">OFFSET(Лист1!$A$1,Q$4*$B$1+$A13,$B$3)</f>
        <v>0</v>
      </c>
    </row>
    <row r="14" spans="1:17" x14ac:dyDescent="0.25">
      <c r="A14">
        <v>9</v>
      </c>
      <c r="B14">
        <f ca="1">OFFSET(Лист1!$A$1,B$4*$B$1+$A14,$B$3)</f>
        <v>113.69</v>
      </c>
      <c r="C14">
        <f ca="1">OFFSET(Лист1!$A$1,C$4*$B$1+$A14,$B$3)</f>
        <v>134.91800000000001</v>
      </c>
      <c r="D14">
        <f ca="1">OFFSET(Лист1!$A$1,D$4*$B$1+$A14,$B$3)</f>
        <v>183.49199999999999</v>
      </c>
      <c r="E14">
        <f ca="1">OFFSET(Лист1!$A$1,E$4*$B$1+$A14,$B$3)</f>
        <v>277.90899999999999</v>
      </c>
      <c r="F14">
        <f ca="1">OFFSET(Лист1!$A$1,F$4*$B$1+$A14,$B$3)</f>
        <v>483.87299999999999</v>
      </c>
      <c r="G14">
        <f ca="1">OFFSET(Лист1!$A$1,G$4*$B$1+$A14,$B$3)</f>
        <v>888.90499999999997</v>
      </c>
      <c r="H14">
        <f ca="1">OFFSET(Лист1!$A$1,H$4*$B$1+$A14,$B$3)</f>
        <v>1512.91</v>
      </c>
      <c r="I14">
        <f ca="1">OFFSET(Лист1!$A$1,I$4*$B$1+$A14,$B$3)</f>
        <v>3097.13</v>
      </c>
      <c r="J14">
        <f ca="1">OFFSET(Лист1!$A$1,J$4*$B$1+$A14,$B$3)</f>
        <v>5798.75</v>
      </c>
      <c r="K14">
        <f ca="1">OFFSET(Лист1!$A$1,K$4*$B$1+$A14,$B$3)</f>
        <v>11393.6</v>
      </c>
      <c r="L14">
        <f ca="1">OFFSET(Лист1!$A$1,L$4*$B$1+$A14,$B$3)</f>
        <v>0</v>
      </c>
      <c r="M14">
        <f ca="1">OFFSET(Лист1!$A$1,M$4*$B$1+$A14,$B$3)</f>
        <v>0</v>
      </c>
      <c r="N14">
        <f ca="1">OFFSET(Лист1!$A$1,N$4*$B$1+$A14,$B$3)</f>
        <v>0</v>
      </c>
      <c r="O14">
        <f ca="1">OFFSET(Лист1!$A$1,O$4*$B$1+$A14,$B$3)</f>
        <v>0</v>
      </c>
      <c r="P14">
        <f ca="1">OFFSET(Лист1!$A$1,P$4*$B$1+$A14,$B$3)</f>
        <v>0</v>
      </c>
      <c r="Q14">
        <f ca="1">OFFSET(Лист1!$A$1,Q$4*$B$1+$A14,$B$3)</f>
        <v>0</v>
      </c>
    </row>
    <row r="15" spans="1:17" x14ac:dyDescent="0.25">
      <c r="A15">
        <v>10</v>
      </c>
      <c r="B15">
        <f ca="1">OFFSET(Лист1!$A$1,B$4*$B$1+$A15,$B$3)</f>
        <v>123.048</v>
      </c>
      <c r="C15">
        <f ca="1">OFFSET(Лист1!$A$1,C$4*$B$1+$A15,$B$3)</f>
        <v>153.179</v>
      </c>
      <c r="D15">
        <f ca="1">OFFSET(Лист1!$A$1,D$4*$B$1+$A15,$B$3)</f>
        <v>189.58799999999999</v>
      </c>
      <c r="E15">
        <f ca="1">OFFSET(Лист1!$A$1,E$4*$B$1+$A15,$B$3)</f>
        <v>271.39600000000002</v>
      </c>
      <c r="F15">
        <f ca="1">OFFSET(Лист1!$A$1,F$4*$B$1+$A15,$B$3)</f>
        <v>483.98899999999998</v>
      </c>
      <c r="G15">
        <f ca="1">OFFSET(Лист1!$A$1,G$4*$B$1+$A15,$B$3)</f>
        <v>866.91800000000001</v>
      </c>
      <c r="H15">
        <f ca="1">OFFSET(Лист1!$A$1,H$4*$B$1+$A15,$B$3)</f>
        <v>1468.35</v>
      </c>
      <c r="I15">
        <f ca="1">OFFSET(Лист1!$A$1,I$4*$B$1+$A15,$B$3)</f>
        <v>2768.35</v>
      </c>
      <c r="J15">
        <f ca="1">OFFSET(Лист1!$A$1,J$4*$B$1+$A15,$B$3)</f>
        <v>5301.22</v>
      </c>
      <c r="K15">
        <f ca="1">OFFSET(Лист1!$A$1,K$4*$B$1+$A15,$B$3)</f>
        <v>10881</v>
      </c>
      <c r="L15">
        <f ca="1">OFFSET(Лист1!$A$1,L$4*$B$1+$A15,$B$3)</f>
        <v>0</v>
      </c>
      <c r="M15">
        <f ca="1">OFFSET(Лист1!$A$1,M$4*$B$1+$A15,$B$3)</f>
        <v>0</v>
      </c>
      <c r="N15">
        <f ca="1">OFFSET(Лист1!$A$1,N$4*$B$1+$A15,$B$3)</f>
        <v>0</v>
      </c>
      <c r="O15">
        <f ca="1">OFFSET(Лист1!$A$1,O$4*$B$1+$A15,$B$3)</f>
        <v>0</v>
      </c>
      <c r="P15">
        <f ca="1">OFFSET(Лист1!$A$1,P$4*$B$1+$A15,$B$3)</f>
        <v>0</v>
      </c>
      <c r="Q15">
        <f ca="1">OFFSET(Лист1!$A$1,Q$4*$B$1+$A15,$B$3)</f>
        <v>0</v>
      </c>
    </row>
    <row r="16" spans="1:17" x14ac:dyDescent="0.25">
      <c r="A16">
        <v>11</v>
      </c>
      <c r="B16">
        <f ca="1">OFFSET(Лист1!$A$1,B$4*$B$1+$A16,$B$3)</f>
        <v>124.104</v>
      </c>
      <c r="C16">
        <f ca="1">OFFSET(Лист1!$A$1,C$4*$B$1+$A16,$B$3)</f>
        <v>149.92400000000001</v>
      </c>
      <c r="D16">
        <f ca="1">OFFSET(Лист1!$A$1,D$4*$B$1+$A16,$B$3)</f>
        <v>217.066</v>
      </c>
      <c r="E16">
        <f ca="1">OFFSET(Лист1!$A$1,E$4*$B$1+$A16,$B$3)</f>
        <v>326.85899999999998</v>
      </c>
      <c r="F16">
        <f ca="1">OFFSET(Лист1!$A$1,F$4*$B$1+$A16,$B$3)</f>
        <v>530.48299999999995</v>
      </c>
      <c r="G16">
        <f ca="1">OFFSET(Лист1!$A$1,G$4*$B$1+$A16,$B$3)</f>
        <v>820.40700000000004</v>
      </c>
      <c r="H16">
        <f ca="1">OFFSET(Лист1!$A$1,H$4*$B$1+$A16,$B$3)</f>
        <v>1674.09</v>
      </c>
      <c r="I16">
        <f ca="1">OFFSET(Лист1!$A$1,I$4*$B$1+$A16,$B$3)</f>
        <v>2777.01</v>
      </c>
      <c r="J16">
        <f ca="1">OFFSET(Лист1!$A$1,J$4*$B$1+$A16,$B$3)</f>
        <v>5128.3</v>
      </c>
      <c r="K16">
        <f ca="1">OFFSET(Лист1!$A$1,K$4*$B$1+$A16,$B$3)</f>
        <v>10489</v>
      </c>
      <c r="L16">
        <f ca="1">OFFSET(Лист1!$A$1,L$4*$B$1+$A16,$B$3)</f>
        <v>0</v>
      </c>
      <c r="M16">
        <f ca="1">OFFSET(Лист1!$A$1,M$4*$B$1+$A16,$B$3)</f>
        <v>0</v>
      </c>
      <c r="N16">
        <f ca="1">OFFSET(Лист1!$A$1,N$4*$B$1+$A16,$B$3)</f>
        <v>0</v>
      </c>
      <c r="O16">
        <f ca="1">OFFSET(Лист1!$A$1,O$4*$B$1+$A16,$B$3)</f>
        <v>0</v>
      </c>
      <c r="P16">
        <f ca="1">OFFSET(Лист1!$A$1,P$4*$B$1+$A16,$B$3)</f>
        <v>0</v>
      </c>
      <c r="Q16">
        <f ca="1">OFFSET(Лист1!$A$1,Q$4*$B$1+$A16,$B$3)</f>
        <v>0</v>
      </c>
    </row>
    <row r="17" spans="1:17" x14ac:dyDescent="0.25">
      <c r="A17">
        <v>12</v>
      </c>
      <c r="B17">
        <f ca="1">OFFSET(Лист1!$A$1,B$4*$B$1+$A17,$B$3)</f>
        <v>121.148</v>
      </c>
      <c r="C17">
        <f ca="1">OFFSET(Лист1!$A$1,C$4*$B$1+$A17,$B$3)</f>
        <v>150.131</v>
      </c>
      <c r="D17">
        <f ca="1">OFFSET(Лист1!$A$1,D$4*$B$1+$A17,$B$3)</f>
        <v>205.06200000000001</v>
      </c>
      <c r="E17">
        <f ca="1">OFFSET(Лист1!$A$1,E$4*$B$1+$A17,$B$3)</f>
        <v>322.762</v>
      </c>
      <c r="F17">
        <f ca="1">OFFSET(Лист1!$A$1,F$4*$B$1+$A17,$B$3)</f>
        <v>537.97299999999996</v>
      </c>
      <c r="G17">
        <f ca="1">OFFSET(Лист1!$A$1,G$4*$B$1+$A17,$B$3)</f>
        <v>805.27800000000002</v>
      </c>
      <c r="H17">
        <f ca="1">OFFSET(Лист1!$A$1,H$4*$B$1+$A17,$B$3)</f>
        <v>1546.39</v>
      </c>
      <c r="I17">
        <f ca="1">OFFSET(Лист1!$A$1,I$4*$B$1+$A17,$B$3)</f>
        <v>2599.94</v>
      </c>
      <c r="J17">
        <f ca="1">OFFSET(Лист1!$A$1,J$4*$B$1+$A17,$B$3)</f>
        <v>4880.88</v>
      </c>
      <c r="K17">
        <f ca="1">OFFSET(Лист1!$A$1,K$4*$B$1+$A17,$B$3)</f>
        <v>10404.299999999999</v>
      </c>
      <c r="L17">
        <f ca="1">OFFSET(Лист1!$A$1,L$4*$B$1+$A17,$B$3)</f>
        <v>0</v>
      </c>
      <c r="M17">
        <f ca="1">OFFSET(Лист1!$A$1,M$4*$B$1+$A17,$B$3)</f>
        <v>0</v>
      </c>
      <c r="N17">
        <f ca="1">OFFSET(Лист1!$A$1,N$4*$B$1+$A17,$B$3)</f>
        <v>0</v>
      </c>
      <c r="O17">
        <f ca="1">OFFSET(Лист1!$A$1,O$4*$B$1+$A17,$B$3)</f>
        <v>0</v>
      </c>
      <c r="P17">
        <f ca="1">OFFSET(Лист1!$A$1,P$4*$B$1+$A17,$B$3)</f>
        <v>0</v>
      </c>
      <c r="Q17">
        <f ca="1">OFFSET(Лист1!$A$1,Q$4*$B$1+$A17,$B$3)</f>
        <v>0</v>
      </c>
    </row>
    <row r="20" spans="1:17" x14ac:dyDescent="0.25">
      <c r="B20">
        <v>42</v>
      </c>
      <c r="C20">
        <f>B20*2</f>
        <v>84</v>
      </c>
      <c r="D20">
        <f t="shared" ref="D20:Q20" si="1">C20*2</f>
        <v>168</v>
      </c>
      <c r="E20">
        <f t="shared" si="1"/>
        <v>336</v>
      </c>
      <c r="F20">
        <f t="shared" si="1"/>
        <v>672</v>
      </c>
      <c r="G20">
        <f t="shared" si="1"/>
        <v>1344</v>
      </c>
      <c r="H20">
        <f t="shared" si="1"/>
        <v>2688</v>
      </c>
      <c r="I20">
        <f t="shared" si="1"/>
        <v>5376</v>
      </c>
      <c r="J20">
        <f t="shared" si="1"/>
        <v>10752</v>
      </c>
      <c r="K20">
        <f t="shared" si="1"/>
        <v>21504</v>
      </c>
      <c r="L20">
        <f t="shared" si="1"/>
        <v>43008</v>
      </c>
      <c r="M20">
        <f t="shared" si="1"/>
        <v>86016</v>
      </c>
      <c r="N20">
        <f t="shared" si="1"/>
        <v>172032</v>
      </c>
      <c r="O20">
        <f t="shared" si="1"/>
        <v>344064</v>
      </c>
      <c r="P20">
        <f t="shared" si="1"/>
        <v>688128</v>
      </c>
      <c r="Q20">
        <f t="shared" si="1"/>
        <v>1376256</v>
      </c>
    </row>
    <row r="21" spans="1:17" x14ac:dyDescent="0.25">
      <c r="A21">
        <v>1</v>
      </c>
      <c r="B21">
        <f t="shared" ref="B21:Q21" ca="1" si="2">B6/B$5</f>
        <v>3.9077857142857146</v>
      </c>
      <c r="C21">
        <f t="shared" ca="1" si="2"/>
        <v>2.9661071428571426</v>
      </c>
      <c r="D21">
        <f t="shared" ca="1" si="2"/>
        <v>2.5462678571428574</v>
      </c>
      <c r="E21">
        <f t="shared" ca="1" si="2"/>
        <v>2.3663005952380951</v>
      </c>
      <c r="F21">
        <f t="shared" ca="1" si="2"/>
        <v>2.3058630952380952</v>
      </c>
      <c r="G21">
        <f t="shared" ca="1" si="2"/>
        <v>2.2937425595238095</v>
      </c>
      <c r="H21">
        <f t="shared" ca="1" si="2"/>
        <v>2.2887797619047618</v>
      </c>
      <c r="I21">
        <f t="shared" ca="1" si="2"/>
        <v>2.2943824404761903</v>
      </c>
      <c r="J21">
        <f t="shared" ca="1" si="2"/>
        <v>2.3185825892857146</v>
      </c>
      <c r="K21">
        <f t="shared" ca="1" si="2"/>
        <v>2.3512323288690475</v>
      </c>
      <c r="L21">
        <f t="shared" ca="1" si="2"/>
        <v>0</v>
      </c>
      <c r="M21">
        <f t="shared" ca="1" si="2"/>
        <v>0</v>
      </c>
      <c r="N21">
        <f t="shared" ca="1" si="2"/>
        <v>0</v>
      </c>
      <c r="O21">
        <f t="shared" ca="1" si="2"/>
        <v>0</v>
      </c>
      <c r="P21">
        <f t="shared" ca="1" si="2"/>
        <v>0</v>
      </c>
      <c r="Q21">
        <f t="shared" ca="1" si="2"/>
        <v>0</v>
      </c>
    </row>
    <row r="22" spans="1:17" x14ac:dyDescent="0.25">
      <c r="A22">
        <v>2</v>
      </c>
      <c r="B22">
        <f t="shared" ref="B22:Q22" ca="1" si="3">B7/B$5</f>
        <v>2.7133809523809527</v>
      </c>
      <c r="C22">
        <f t="shared" ca="1" si="3"/>
        <v>1.8974642857142858</v>
      </c>
      <c r="D22">
        <f t="shared" ca="1" si="3"/>
        <v>1.5180476190476191</v>
      </c>
      <c r="E22">
        <f t="shared" ca="1" si="3"/>
        <v>1.3128720238095237</v>
      </c>
      <c r="F22">
        <f t="shared" ca="1" si="3"/>
        <v>1.2314747023809525</v>
      </c>
      <c r="G22">
        <f t="shared" ca="1" si="3"/>
        <v>1.221703869047619</v>
      </c>
      <c r="H22">
        <f t="shared" ca="1" si="3"/>
        <v>1.2006063988095239</v>
      </c>
      <c r="I22">
        <f t="shared" ca="1" si="3"/>
        <v>1.1983723958333332</v>
      </c>
      <c r="J22">
        <f t="shared" ca="1" si="3"/>
        <v>1.2161365327380953</v>
      </c>
      <c r="K22">
        <f t="shared" ca="1" si="3"/>
        <v>1.2322079613095238</v>
      </c>
      <c r="L22">
        <f t="shared" ca="1" si="3"/>
        <v>0</v>
      </c>
      <c r="M22">
        <f t="shared" ca="1" si="3"/>
        <v>0</v>
      </c>
      <c r="N22">
        <f t="shared" ca="1" si="3"/>
        <v>0</v>
      </c>
      <c r="O22">
        <f t="shared" ca="1" si="3"/>
        <v>0</v>
      </c>
      <c r="P22">
        <f t="shared" ca="1" si="3"/>
        <v>0</v>
      </c>
      <c r="Q22">
        <f t="shared" ca="1" si="3"/>
        <v>0</v>
      </c>
    </row>
    <row r="23" spans="1:17" x14ac:dyDescent="0.25">
      <c r="A23">
        <v>3</v>
      </c>
      <c r="B23">
        <f t="shared" ref="B23:Q23" ca="1" si="4">B8/B$5</f>
        <v>2.5001190476190476</v>
      </c>
      <c r="C23">
        <f t="shared" ca="1" si="4"/>
        <v>1.6194642857142856</v>
      </c>
      <c r="D23">
        <f t="shared" ca="1" si="4"/>
        <v>1.2116607142857143</v>
      </c>
      <c r="E23">
        <f t="shared" ca="1" si="4"/>
        <v>0.99844642857142862</v>
      </c>
      <c r="F23">
        <f t="shared" ca="1" si="4"/>
        <v>0.91381696428571435</v>
      </c>
      <c r="G23">
        <f t="shared" ca="1" si="4"/>
        <v>0.87706845238095232</v>
      </c>
      <c r="H23">
        <f t="shared" ca="1" si="4"/>
        <v>0.85417038690476199</v>
      </c>
      <c r="I23">
        <f t="shared" ca="1" si="4"/>
        <v>0.84023623511904755</v>
      </c>
      <c r="J23">
        <f t="shared" ca="1" si="4"/>
        <v>0.83039620535714287</v>
      </c>
      <c r="K23">
        <f t="shared" ca="1" si="4"/>
        <v>0.89255487351190477</v>
      </c>
      <c r="L23">
        <f t="shared" ca="1" si="4"/>
        <v>0</v>
      </c>
      <c r="M23">
        <f t="shared" ca="1" si="4"/>
        <v>0</v>
      </c>
      <c r="N23">
        <f t="shared" ca="1" si="4"/>
        <v>0</v>
      </c>
      <c r="O23">
        <f t="shared" ca="1" si="4"/>
        <v>0</v>
      </c>
      <c r="P23">
        <f t="shared" ca="1" si="4"/>
        <v>0</v>
      </c>
      <c r="Q23">
        <f t="shared" ca="1" si="4"/>
        <v>0</v>
      </c>
    </row>
    <row r="24" spans="1:17" x14ac:dyDescent="0.25">
      <c r="A24">
        <v>4</v>
      </c>
      <c r="B24">
        <f t="shared" ref="B24:Q24" ca="1" si="5">B9/B$5</f>
        <v>2.5024285714285717</v>
      </c>
      <c r="C24">
        <f t="shared" ca="1" si="5"/>
        <v>1.6080238095238097</v>
      </c>
      <c r="D24">
        <f t="shared" ca="1" si="5"/>
        <v>1.0931845238095239</v>
      </c>
      <c r="E24">
        <f t="shared" ca="1" si="5"/>
        <v>1.0067589285714287</v>
      </c>
      <c r="F24">
        <f t="shared" ca="1" si="5"/>
        <v>0.7816324404761904</v>
      </c>
      <c r="G24">
        <f t="shared" ca="1" si="5"/>
        <v>0.70883333333333332</v>
      </c>
      <c r="H24">
        <f t="shared" ca="1" si="5"/>
        <v>0.65865327380952388</v>
      </c>
      <c r="I24">
        <f t="shared" ca="1" si="5"/>
        <v>0.68552641369047618</v>
      </c>
      <c r="J24">
        <f t="shared" ca="1" si="5"/>
        <v>0.65101562499999999</v>
      </c>
      <c r="K24">
        <f t="shared" ca="1" si="5"/>
        <v>0.69770275297619044</v>
      </c>
      <c r="L24">
        <f t="shared" ca="1" si="5"/>
        <v>0</v>
      </c>
      <c r="M24">
        <f t="shared" ca="1" si="5"/>
        <v>0</v>
      </c>
      <c r="N24">
        <f t="shared" ca="1" si="5"/>
        <v>0</v>
      </c>
      <c r="O24">
        <f t="shared" ca="1" si="5"/>
        <v>0</v>
      </c>
      <c r="P24">
        <f t="shared" ca="1" si="5"/>
        <v>0</v>
      </c>
      <c r="Q24">
        <f t="shared" ca="1" si="5"/>
        <v>0</v>
      </c>
    </row>
    <row r="25" spans="1:17" x14ac:dyDescent="0.25">
      <c r="A25">
        <v>5</v>
      </c>
      <c r="B25">
        <f t="shared" ref="B25:Q25" ca="1" si="6">B10/B$5</f>
        <v>2.6978333333333331</v>
      </c>
      <c r="C25">
        <f t="shared" ca="1" si="6"/>
        <v>1.7848809523809526</v>
      </c>
      <c r="D25">
        <f t="shared" ca="1" si="6"/>
        <v>1.3437916666666667</v>
      </c>
      <c r="E25">
        <f t="shared" ca="1" si="6"/>
        <v>1.2166964285714286</v>
      </c>
      <c r="F25">
        <f t="shared" ca="1" si="6"/>
        <v>1.0506607142857143</v>
      </c>
      <c r="G25">
        <f t="shared" ca="1" si="6"/>
        <v>0.95602678571428579</v>
      </c>
      <c r="H25">
        <f t="shared" ca="1" si="6"/>
        <v>0.78821800595238101</v>
      </c>
      <c r="I25">
        <f t="shared" ca="1" si="6"/>
        <v>0.74272135416666663</v>
      </c>
      <c r="J25">
        <f t="shared" ca="1" si="6"/>
        <v>0.71258184523809531</v>
      </c>
      <c r="K25">
        <f t="shared" ca="1" si="6"/>
        <v>0.69793991815476186</v>
      </c>
      <c r="L25">
        <f t="shared" ca="1" si="6"/>
        <v>0</v>
      </c>
      <c r="M25">
        <f t="shared" ca="1" si="6"/>
        <v>0</v>
      </c>
      <c r="N25">
        <f t="shared" ca="1" si="6"/>
        <v>0</v>
      </c>
      <c r="O25">
        <f t="shared" ca="1" si="6"/>
        <v>0</v>
      </c>
      <c r="P25">
        <f t="shared" ca="1" si="6"/>
        <v>0</v>
      </c>
      <c r="Q25">
        <f t="shared" ca="1" si="6"/>
        <v>0</v>
      </c>
    </row>
    <row r="26" spans="1:17" x14ac:dyDescent="0.25">
      <c r="A26">
        <v>6</v>
      </c>
      <c r="B26">
        <f t="shared" ref="B26:Q26" ca="1" si="7">B11/B$5</f>
        <v>2.677</v>
      </c>
      <c r="C26">
        <f t="shared" ca="1" si="7"/>
        <v>1.6911785714285714</v>
      </c>
      <c r="D26">
        <f t="shared" ca="1" si="7"/>
        <v>1.2316845238095238</v>
      </c>
      <c r="E26">
        <f t="shared" ca="1" si="7"/>
        <v>1.0363005952380953</v>
      </c>
      <c r="F26">
        <f t="shared" ca="1" si="7"/>
        <v>0.92908035714285708</v>
      </c>
      <c r="G26">
        <f t="shared" ca="1" si="7"/>
        <v>0.85338541666666667</v>
      </c>
      <c r="H26">
        <f t="shared" ca="1" si="7"/>
        <v>0.74242187500000001</v>
      </c>
      <c r="I26">
        <f t="shared" ca="1" si="7"/>
        <v>0.68710007440476184</v>
      </c>
      <c r="J26">
        <f t="shared" ca="1" si="7"/>
        <v>0.64668712797619055</v>
      </c>
      <c r="K26">
        <f t="shared" ca="1" si="7"/>
        <v>0.64912574404761902</v>
      </c>
      <c r="L26">
        <f t="shared" ca="1" si="7"/>
        <v>0</v>
      </c>
      <c r="M26">
        <f t="shared" ca="1" si="7"/>
        <v>0</v>
      </c>
      <c r="N26">
        <f t="shared" ca="1" si="7"/>
        <v>0</v>
      </c>
      <c r="O26">
        <f t="shared" ca="1" si="7"/>
        <v>0</v>
      </c>
      <c r="P26">
        <f t="shared" ca="1" si="7"/>
        <v>0</v>
      </c>
      <c r="Q26">
        <f t="shared" ca="1" si="7"/>
        <v>0</v>
      </c>
    </row>
    <row r="27" spans="1:17" x14ac:dyDescent="0.25">
      <c r="A27">
        <v>7</v>
      </c>
      <c r="B27">
        <f t="shared" ref="B27:Q27" ca="1" si="8">B12/B$5</f>
        <v>2.7670714285714286</v>
      </c>
      <c r="C27">
        <f t="shared" ca="1" si="8"/>
        <v>1.6488333333333334</v>
      </c>
      <c r="D27">
        <f t="shared" ca="1" si="8"/>
        <v>1.1782857142857144</v>
      </c>
      <c r="E27">
        <f t="shared" ca="1" si="8"/>
        <v>0.93647916666666664</v>
      </c>
      <c r="F27">
        <f t="shared" ca="1" si="8"/>
        <v>0.85120238095238099</v>
      </c>
      <c r="G27">
        <f t="shared" ca="1" si="8"/>
        <v>0.77891369047619041</v>
      </c>
      <c r="H27">
        <f t="shared" ca="1" si="8"/>
        <v>0.69866443452380955</v>
      </c>
      <c r="I27">
        <f t="shared" ca="1" si="8"/>
        <v>0.62885602678571428</v>
      </c>
      <c r="J27">
        <f t="shared" ca="1" si="8"/>
        <v>0.59279668898809523</v>
      </c>
      <c r="K27">
        <f t="shared" ca="1" si="8"/>
        <v>0.59461030505952384</v>
      </c>
      <c r="L27">
        <f t="shared" ca="1" si="8"/>
        <v>0</v>
      </c>
      <c r="M27">
        <f t="shared" ca="1" si="8"/>
        <v>0</v>
      </c>
      <c r="N27">
        <f t="shared" ca="1" si="8"/>
        <v>0</v>
      </c>
      <c r="O27">
        <f t="shared" ca="1" si="8"/>
        <v>0</v>
      </c>
      <c r="P27">
        <f t="shared" ca="1" si="8"/>
        <v>0</v>
      </c>
      <c r="Q27">
        <f t="shared" ca="1" si="8"/>
        <v>0</v>
      </c>
    </row>
    <row r="28" spans="1:17" x14ac:dyDescent="0.25">
      <c r="A28">
        <v>8</v>
      </c>
      <c r="B28">
        <f t="shared" ref="B28:Q28" ca="1" si="9">B13/B$5</f>
        <v>2.6794523809523811</v>
      </c>
      <c r="C28">
        <f t="shared" ca="1" si="9"/>
        <v>1.5922857142857143</v>
      </c>
      <c r="D28">
        <f t="shared" ca="1" si="9"/>
        <v>1.1053154761904762</v>
      </c>
      <c r="E28">
        <f t="shared" ca="1" si="9"/>
        <v>0.86130059523809521</v>
      </c>
      <c r="F28">
        <f t="shared" ca="1" si="9"/>
        <v>0.76564732142857139</v>
      </c>
      <c r="G28">
        <f t="shared" ca="1" si="9"/>
        <v>0.70676488095238099</v>
      </c>
      <c r="H28">
        <f t="shared" ca="1" si="9"/>
        <v>0.60786458333333337</v>
      </c>
      <c r="I28">
        <f t="shared" ca="1" si="9"/>
        <v>0.56702752976190474</v>
      </c>
      <c r="J28">
        <f t="shared" ca="1" si="9"/>
        <v>0.56071428571428572</v>
      </c>
      <c r="K28">
        <f t="shared" ca="1" si="9"/>
        <v>0.55187406994047616</v>
      </c>
      <c r="L28">
        <f t="shared" ca="1" si="9"/>
        <v>0</v>
      </c>
      <c r="M28">
        <f t="shared" ca="1" si="9"/>
        <v>0</v>
      </c>
      <c r="N28">
        <f t="shared" ca="1" si="9"/>
        <v>0</v>
      </c>
      <c r="O28">
        <f t="shared" ca="1" si="9"/>
        <v>0</v>
      </c>
      <c r="P28">
        <f t="shared" ca="1" si="9"/>
        <v>0</v>
      </c>
      <c r="Q28">
        <f t="shared" ca="1" si="9"/>
        <v>0</v>
      </c>
    </row>
    <row r="29" spans="1:17" x14ac:dyDescent="0.25">
      <c r="A29">
        <v>9</v>
      </c>
      <c r="B29">
        <f t="shared" ref="B29:Q29" ca="1" si="10">B14/B$5</f>
        <v>2.7069047619047617</v>
      </c>
      <c r="C29">
        <f t="shared" ca="1" si="10"/>
        <v>1.6061666666666667</v>
      </c>
      <c r="D29">
        <f t="shared" ca="1" si="10"/>
        <v>1.0922142857142856</v>
      </c>
      <c r="E29">
        <f t="shared" ca="1" si="10"/>
        <v>0.827110119047619</v>
      </c>
      <c r="F29">
        <f t="shared" ca="1" si="10"/>
        <v>0.72004910714285708</v>
      </c>
      <c r="G29">
        <f t="shared" ca="1" si="10"/>
        <v>0.66138764880952383</v>
      </c>
      <c r="H29">
        <f t="shared" ca="1" si="10"/>
        <v>0.56283854166666669</v>
      </c>
      <c r="I29">
        <f t="shared" ca="1" si="10"/>
        <v>0.57610305059523814</v>
      </c>
      <c r="J29">
        <f t="shared" ca="1" si="10"/>
        <v>0.53931826636904767</v>
      </c>
      <c r="K29">
        <f t="shared" ca="1" si="10"/>
        <v>0.52983630952380956</v>
      </c>
      <c r="L29">
        <f t="shared" ca="1" si="10"/>
        <v>0</v>
      </c>
      <c r="M29">
        <f t="shared" ca="1" si="10"/>
        <v>0</v>
      </c>
      <c r="N29">
        <f t="shared" ca="1" si="10"/>
        <v>0</v>
      </c>
      <c r="O29">
        <f t="shared" ca="1" si="10"/>
        <v>0</v>
      </c>
      <c r="P29">
        <f t="shared" ca="1" si="10"/>
        <v>0</v>
      </c>
      <c r="Q29">
        <f t="shared" ca="1" si="10"/>
        <v>0</v>
      </c>
    </row>
    <row r="30" spans="1:17" x14ac:dyDescent="0.25">
      <c r="A30">
        <v>10</v>
      </c>
      <c r="B30">
        <f t="shared" ref="B30:Q30" ca="1" si="11">B15/B$5</f>
        <v>2.9297142857142857</v>
      </c>
      <c r="C30">
        <f t="shared" ca="1" si="11"/>
        <v>1.8235595238095239</v>
      </c>
      <c r="D30">
        <f t="shared" ca="1" si="11"/>
        <v>1.1285000000000001</v>
      </c>
      <c r="E30">
        <f t="shared" ca="1" si="11"/>
        <v>0.80772619047619054</v>
      </c>
      <c r="F30">
        <f t="shared" ca="1" si="11"/>
        <v>0.7202217261904762</v>
      </c>
      <c r="G30">
        <f t="shared" ca="1" si="11"/>
        <v>0.64502827380952377</v>
      </c>
      <c r="H30">
        <f t="shared" ca="1" si="11"/>
        <v>0.54626116071428565</v>
      </c>
      <c r="I30">
        <f t="shared" ca="1" si="11"/>
        <v>0.51494605654761905</v>
      </c>
      <c r="J30">
        <f t="shared" ca="1" si="11"/>
        <v>0.49304501488095243</v>
      </c>
      <c r="K30">
        <f t="shared" ca="1" si="11"/>
        <v>0.5059988839285714</v>
      </c>
      <c r="L30">
        <f t="shared" ca="1" si="11"/>
        <v>0</v>
      </c>
      <c r="M30">
        <f t="shared" ca="1" si="11"/>
        <v>0</v>
      </c>
      <c r="N30">
        <f t="shared" ca="1" si="11"/>
        <v>0</v>
      </c>
      <c r="O30">
        <f t="shared" ca="1" si="11"/>
        <v>0</v>
      </c>
      <c r="P30">
        <f t="shared" ca="1" si="11"/>
        <v>0</v>
      </c>
      <c r="Q30">
        <f t="shared" ca="1" si="11"/>
        <v>0</v>
      </c>
    </row>
    <row r="31" spans="1:17" x14ac:dyDescent="0.25">
      <c r="A31">
        <v>11</v>
      </c>
      <c r="B31">
        <f t="shared" ref="B31:Q31" ca="1" si="12">B16/B$5</f>
        <v>2.9548571428571426</v>
      </c>
      <c r="C31">
        <f t="shared" ca="1" si="12"/>
        <v>1.7848095238095238</v>
      </c>
      <c r="D31">
        <f t="shared" ca="1" si="12"/>
        <v>1.2920595238095238</v>
      </c>
      <c r="E31">
        <f t="shared" ca="1" si="12"/>
        <v>0.97279464285714279</v>
      </c>
      <c r="F31">
        <f t="shared" ca="1" si="12"/>
        <v>0.78940922619047615</v>
      </c>
      <c r="G31">
        <f t="shared" ca="1" si="12"/>
        <v>0.610421875</v>
      </c>
      <c r="H31">
        <f t="shared" ca="1" si="12"/>
        <v>0.62280133928571424</v>
      </c>
      <c r="I31">
        <f t="shared" ca="1" si="12"/>
        <v>0.51655691964285722</v>
      </c>
      <c r="J31">
        <f t="shared" ca="1" si="12"/>
        <v>0.4769624255952381</v>
      </c>
      <c r="K31">
        <f t="shared" ca="1" si="12"/>
        <v>0.48776971726190477</v>
      </c>
      <c r="L31">
        <f t="shared" ca="1" si="12"/>
        <v>0</v>
      </c>
      <c r="M31">
        <f t="shared" ca="1" si="12"/>
        <v>0</v>
      </c>
      <c r="N31">
        <f t="shared" ca="1" si="12"/>
        <v>0</v>
      </c>
      <c r="O31">
        <f t="shared" ca="1" si="12"/>
        <v>0</v>
      </c>
      <c r="P31">
        <f t="shared" ca="1" si="12"/>
        <v>0</v>
      </c>
      <c r="Q31">
        <f t="shared" ca="1" si="12"/>
        <v>0</v>
      </c>
    </row>
    <row r="32" spans="1:17" x14ac:dyDescent="0.25">
      <c r="A32">
        <v>12</v>
      </c>
      <c r="B32">
        <f t="shared" ref="B32:Q32" ca="1" si="13">B17/B$5</f>
        <v>2.8844761904761902</v>
      </c>
      <c r="C32">
        <f t="shared" ca="1" si="13"/>
        <v>1.7872738095238094</v>
      </c>
      <c r="D32">
        <f t="shared" ca="1" si="13"/>
        <v>1.220607142857143</v>
      </c>
      <c r="E32">
        <f t="shared" ca="1" si="13"/>
        <v>0.96060119047619053</v>
      </c>
      <c r="F32">
        <f t="shared" ca="1" si="13"/>
        <v>0.80055505952380945</v>
      </c>
      <c r="G32">
        <f t="shared" ca="1" si="13"/>
        <v>0.59916517857142859</v>
      </c>
      <c r="H32">
        <f t="shared" ca="1" si="13"/>
        <v>0.57529389880952386</v>
      </c>
      <c r="I32">
        <f t="shared" ca="1" si="13"/>
        <v>0.48361979166666669</v>
      </c>
      <c r="J32">
        <f t="shared" ca="1" si="13"/>
        <v>0.45395089285714285</v>
      </c>
      <c r="K32">
        <f t="shared" ca="1" si="13"/>
        <v>0.48383091517857141</v>
      </c>
      <c r="L32">
        <f t="shared" ca="1" si="13"/>
        <v>0</v>
      </c>
      <c r="M32">
        <f t="shared" ca="1" si="13"/>
        <v>0</v>
      </c>
      <c r="N32">
        <f t="shared" ca="1" si="13"/>
        <v>0</v>
      </c>
      <c r="O32">
        <f t="shared" ca="1" si="13"/>
        <v>0</v>
      </c>
      <c r="P32">
        <f t="shared" ca="1" si="13"/>
        <v>0</v>
      </c>
      <c r="Q32">
        <f t="shared" ca="1" si="13"/>
        <v>0</v>
      </c>
    </row>
  </sheetData>
  <conditionalFormatting sqref="B21:B3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:C3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:D3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1:E3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1:F32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1:G32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:H32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:I3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1:J32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1:K3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Титов Ю.П.</dc:creator>
  <cp:lastModifiedBy>Титов Ю.П.</cp:lastModifiedBy>
  <dcterms:created xsi:type="dcterms:W3CDTF">2025-12-16T05:13:24Z</dcterms:created>
  <dcterms:modified xsi:type="dcterms:W3CDTF">2025-12-17T21:53:58Z</dcterms:modified>
</cp:coreProperties>
</file>